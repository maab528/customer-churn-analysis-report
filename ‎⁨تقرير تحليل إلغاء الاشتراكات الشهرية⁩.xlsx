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masdar1\Desktop\private\New folder\"/>
    </mc:Choice>
  </mc:AlternateContent>
  <xr:revisionPtr revIDLastSave="0" documentId="13_ncr:1_{CB448E47-5967-4F06-BFA8-2676A8B4CCD5}" xr6:coauthVersionLast="36" xr6:coauthVersionMax="36" xr10:uidLastSave="{00000000-0000-0000-0000-000000000000}"/>
  <bookViews>
    <workbookView xWindow="0" yWindow="0" windowWidth="28800" windowHeight="13905" xr2:uid="{00000000-000D-0000-FFFF-FFFF00000000}"/>
  </bookViews>
  <sheets>
    <sheet name="subscriptions-churn" sheetId="1" r:id="rId1"/>
  </sheets>
  <calcPr calcId="191029"/>
</workbook>
</file>

<file path=xl/calcChain.xml><?xml version="1.0" encoding="utf-8"?>
<calcChain xmlns="http://schemas.openxmlformats.org/spreadsheetml/2006/main">
  <c r="Y22" i="1" l="1"/>
  <c r="Y21" i="1"/>
  <c r="Y16" i="1"/>
  <c r="Y15" i="1"/>
  <c r="U16" i="1"/>
  <c r="U19" i="1" s="1"/>
  <c r="U23" i="1"/>
  <c r="U24" i="1"/>
  <c r="U14" i="1"/>
  <c r="U22" i="1"/>
  <c r="U21" i="1"/>
  <c r="U17" i="1"/>
  <c r="U18" i="1"/>
  <c r="Y14" i="1"/>
  <c r="U13" i="1"/>
  <c r="U12" i="1"/>
  <c r="U11" i="1"/>
  <c r="Y20" i="1" l="1"/>
  <c r="AD20" i="1"/>
  <c r="Y19" i="1"/>
  <c r="Y18" i="1"/>
  <c r="Y17" i="1"/>
  <c r="AD22" i="1" l="1"/>
  <c r="AD21" i="1"/>
  <c r="AD14" i="1"/>
  <c r="AD16" i="1" s="1"/>
  <c r="AD18" i="1"/>
  <c r="AD12" i="1"/>
  <c r="Z8" i="1"/>
  <c r="AD13" i="1"/>
  <c r="AD17" i="1"/>
  <c r="AD11" i="1"/>
  <c r="AD15" i="1" l="1"/>
  <c r="U8" i="1"/>
  <c r="Q2" i="1" l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O2" i="1" l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R2" i="1" l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M3" i="1" l="1"/>
  <c r="M2" i="1"/>
  <c r="M4" i="1"/>
  <c r="M5" i="1"/>
  <c r="Y31" i="1" s="1"/>
  <c r="X31" i="1" s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AD19" i="1"/>
  <c r="Y35" i="1" l="1"/>
  <c r="X35" i="1" s="1"/>
  <c r="Y34" i="1"/>
  <c r="X34" i="1" s="1"/>
  <c r="Y29" i="1"/>
  <c r="X29" i="1" s="1"/>
  <c r="Y33" i="1"/>
  <c r="X33" i="1" s="1"/>
  <c r="Y37" i="1"/>
  <c r="X37" i="1" s="1"/>
  <c r="Y36" i="1"/>
  <c r="X36" i="1" s="1"/>
  <c r="Y32" i="1"/>
  <c r="X32" i="1" s="1"/>
  <c r="Y30" i="1"/>
  <c r="X30" i="1" s="1"/>
  <c r="Y28" i="1"/>
  <c r="X28" i="1" s="1"/>
  <c r="Y11" i="1"/>
  <c r="Y12" i="1"/>
  <c r="Y13" i="1" s="1"/>
  <c r="U4" i="1" l="1"/>
  <c r="V4" i="1"/>
  <c r="V8" i="1"/>
  <c r="V7" i="1"/>
  <c r="U7" i="1"/>
  <c r="V6" i="1"/>
  <c r="U6" i="1"/>
  <c r="V5" i="1"/>
  <c r="U5" i="1"/>
  <c r="T6" i="1" l="1"/>
  <c r="T8" i="1"/>
  <c r="T7" i="1"/>
  <c r="T4" i="1"/>
  <c r="T5" i="1"/>
  <c r="Z5" i="1"/>
  <c r="Z4" i="1"/>
  <c r="Z3" i="1"/>
  <c r="Z7" i="1" l="1"/>
  <c r="Z6" i="1" l="1"/>
</calcChain>
</file>

<file path=xl/sharedStrings.xml><?xml version="1.0" encoding="utf-8"?>
<sst xmlns="http://schemas.openxmlformats.org/spreadsheetml/2006/main" count="14488" uniqueCount="2478">
  <si>
    <t>معرف المشترك</t>
  </si>
  <si>
    <t>تاريخ الاشتراك</t>
  </si>
  <si>
    <t>الباقة</t>
  </si>
  <si>
    <t>السعر الشهري</t>
  </si>
  <si>
    <t>دورة الفوترة</t>
  </si>
  <si>
    <t>أشهر البقاء</t>
  </si>
  <si>
    <t>وسيلة الدفع</t>
  </si>
  <si>
    <t>تذاكر الدعم</t>
  </si>
  <si>
    <t>متوسط الجلسات الشهرية</t>
  </si>
  <si>
    <t>نسبة الخصم</t>
  </si>
  <si>
    <t>حضر التهيئة</t>
  </si>
  <si>
    <t>ألغى الاشتراك</t>
  </si>
  <si>
    <t>SUB-10000</t>
  </si>
  <si>
    <t>متقدم</t>
  </si>
  <si>
    <t>شهري</t>
  </si>
  <si>
    <t>بطاقة</t>
  </si>
  <si>
    <t>نعم</t>
  </si>
  <si>
    <t>لا</t>
  </si>
  <si>
    <t>SUB-10001</t>
  </si>
  <si>
    <t>أعمال</t>
  </si>
  <si>
    <t>سنوي</t>
  </si>
  <si>
    <t>محفظة</t>
  </si>
  <si>
    <t>SUB-10002</t>
  </si>
  <si>
    <t>تحويل</t>
  </si>
  <si>
    <t>SUB-10003</t>
  </si>
  <si>
    <t>SUB-10004</t>
  </si>
  <si>
    <t>SUB-10005</t>
  </si>
  <si>
    <t>SUB-10006</t>
  </si>
  <si>
    <t>أساسي</t>
  </si>
  <si>
    <t>SUB-10007</t>
  </si>
  <si>
    <t>SUB-10008</t>
  </si>
  <si>
    <t>SUB-10009</t>
  </si>
  <si>
    <t>SUB-10010</t>
  </si>
  <si>
    <t>SUB-10011</t>
  </si>
  <si>
    <t>SUB-10012</t>
  </si>
  <si>
    <t>SUB-10013</t>
  </si>
  <si>
    <t>SUB-10014</t>
  </si>
  <si>
    <t>SUB-10015</t>
  </si>
  <si>
    <t>SUB-10016</t>
  </si>
  <si>
    <t>SUB-10017</t>
  </si>
  <si>
    <t>SUB-10018</t>
  </si>
  <si>
    <t>SUB-10019</t>
  </si>
  <si>
    <t>SUB-10020</t>
  </si>
  <si>
    <t>SUB-10021</t>
  </si>
  <si>
    <t>SUB-10022</t>
  </si>
  <si>
    <t>SUB-10023</t>
  </si>
  <si>
    <t>SUB-10024</t>
  </si>
  <si>
    <t>SUB-10025</t>
  </si>
  <si>
    <t>SUB-10026</t>
  </si>
  <si>
    <t>SUB-10027</t>
  </si>
  <si>
    <t>SUB-10028</t>
  </si>
  <si>
    <t>SUB-10029</t>
  </si>
  <si>
    <t>SUB-10030</t>
  </si>
  <si>
    <t>SUB-10031</t>
  </si>
  <si>
    <t>SUB-10032</t>
  </si>
  <si>
    <t>SUB-10033</t>
  </si>
  <si>
    <t>SUB-10034</t>
  </si>
  <si>
    <t>SUB-10035</t>
  </si>
  <si>
    <t>SUB-10036</t>
  </si>
  <si>
    <t>SUB-10037</t>
  </si>
  <si>
    <t>SUB-10038</t>
  </si>
  <si>
    <t>SUB-10039</t>
  </si>
  <si>
    <t>SUB-10040</t>
  </si>
  <si>
    <t>SUB-10041</t>
  </si>
  <si>
    <t>SUB-10042</t>
  </si>
  <si>
    <t>SUB-10043</t>
  </si>
  <si>
    <t>SUB-10044</t>
  </si>
  <si>
    <t>SUB-10045</t>
  </si>
  <si>
    <t>SUB-10046</t>
  </si>
  <si>
    <t>SUB-10047</t>
  </si>
  <si>
    <t>SUB-10048</t>
  </si>
  <si>
    <t>SUB-10049</t>
  </si>
  <si>
    <t>SUB-10050</t>
  </si>
  <si>
    <t>SUB-10051</t>
  </si>
  <si>
    <t>SUB-10052</t>
  </si>
  <si>
    <t>SUB-10053</t>
  </si>
  <si>
    <t>SUB-10054</t>
  </si>
  <si>
    <t>SUB-10055</t>
  </si>
  <si>
    <t>SUB-10056</t>
  </si>
  <si>
    <t>SUB-10057</t>
  </si>
  <si>
    <t>SUB-10058</t>
  </si>
  <si>
    <t>SUB-10059</t>
  </si>
  <si>
    <t>SUB-10060</t>
  </si>
  <si>
    <t>SUB-10061</t>
  </si>
  <si>
    <t>SUB-10062</t>
  </si>
  <si>
    <t>SUB-10063</t>
  </si>
  <si>
    <t>SUB-10064</t>
  </si>
  <si>
    <t>SUB-10065</t>
  </si>
  <si>
    <t>SUB-10066</t>
  </si>
  <si>
    <t>SUB-10067</t>
  </si>
  <si>
    <t>SUB-10068</t>
  </si>
  <si>
    <t>SUB-10069</t>
  </si>
  <si>
    <t>SUB-10070</t>
  </si>
  <si>
    <t>SUB-10071</t>
  </si>
  <si>
    <t>SUB-10072</t>
  </si>
  <si>
    <t>SUB-10073</t>
  </si>
  <si>
    <t>SUB-10074</t>
  </si>
  <si>
    <t>SUB-10075</t>
  </si>
  <si>
    <t>SUB-10076</t>
  </si>
  <si>
    <t>SUB-10077</t>
  </si>
  <si>
    <t>SUB-10078</t>
  </si>
  <si>
    <t>SUB-10079</t>
  </si>
  <si>
    <t>SUB-10080</t>
  </si>
  <si>
    <t>SUB-10081</t>
  </si>
  <si>
    <t>SUB-10082</t>
  </si>
  <si>
    <t>SUB-10083</t>
  </si>
  <si>
    <t>SUB-10084</t>
  </si>
  <si>
    <t>SUB-10085</t>
  </si>
  <si>
    <t>SUB-10086</t>
  </si>
  <si>
    <t>SUB-10087</t>
  </si>
  <si>
    <t>SUB-10088</t>
  </si>
  <si>
    <t>SUB-10089</t>
  </si>
  <si>
    <t>SUB-10090</t>
  </si>
  <si>
    <t>SUB-10091</t>
  </si>
  <si>
    <t>SUB-10092</t>
  </si>
  <si>
    <t>SUB-10093</t>
  </si>
  <si>
    <t>SUB-10094</t>
  </si>
  <si>
    <t>SUB-10095</t>
  </si>
  <si>
    <t>SUB-10096</t>
  </si>
  <si>
    <t>SUB-10097</t>
  </si>
  <si>
    <t>SUB-10098</t>
  </si>
  <si>
    <t>SUB-10099</t>
  </si>
  <si>
    <t>SUB-10100</t>
  </si>
  <si>
    <t>SUB-10101</t>
  </si>
  <si>
    <t>SUB-10102</t>
  </si>
  <si>
    <t>SUB-10103</t>
  </si>
  <si>
    <t>SUB-10104</t>
  </si>
  <si>
    <t>SUB-10105</t>
  </si>
  <si>
    <t>SUB-10106</t>
  </si>
  <si>
    <t>SUB-10107</t>
  </si>
  <si>
    <t>SUB-10108</t>
  </si>
  <si>
    <t>SUB-10109</t>
  </si>
  <si>
    <t>SUB-10110</t>
  </si>
  <si>
    <t>SUB-10111</t>
  </si>
  <si>
    <t>SUB-10112</t>
  </si>
  <si>
    <t>SUB-10113</t>
  </si>
  <si>
    <t>SUB-10114</t>
  </si>
  <si>
    <t>SUB-10115</t>
  </si>
  <si>
    <t>SUB-10116</t>
  </si>
  <si>
    <t>SUB-10117</t>
  </si>
  <si>
    <t>SUB-10118</t>
  </si>
  <si>
    <t>SUB-10119</t>
  </si>
  <si>
    <t>SUB-10120</t>
  </si>
  <si>
    <t>SUB-10121</t>
  </si>
  <si>
    <t>SUB-10122</t>
  </si>
  <si>
    <t>SUB-10123</t>
  </si>
  <si>
    <t>SUB-10124</t>
  </si>
  <si>
    <t>SUB-10125</t>
  </si>
  <si>
    <t>SUB-10126</t>
  </si>
  <si>
    <t>SUB-10127</t>
  </si>
  <si>
    <t>SUB-10128</t>
  </si>
  <si>
    <t>SUB-10129</t>
  </si>
  <si>
    <t>SUB-10130</t>
  </si>
  <si>
    <t>SUB-10131</t>
  </si>
  <si>
    <t>SUB-10132</t>
  </si>
  <si>
    <t>SUB-10133</t>
  </si>
  <si>
    <t>SUB-10134</t>
  </si>
  <si>
    <t>SUB-10135</t>
  </si>
  <si>
    <t>SUB-10136</t>
  </si>
  <si>
    <t>SUB-10137</t>
  </si>
  <si>
    <t>SUB-10138</t>
  </si>
  <si>
    <t>SUB-10139</t>
  </si>
  <si>
    <t>SUB-10140</t>
  </si>
  <si>
    <t>SUB-10141</t>
  </si>
  <si>
    <t>SUB-10142</t>
  </si>
  <si>
    <t>SUB-10143</t>
  </si>
  <si>
    <t>SUB-10144</t>
  </si>
  <si>
    <t>SUB-10145</t>
  </si>
  <si>
    <t>SUB-10146</t>
  </si>
  <si>
    <t>SUB-10147</t>
  </si>
  <si>
    <t>SUB-10148</t>
  </si>
  <si>
    <t>SUB-10149</t>
  </si>
  <si>
    <t>SUB-10150</t>
  </si>
  <si>
    <t>SUB-10151</t>
  </si>
  <si>
    <t>SUB-10152</t>
  </si>
  <si>
    <t>SUB-10153</t>
  </si>
  <si>
    <t>SUB-10154</t>
  </si>
  <si>
    <t>SUB-10155</t>
  </si>
  <si>
    <t>SUB-10156</t>
  </si>
  <si>
    <t>SUB-10157</t>
  </si>
  <si>
    <t>SUB-10158</t>
  </si>
  <si>
    <t>SUB-10159</t>
  </si>
  <si>
    <t>SUB-10160</t>
  </si>
  <si>
    <t>SUB-10161</t>
  </si>
  <si>
    <t>SUB-10162</t>
  </si>
  <si>
    <t>SUB-10163</t>
  </si>
  <si>
    <t>SUB-10164</t>
  </si>
  <si>
    <t>SUB-10165</t>
  </si>
  <si>
    <t>SUB-10166</t>
  </si>
  <si>
    <t>SUB-10167</t>
  </si>
  <si>
    <t>SUB-10168</t>
  </si>
  <si>
    <t>SUB-10169</t>
  </si>
  <si>
    <t>SUB-10170</t>
  </si>
  <si>
    <t>SUB-10171</t>
  </si>
  <si>
    <t>SUB-10172</t>
  </si>
  <si>
    <t>SUB-10173</t>
  </si>
  <si>
    <t>SUB-10174</t>
  </si>
  <si>
    <t>SUB-10175</t>
  </si>
  <si>
    <t>SUB-10176</t>
  </si>
  <si>
    <t>SUB-10177</t>
  </si>
  <si>
    <t>SUB-10178</t>
  </si>
  <si>
    <t>SUB-10179</t>
  </si>
  <si>
    <t>SUB-10180</t>
  </si>
  <si>
    <t>SUB-10181</t>
  </si>
  <si>
    <t>SUB-10182</t>
  </si>
  <si>
    <t>SUB-10183</t>
  </si>
  <si>
    <t>SUB-10184</t>
  </si>
  <si>
    <t>SUB-10185</t>
  </si>
  <si>
    <t>SUB-10186</t>
  </si>
  <si>
    <t>SUB-10187</t>
  </si>
  <si>
    <t>SUB-10188</t>
  </si>
  <si>
    <t>SUB-10189</t>
  </si>
  <si>
    <t>SUB-10190</t>
  </si>
  <si>
    <t>SUB-10191</t>
  </si>
  <si>
    <t>SUB-10192</t>
  </si>
  <si>
    <t>SUB-10193</t>
  </si>
  <si>
    <t>SUB-10194</t>
  </si>
  <si>
    <t>SUB-10195</t>
  </si>
  <si>
    <t>SUB-10196</t>
  </si>
  <si>
    <t>SUB-10197</t>
  </si>
  <si>
    <t>SUB-10198</t>
  </si>
  <si>
    <t>SUB-10199</t>
  </si>
  <si>
    <t>SUB-10200</t>
  </si>
  <si>
    <t>SUB-10201</t>
  </si>
  <si>
    <t>SUB-10202</t>
  </si>
  <si>
    <t>SUB-10203</t>
  </si>
  <si>
    <t>SUB-10204</t>
  </si>
  <si>
    <t>SUB-10205</t>
  </si>
  <si>
    <t>SUB-10206</t>
  </si>
  <si>
    <t>SUB-10207</t>
  </si>
  <si>
    <t>SUB-10208</t>
  </si>
  <si>
    <t>SUB-10209</t>
  </si>
  <si>
    <t>SUB-10210</t>
  </si>
  <si>
    <t>SUB-10211</t>
  </si>
  <si>
    <t>SUB-10212</t>
  </si>
  <si>
    <t>SUB-10213</t>
  </si>
  <si>
    <t>SUB-10214</t>
  </si>
  <si>
    <t>SUB-10215</t>
  </si>
  <si>
    <t>SUB-10216</t>
  </si>
  <si>
    <t>SUB-10217</t>
  </si>
  <si>
    <t>SUB-10218</t>
  </si>
  <si>
    <t>SUB-10219</t>
  </si>
  <si>
    <t>SUB-10220</t>
  </si>
  <si>
    <t>SUB-10221</t>
  </si>
  <si>
    <t>SUB-10222</t>
  </si>
  <si>
    <t>SUB-10223</t>
  </si>
  <si>
    <t>SUB-10224</t>
  </si>
  <si>
    <t>SUB-10225</t>
  </si>
  <si>
    <t>SUB-10226</t>
  </si>
  <si>
    <t>SUB-10227</t>
  </si>
  <si>
    <t>SUB-10228</t>
  </si>
  <si>
    <t>SUB-10229</t>
  </si>
  <si>
    <t>SUB-10230</t>
  </si>
  <si>
    <t>SUB-10231</t>
  </si>
  <si>
    <t>SUB-10232</t>
  </si>
  <si>
    <t>SUB-10233</t>
  </si>
  <si>
    <t>SUB-10234</t>
  </si>
  <si>
    <t>SUB-10235</t>
  </si>
  <si>
    <t>SUB-10236</t>
  </si>
  <si>
    <t>SUB-10237</t>
  </si>
  <si>
    <t>SUB-10238</t>
  </si>
  <si>
    <t>SUB-10239</t>
  </si>
  <si>
    <t>SUB-10240</t>
  </si>
  <si>
    <t>SUB-10241</t>
  </si>
  <si>
    <t>SUB-10242</t>
  </si>
  <si>
    <t>SUB-10243</t>
  </si>
  <si>
    <t>SUB-10244</t>
  </si>
  <si>
    <t>SUB-10245</t>
  </si>
  <si>
    <t>SUB-10246</t>
  </si>
  <si>
    <t>SUB-10247</t>
  </si>
  <si>
    <t>SUB-10248</t>
  </si>
  <si>
    <t>SUB-10249</t>
  </si>
  <si>
    <t>SUB-10250</t>
  </si>
  <si>
    <t>SUB-10251</t>
  </si>
  <si>
    <t>SUB-10252</t>
  </si>
  <si>
    <t>SUB-10253</t>
  </si>
  <si>
    <t>SUB-10254</t>
  </si>
  <si>
    <t>SUB-10255</t>
  </si>
  <si>
    <t>SUB-10256</t>
  </si>
  <si>
    <t>SUB-10257</t>
  </si>
  <si>
    <t>SUB-10258</t>
  </si>
  <si>
    <t>SUB-10259</t>
  </si>
  <si>
    <t>SUB-10260</t>
  </si>
  <si>
    <t>SUB-10261</t>
  </si>
  <si>
    <t>SUB-10262</t>
  </si>
  <si>
    <t>SUB-10263</t>
  </si>
  <si>
    <t>SUB-10264</t>
  </si>
  <si>
    <t>SUB-10265</t>
  </si>
  <si>
    <t>SUB-10266</t>
  </si>
  <si>
    <t>SUB-10267</t>
  </si>
  <si>
    <t>SUB-10268</t>
  </si>
  <si>
    <t>SUB-10269</t>
  </si>
  <si>
    <t>SUB-10270</t>
  </si>
  <si>
    <t>SUB-10271</t>
  </si>
  <si>
    <t>SUB-10272</t>
  </si>
  <si>
    <t>SUB-10273</t>
  </si>
  <si>
    <t>SUB-10274</t>
  </si>
  <si>
    <t>SUB-10275</t>
  </si>
  <si>
    <t>SUB-10276</t>
  </si>
  <si>
    <t>SUB-10277</t>
  </si>
  <si>
    <t>SUB-10278</t>
  </si>
  <si>
    <t>SUB-10279</t>
  </si>
  <si>
    <t>SUB-10280</t>
  </si>
  <si>
    <t>SUB-10281</t>
  </si>
  <si>
    <t>SUB-10282</t>
  </si>
  <si>
    <t>SUB-10283</t>
  </si>
  <si>
    <t>SUB-10284</t>
  </si>
  <si>
    <t>SUB-10285</t>
  </si>
  <si>
    <t>SUB-10286</t>
  </si>
  <si>
    <t>SUB-10287</t>
  </si>
  <si>
    <t>SUB-10288</t>
  </si>
  <si>
    <t>SUB-10289</t>
  </si>
  <si>
    <t>SUB-10290</t>
  </si>
  <si>
    <t>SUB-10291</t>
  </si>
  <si>
    <t>SUB-10292</t>
  </si>
  <si>
    <t>SUB-10293</t>
  </si>
  <si>
    <t>SUB-10294</t>
  </si>
  <si>
    <t>SUB-10295</t>
  </si>
  <si>
    <t>SUB-10296</t>
  </si>
  <si>
    <t>SUB-10297</t>
  </si>
  <si>
    <t>SUB-10298</t>
  </si>
  <si>
    <t>SUB-10299</t>
  </si>
  <si>
    <t>SUB-10300</t>
  </si>
  <si>
    <t>SUB-10301</t>
  </si>
  <si>
    <t>SUB-10302</t>
  </si>
  <si>
    <t>SUB-10303</t>
  </si>
  <si>
    <t>SUB-10304</t>
  </si>
  <si>
    <t>SUB-10305</t>
  </si>
  <si>
    <t>SUB-10306</t>
  </si>
  <si>
    <t>SUB-10307</t>
  </si>
  <si>
    <t>SUB-10308</t>
  </si>
  <si>
    <t>SUB-10309</t>
  </si>
  <si>
    <t>SUB-10310</t>
  </si>
  <si>
    <t>SUB-10311</t>
  </si>
  <si>
    <t>SUB-10312</t>
  </si>
  <si>
    <t>SUB-10313</t>
  </si>
  <si>
    <t>SUB-10314</t>
  </si>
  <si>
    <t>SUB-10315</t>
  </si>
  <si>
    <t>SUB-10316</t>
  </si>
  <si>
    <t>SUB-10317</t>
  </si>
  <si>
    <t>SUB-10318</t>
  </si>
  <si>
    <t>SUB-10319</t>
  </si>
  <si>
    <t>SUB-10320</t>
  </si>
  <si>
    <t>SUB-10321</t>
  </si>
  <si>
    <t>SUB-10322</t>
  </si>
  <si>
    <t>SUB-10323</t>
  </si>
  <si>
    <t>SUB-10324</t>
  </si>
  <si>
    <t>SUB-10325</t>
  </si>
  <si>
    <t>SUB-10326</t>
  </si>
  <si>
    <t>SUB-10327</t>
  </si>
  <si>
    <t>SUB-10328</t>
  </si>
  <si>
    <t>SUB-10329</t>
  </si>
  <si>
    <t>SUB-10330</t>
  </si>
  <si>
    <t>SUB-10331</t>
  </si>
  <si>
    <t>SUB-10332</t>
  </si>
  <si>
    <t>SUB-10333</t>
  </si>
  <si>
    <t>SUB-10334</t>
  </si>
  <si>
    <t>SUB-10335</t>
  </si>
  <si>
    <t>SUB-10336</t>
  </si>
  <si>
    <t>SUB-10337</t>
  </si>
  <si>
    <t>SUB-10338</t>
  </si>
  <si>
    <t>SUB-10339</t>
  </si>
  <si>
    <t>SUB-10340</t>
  </si>
  <si>
    <t>SUB-10341</t>
  </si>
  <si>
    <t>SUB-10342</t>
  </si>
  <si>
    <t>SUB-10343</t>
  </si>
  <si>
    <t>SUB-10344</t>
  </si>
  <si>
    <t>SUB-10345</t>
  </si>
  <si>
    <t>SUB-10346</t>
  </si>
  <si>
    <t>SUB-10347</t>
  </si>
  <si>
    <t>SUB-10348</t>
  </si>
  <si>
    <t>SUB-10349</t>
  </si>
  <si>
    <t>SUB-10350</t>
  </si>
  <si>
    <t>SUB-10351</t>
  </si>
  <si>
    <t>SUB-10352</t>
  </si>
  <si>
    <t>SUB-10353</t>
  </si>
  <si>
    <t>SUB-10354</t>
  </si>
  <si>
    <t>SUB-10355</t>
  </si>
  <si>
    <t>SUB-10356</t>
  </si>
  <si>
    <t>SUB-10357</t>
  </si>
  <si>
    <t>SUB-10358</t>
  </si>
  <si>
    <t>SUB-10359</t>
  </si>
  <si>
    <t>SUB-10360</t>
  </si>
  <si>
    <t>SUB-10361</t>
  </si>
  <si>
    <t>SUB-10362</t>
  </si>
  <si>
    <t>SUB-10363</t>
  </si>
  <si>
    <t>SUB-10364</t>
  </si>
  <si>
    <t>SUB-10365</t>
  </si>
  <si>
    <t>SUB-10366</t>
  </si>
  <si>
    <t>SUB-10367</t>
  </si>
  <si>
    <t>SUB-10368</t>
  </si>
  <si>
    <t>SUB-10369</t>
  </si>
  <si>
    <t>SUB-10370</t>
  </si>
  <si>
    <t>SUB-10371</t>
  </si>
  <si>
    <t>SUB-10372</t>
  </si>
  <si>
    <t>SUB-10373</t>
  </si>
  <si>
    <t>SUB-10374</t>
  </si>
  <si>
    <t>SUB-10375</t>
  </si>
  <si>
    <t>SUB-10376</t>
  </si>
  <si>
    <t>SUB-10377</t>
  </si>
  <si>
    <t>SUB-10378</t>
  </si>
  <si>
    <t>SUB-10379</t>
  </si>
  <si>
    <t>SUB-10380</t>
  </si>
  <si>
    <t>SUB-10381</t>
  </si>
  <si>
    <t>SUB-10382</t>
  </si>
  <si>
    <t>SUB-10383</t>
  </si>
  <si>
    <t>SUB-10384</t>
  </si>
  <si>
    <t>SUB-10385</t>
  </si>
  <si>
    <t>SUB-10386</t>
  </si>
  <si>
    <t>SUB-10387</t>
  </si>
  <si>
    <t>SUB-10388</t>
  </si>
  <si>
    <t>SUB-10389</t>
  </si>
  <si>
    <t>SUB-10390</t>
  </si>
  <si>
    <t>SUB-10391</t>
  </si>
  <si>
    <t>SUB-10392</t>
  </si>
  <si>
    <t>SUB-10393</t>
  </si>
  <si>
    <t>SUB-10394</t>
  </si>
  <si>
    <t>SUB-10395</t>
  </si>
  <si>
    <t>SUB-10396</t>
  </si>
  <si>
    <t>SUB-10397</t>
  </si>
  <si>
    <t>SUB-10398</t>
  </si>
  <si>
    <t>SUB-10399</t>
  </si>
  <si>
    <t>SUB-10400</t>
  </si>
  <si>
    <t>SUB-10401</t>
  </si>
  <si>
    <t>SUB-10402</t>
  </si>
  <si>
    <t>SUB-10403</t>
  </si>
  <si>
    <t>SUB-10404</t>
  </si>
  <si>
    <t>SUB-10405</t>
  </si>
  <si>
    <t>SUB-10406</t>
  </si>
  <si>
    <t>SUB-10407</t>
  </si>
  <si>
    <t>SUB-10408</t>
  </si>
  <si>
    <t>SUB-10409</t>
  </si>
  <si>
    <t>SUB-10410</t>
  </si>
  <si>
    <t>SUB-10411</t>
  </si>
  <si>
    <t>SUB-10412</t>
  </si>
  <si>
    <t>SUB-10413</t>
  </si>
  <si>
    <t>SUB-10414</t>
  </si>
  <si>
    <t>SUB-10415</t>
  </si>
  <si>
    <t>SUB-10416</t>
  </si>
  <si>
    <t>SUB-10417</t>
  </si>
  <si>
    <t>SUB-10418</t>
  </si>
  <si>
    <t>SUB-10419</t>
  </si>
  <si>
    <t>SUB-10420</t>
  </si>
  <si>
    <t>SUB-10421</t>
  </si>
  <si>
    <t>SUB-10422</t>
  </si>
  <si>
    <t>SUB-10423</t>
  </si>
  <si>
    <t>SUB-10424</t>
  </si>
  <si>
    <t>SUB-10425</t>
  </si>
  <si>
    <t>SUB-10426</t>
  </si>
  <si>
    <t>SUB-10427</t>
  </si>
  <si>
    <t>SUB-10428</t>
  </si>
  <si>
    <t>SUB-10429</t>
  </si>
  <si>
    <t>SUB-10430</t>
  </si>
  <si>
    <t>SUB-10431</t>
  </si>
  <si>
    <t>SUB-10432</t>
  </si>
  <si>
    <t>SUB-10433</t>
  </si>
  <si>
    <t>SUB-10434</t>
  </si>
  <si>
    <t>SUB-10435</t>
  </si>
  <si>
    <t>SUB-10436</t>
  </si>
  <si>
    <t>SUB-10437</t>
  </si>
  <si>
    <t>SUB-10438</t>
  </si>
  <si>
    <t>SUB-10439</t>
  </si>
  <si>
    <t>SUB-10440</t>
  </si>
  <si>
    <t>SUB-10441</t>
  </si>
  <si>
    <t>SUB-10442</t>
  </si>
  <si>
    <t>SUB-10443</t>
  </si>
  <si>
    <t>SUB-10444</t>
  </si>
  <si>
    <t>SUB-10445</t>
  </si>
  <si>
    <t>SUB-10446</t>
  </si>
  <si>
    <t>SUB-10447</t>
  </si>
  <si>
    <t>SUB-10448</t>
  </si>
  <si>
    <t>SUB-10449</t>
  </si>
  <si>
    <t>SUB-10450</t>
  </si>
  <si>
    <t>SUB-10451</t>
  </si>
  <si>
    <t>SUB-10452</t>
  </si>
  <si>
    <t>SUB-10453</t>
  </si>
  <si>
    <t>SUB-10454</t>
  </si>
  <si>
    <t>SUB-10455</t>
  </si>
  <si>
    <t>SUB-10456</t>
  </si>
  <si>
    <t>SUB-10457</t>
  </si>
  <si>
    <t>SUB-10458</t>
  </si>
  <si>
    <t>SUB-10459</t>
  </si>
  <si>
    <t>SUB-10460</t>
  </si>
  <si>
    <t>SUB-10461</t>
  </si>
  <si>
    <t>SUB-10462</t>
  </si>
  <si>
    <t>SUB-10463</t>
  </si>
  <si>
    <t>SUB-10464</t>
  </si>
  <si>
    <t>SUB-10465</t>
  </si>
  <si>
    <t>SUB-10466</t>
  </si>
  <si>
    <t>SUB-10467</t>
  </si>
  <si>
    <t>SUB-10468</t>
  </si>
  <si>
    <t>SUB-10469</t>
  </si>
  <si>
    <t>SUB-10470</t>
  </si>
  <si>
    <t>SUB-10471</t>
  </si>
  <si>
    <t>SUB-10472</t>
  </si>
  <si>
    <t>SUB-10473</t>
  </si>
  <si>
    <t>SUB-10474</t>
  </si>
  <si>
    <t>SUB-10475</t>
  </si>
  <si>
    <t>SUB-10476</t>
  </si>
  <si>
    <t>SUB-10477</t>
  </si>
  <si>
    <t>SUB-10478</t>
  </si>
  <si>
    <t>SUB-10479</t>
  </si>
  <si>
    <t>SUB-10480</t>
  </si>
  <si>
    <t>SUB-10481</t>
  </si>
  <si>
    <t>SUB-10482</t>
  </si>
  <si>
    <t>SUB-10483</t>
  </si>
  <si>
    <t>SUB-10484</t>
  </si>
  <si>
    <t>SUB-10485</t>
  </si>
  <si>
    <t>SUB-10486</t>
  </si>
  <si>
    <t>SUB-10487</t>
  </si>
  <si>
    <t>SUB-10488</t>
  </si>
  <si>
    <t>SUB-10489</t>
  </si>
  <si>
    <t>SUB-10490</t>
  </si>
  <si>
    <t>SUB-10491</t>
  </si>
  <si>
    <t>SUB-10492</t>
  </si>
  <si>
    <t>SUB-10493</t>
  </si>
  <si>
    <t>SUB-10494</t>
  </si>
  <si>
    <t>SUB-10495</t>
  </si>
  <si>
    <t>SUB-10496</t>
  </si>
  <si>
    <t>SUB-10497</t>
  </si>
  <si>
    <t>SUB-10498</t>
  </si>
  <si>
    <t>SUB-10499</t>
  </si>
  <si>
    <t>SUB-10500</t>
  </si>
  <si>
    <t>SUB-10501</t>
  </si>
  <si>
    <t>SUB-10502</t>
  </si>
  <si>
    <t>SUB-10503</t>
  </si>
  <si>
    <t>SUB-10504</t>
  </si>
  <si>
    <t>SUB-10505</t>
  </si>
  <si>
    <t>SUB-10506</t>
  </si>
  <si>
    <t>SUB-10507</t>
  </si>
  <si>
    <t>SUB-10508</t>
  </si>
  <si>
    <t>SUB-10509</t>
  </si>
  <si>
    <t>SUB-10510</t>
  </si>
  <si>
    <t>SUB-10511</t>
  </si>
  <si>
    <t>SUB-10512</t>
  </si>
  <si>
    <t>SUB-10513</t>
  </si>
  <si>
    <t>SUB-10514</t>
  </si>
  <si>
    <t>SUB-10515</t>
  </si>
  <si>
    <t>SUB-10516</t>
  </si>
  <si>
    <t>SUB-10517</t>
  </si>
  <si>
    <t>SUB-10518</t>
  </si>
  <si>
    <t>SUB-10519</t>
  </si>
  <si>
    <t>SUB-10520</t>
  </si>
  <si>
    <t>SUB-10521</t>
  </si>
  <si>
    <t>SUB-10522</t>
  </si>
  <si>
    <t>SUB-10523</t>
  </si>
  <si>
    <t>SUB-10524</t>
  </si>
  <si>
    <t>SUB-10525</t>
  </si>
  <si>
    <t>SUB-10526</t>
  </si>
  <si>
    <t>SUB-10527</t>
  </si>
  <si>
    <t>SUB-10528</t>
  </si>
  <si>
    <t>SUB-10529</t>
  </si>
  <si>
    <t>SUB-10530</t>
  </si>
  <si>
    <t>SUB-10531</t>
  </si>
  <si>
    <t>SUB-10532</t>
  </si>
  <si>
    <t>SUB-10533</t>
  </si>
  <si>
    <t>SUB-10534</t>
  </si>
  <si>
    <t>SUB-10535</t>
  </si>
  <si>
    <t>SUB-10536</t>
  </si>
  <si>
    <t>SUB-10537</t>
  </si>
  <si>
    <t>SUB-10538</t>
  </si>
  <si>
    <t>SUB-10539</t>
  </si>
  <si>
    <t>SUB-10540</t>
  </si>
  <si>
    <t>SUB-10541</t>
  </si>
  <si>
    <t>SUB-10542</t>
  </si>
  <si>
    <t>SUB-10543</t>
  </si>
  <si>
    <t>SUB-10544</t>
  </si>
  <si>
    <t>SUB-10545</t>
  </si>
  <si>
    <t>SUB-10546</t>
  </si>
  <si>
    <t>SUB-10547</t>
  </si>
  <si>
    <t>SUB-10548</t>
  </si>
  <si>
    <t>SUB-10549</t>
  </si>
  <si>
    <t>SUB-10550</t>
  </si>
  <si>
    <t>SUB-10551</t>
  </si>
  <si>
    <t>SUB-10552</t>
  </si>
  <si>
    <t>SUB-10553</t>
  </si>
  <si>
    <t>SUB-10554</t>
  </si>
  <si>
    <t>SUB-10555</t>
  </si>
  <si>
    <t>SUB-10556</t>
  </si>
  <si>
    <t>SUB-10557</t>
  </si>
  <si>
    <t>SUB-10558</t>
  </si>
  <si>
    <t>SUB-10559</t>
  </si>
  <si>
    <t>SUB-10560</t>
  </si>
  <si>
    <t>SUB-10561</t>
  </si>
  <si>
    <t>SUB-10562</t>
  </si>
  <si>
    <t>SUB-10563</t>
  </si>
  <si>
    <t>SUB-10564</t>
  </si>
  <si>
    <t>SUB-10565</t>
  </si>
  <si>
    <t>SUB-10566</t>
  </si>
  <si>
    <t>SUB-10567</t>
  </si>
  <si>
    <t>SUB-10568</t>
  </si>
  <si>
    <t>SUB-10569</t>
  </si>
  <si>
    <t>SUB-10570</t>
  </si>
  <si>
    <t>SUB-10571</t>
  </si>
  <si>
    <t>SUB-10572</t>
  </si>
  <si>
    <t>SUB-10573</t>
  </si>
  <si>
    <t>SUB-10574</t>
  </si>
  <si>
    <t>SUB-10575</t>
  </si>
  <si>
    <t>SUB-10576</t>
  </si>
  <si>
    <t>SUB-10577</t>
  </si>
  <si>
    <t>SUB-10578</t>
  </si>
  <si>
    <t>SUB-10579</t>
  </si>
  <si>
    <t>SUB-10580</t>
  </si>
  <si>
    <t>SUB-10581</t>
  </si>
  <si>
    <t>SUB-10582</t>
  </si>
  <si>
    <t>SUB-10583</t>
  </si>
  <si>
    <t>SUB-10584</t>
  </si>
  <si>
    <t>SUB-10585</t>
  </si>
  <si>
    <t>SUB-10586</t>
  </si>
  <si>
    <t>SUB-10587</t>
  </si>
  <si>
    <t>SUB-10588</t>
  </si>
  <si>
    <t>SUB-10589</t>
  </si>
  <si>
    <t>SUB-10590</t>
  </si>
  <si>
    <t>SUB-10591</t>
  </si>
  <si>
    <t>SUB-10592</t>
  </si>
  <si>
    <t>SUB-10593</t>
  </si>
  <si>
    <t>SUB-10594</t>
  </si>
  <si>
    <t>SUB-10595</t>
  </si>
  <si>
    <t>SUB-10596</t>
  </si>
  <si>
    <t>SUB-10597</t>
  </si>
  <si>
    <t>SUB-10598</t>
  </si>
  <si>
    <t>SUB-10599</t>
  </si>
  <si>
    <t>SUB-10600</t>
  </si>
  <si>
    <t>SUB-10601</t>
  </si>
  <si>
    <t>SUB-10602</t>
  </si>
  <si>
    <t>SUB-10603</t>
  </si>
  <si>
    <t>SUB-10604</t>
  </si>
  <si>
    <t>SUB-10605</t>
  </si>
  <si>
    <t>SUB-10606</t>
  </si>
  <si>
    <t>SUB-10607</t>
  </si>
  <si>
    <t>SUB-10608</t>
  </si>
  <si>
    <t>SUB-10609</t>
  </si>
  <si>
    <t>SUB-10610</t>
  </si>
  <si>
    <t>SUB-10611</t>
  </si>
  <si>
    <t>SUB-10612</t>
  </si>
  <si>
    <t>SUB-10613</t>
  </si>
  <si>
    <t>SUB-10614</t>
  </si>
  <si>
    <t>SUB-10615</t>
  </si>
  <si>
    <t>SUB-10616</t>
  </si>
  <si>
    <t>SUB-10617</t>
  </si>
  <si>
    <t>SUB-10618</t>
  </si>
  <si>
    <t>SUB-10619</t>
  </si>
  <si>
    <t>SUB-10620</t>
  </si>
  <si>
    <t>SUB-10621</t>
  </si>
  <si>
    <t>SUB-10622</t>
  </si>
  <si>
    <t>SUB-10623</t>
  </si>
  <si>
    <t>SUB-10624</t>
  </si>
  <si>
    <t>SUB-10625</t>
  </si>
  <si>
    <t>SUB-10626</t>
  </si>
  <si>
    <t>SUB-10627</t>
  </si>
  <si>
    <t>SUB-10628</t>
  </si>
  <si>
    <t>SUB-10629</t>
  </si>
  <si>
    <t>SUB-10630</t>
  </si>
  <si>
    <t>SUB-10631</t>
  </si>
  <si>
    <t>SUB-10632</t>
  </si>
  <si>
    <t>SUB-10633</t>
  </si>
  <si>
    <t>SUB-10634</t>
  </si>
  <si>
    <t>SUB-10635</t>
  </si>
  <si>
    <t>SUB-10636</t>
  </si>
  <si>
    <t>SUB-10637</t>
  </si>
  <si>
    <t>SUB-10638</t>
  </si>
  <si>
    <t>SUB-10639</t>
  </si>
  <si>
    <t>SUB-10640</t>
  </si>
  <si>
    <t>SUB-10641</t>
  </si>
  <si>
    <t>SUB-10642</t>
  </si>
  <si>
    <t>SUB-10643</t>
  </si>
  <si>
    <t>SUB-10644</t>
  </si>
  <si>
    <t>SUB-10645</t>
  </si>
  <si>
    <t>SUB-10646</t>
  </si>
  <si>
    <t>SUB-10647</t>
  </si>
  <si>
    <t>SUB-10648</t>
  </si>
  <si>
    <t>SUB-10649</t>
  </si>
  <si>
    <t>SUB-10650</t>
  </si>
  <si>
    <t>SUB-10651</t>
  </si>
  <si>
    <t>SUB-10652</t>
  </si>
  <si>
    <t>SUB-10653</t>
  </si>
  <si>
    <t>SUB-10654</t>
  </si>
  <si>
    <t>SUB-10655</t>
  </si>
  <si>
    <t>SUB-10656</t>
  </si>
  <si>
    <t>SUB-10657</t>
  </si>
  <si>
    <t>SUB-10658</t>
  </si>
  <si>
    <t>SUB-10659</t>
  </si>
  <si>
    <t>SUB-10660</t>
  </si>
  <si>
    <t>SUB-10661</t>
  </si>
  <si>
    <t>SUB-10662</t>
  </si>
  <si>
    <t>SUB-10663</t>
  </si>
  <si>
    <t>SUB-10664</t>
  </si>
  <si>
    <t>SUB-10665</t>
  </si>
  <si>
    <t>SUB-10666</t>
  </si>
  <si>
    <t>SUB-10667</t>
  </si>
  <si>
    <t>SUB-10668</t>
  </si>
  <si>
    <t>SUB-10669</t>
  </si>
  <si>
    <t>SUB-10670</t>
  </si>
  <si>
    <t>SUB-10671</t>
  </si>
  <si>
    <t>SUB-10672</t>
  </si>
  <si>
    <t>SUB-10673</t>
  </si>
  <si>
    <t>SUB-10674</t>
  </si>
  <si>
    <t>SUB-10675</t>
  </si>
  <si>
    <t>SUB-10676</t>
  </si>
  <si>
    <t>SUB-10677</t>
  </si>
  <si>
    <t>SUB-10678</t>
  </si>
  <si>
    <t>SUB-10679</t>
  </si>
  <si>
    <t>SUB-10680</t>
  </si>
  <si>
    <t>SUB-10681</t>
  </si>
  <si>
    <t>SUB-10682</t>
  </si>
  <si>
    <t>SUB-10683</t>
  </si>
  <si>
    <t>SUB-10684</t>
  </si>
  <si>
    <t>SUB-10685</t>
  </si>
  <si>
    <t>SUB-10686</t>
  </si>
  <si>
    <t>SUB-10687</t>
  </si>
  <si>
    <t>SUB-10688</t>
  </si>
  <si>
    <t>SUB-10689</t>
  </si>
  <si>
    <t>SUB-10690</t>
  </si>
  <si>
    <t>SUB-10691</t>
  </si>
  <si>
    <t>SUB-10692</t>
  </si>
  <si>
    <t>SUB-10693</t>
  </si>
  <si>
    <t>SUB-10694</t>
  </si>
  <si>
    <t>SUB-10695</t>
  </si>
  <si>
    <t>SUB-10696</t>
  </si>
  <si>
    <t>SUB-10697</t>
  </si>
  <si>
    <t>SUB-10698</t>
  </si>
  <si>
    <t>SUB-10699</t>
  </si>
  <si>
    <t>SUB-10700</t>
  </si>
  <si>
    <t>SUB-10701</t>
  </si>
  <si>
    <t>SUB-10702</t>
  </si>
  <si>
    <t>SUB-10703</t>
  </si>
  <si>
    <t>SUB-10704</t>
  </si>
  <si>
    <t>SUB-10705</t>
  </si>
  <si>
    <t>SUB-10706</t>
  </si>
  <si>
    <t>SUB-10707</t>
  </si>
  <si>
    <t>SUB-10708</t>
  </si>
  <si>
    <t>SUB-10709</t>
  </si>
  <si>
    <t>SUB-10710</t>
  </si>
  <si>
    <t>SUB-10711</t>
  </si>
  <si>
    <t>SUB-10712</t>
  </si>
  <si>
    <t>SUB-10713</t>
  </si>
  <si>
    <t>SUB-10714</t>
  </si>
  <si>
    <t>SUB-10715</t>
  </si>
  <si>
    <t>SUB-10716</t>
  </si>
  <si>
    <t>SUB-10717</t>
  </si>
  <si>
    <t>SUB-10718</t>
  </si>
  <si>
    <t>SUB-10719</t>
  </si>
  <si>
    <t>SUB-10720</t>
  </si>
  <si>
    <t>SUB-10721</t>
  </si>
  <si>
    <t>SUB-10722</t>
  </si>
  <si>
    <t>SUB-10723</t>
  </si>
  <si>
    <t>SUB-10724</t>
  </si>
  <si>
    <t>SUB-10725</t>
  </si>
  <si>
    <t>SUB-10726</t>
  </si>
  <si>
    <t>SUB-10727</t>
  </si>
  <si>
    <t>SUB-10728</t>
  </si>
  <si>
    <t>SUB-10729</t>
  </si>
  <si>
    <t>SUB-10730</t>
  </si>
  <si>
    <t>SUB-10731</t>
  </si>
  <si>
    <t>SUB-10732</t>
  </si>
  <si>
    <t>SUB-10733</t>
  </si>
  <si>
    <t>SUB-10734</t>
  </si>
  <si>
    <t>SUB-10735</t>
  </si>
  <si>
    <t>SUB-10736</t>
  </si>
  <si>
    <t>SUB-10737</t>
  </si>
  <si>
    <t>SUB-10738</t>
  </si>
  <si>
    <t>SUB-10739</t>
  </si>
  <si>
    <t>SUB-10740</t>
  </si>
  <si>
    <t>SUB-10741</t>
  </si>
  <si>
    <t>SUB-10742</t>
  </si>
  <si>
    <t>SUB-10743</t>
  </si>
  <si>
    <t>SUB-10744</t>
  </si>
  <si>
    <t>SUB-10745</t>
  </si>
  <si>
    <t>SUB-10746</t>
  </si>
  <si>
    <t>SUB-10747</t>
  </si>
  <si>
    <t>SUB-10748</t>
  </si>
  <si>
    <t>SUB-10749</t>
  </si>
  <si>
    <t>SUB-10750</t>
  </si>
  <si>
    <t>SUB-10751</t>
  </si>
  <si>
    <t>SUB-10752</t>
  </si>
  <si>
    <t>SUB-10753</t>
  </si>
  <si>
    <t>SUB-10754</t>
  </si>
  <si>
    <t>SUB-10755</t>
  </si>
  <si>
    <t>SUB-10756</t>
  </si>
  <si>
    <t>SUB-10757</t>
  </si>
  <si>
    <t>SUB-10758</t>
  </si>
  <si>
    <t>SUB-10759</t>
  </si>
  <si>
    <t>SUB-10760</t>
  </si>
  <si>
    <t>SUB-10761</t>
  </si>
  <si>
    <t>SUB-10762</t>
  </si>
  <si>
    <t>SUB-10763</t>
  </si>
  <si>
    <t>SUB-10764</t>
  </si>
  <si>
    <t>SUB-10765</t>
  </si>
  <si>
    <t>SUB-10766</t>
  </si>
  <si>
    <t>SUB-10767</t>
  </si>
  <si>
    <t>SUB-10768</t>
  </si>
  <si>
    <t>SUB-10769</t>
  </si>
  <si>
    <t>SUB-10770</t>
  </si>
  <si>
    <t>SUB-10771</t>
  </si>
  <si>
    <t>SUB-10772</t>
  </si>
  <si>
    <t>SUB-10773</t>
  </si>
  <si>
    <t>SUB-10774</t>
  </si>
  <si>
    <t>SUB-10775</t>
  </si>
  <si>
    <t>SUB-10776</t>
  </si>
  <si>
    <t>SUB-10777</t>
  </si>
  <si>
    <t>SUB-10778</t>
  </si>
  <si>
    <t>SUB-10779</t>
  </si>
  <si>
    <t>SUB-10780</t>
  </si>
  <si>
    <t>SUB-10781</t>
  </si>
  <si>
    <t>SUB-10782</t>
  </si>
  <si>
    <t>SUB-10783</t>
  </si>
  <si>
    <t>SUB-10784</t>
  </si>
  <si>
    <t>SUB-10785</t>
  </si>
  <si>
    <t>SUB-10786</t>
  </si>
  <si>
    <t>SUB-10787</t>
  </si>
  <si>
    <t>SUB-10788</t>
  </si>
  <si>
    <t>SUB-10789</t>
  </si>
  <si>
    <t>SUB-10790</t>
  </si>
  <si>
    <t>SUB-10791</t>
  </si>
  <si>
    <t>SUB-10792</t>
  </si>
  <si>
    <t>SUB-10793</t>
  </si>
  <si>
    <t>SUB-10794</t>
  </si>
  <si>
    <t>SUB-10795</t>
  </si>
  <si>
    <t>SUB-10796</t>
  </si>
  <si>
    <t>SUB-10797</t>
  </si>
  <si>
    <t>SUB-10798</t>
  </si>
  <si>
    <t>SUB-10799</t>
  </si>
  <si>
    <t>SUB-10800</t>
  </si>
  <si>
    <t>SUB-10801</t>
  </si>
  <si>
    <t>SUB-10802</t>
  </si>
  <si>
    <t>SUB-10803</t>
  </si>
  <si>
    <t>SUB-10804</t>
  </si>
  <si>
    <t>SUB-10805</t>
  </si>
  <si>
    <t>SUB-10806</t>
  </si>
  <si>
    <t>SUB-10807</t>
  </si>
  <si>
    <t>SUB-10808</t>
  </si>
  <si>
    <t>SUB-10809</t>
  </si>
  <si>
    <t>SUB-10810</t>
  </si>
  <si>
    <t>SUB-10811</t>
  </si>
  <si>
    <t>SUB-10812</t>
  </si>
  <si>
    <t>SUB-10813</t>
  </si>
  <si>
    <t>SUB-10814</t>
  </si>
  <si>
    <t>SUB-10815</t>
  </si>
  <si>
    <t>SUB-10816</t>
  </si>
  <si>
    <t>SUB-10817</t>
  </si>
  <si>
    <t>SUB-10818</t>
  </si>
  <si>
    <t>SUB-10819</t>
  </si>
  <si>
    <t>SUB-10820</t>
  </si>
  <si>
    <t>SUB-10821</t>
  </si>
  <si>
    <t>SUB-10822</t>
  </si>
  <si>
    <t>SUB-10823</t>
  </si>
  <si>
    <t>SUB-10824</t>
  </si>
  <si>
    <t>SUB-10825</t>
  </si>
  <si>
    <t>SUB-10826</t>
  </si>
  <si>
    <t>SUB-10827</t>
  </si>
  <si>
    <t>SUB-10828</t>
  </si>
  <si>
    <t>SUB-10829</t>
  </si>
  <si>
    <t>SUB-10830</t>
  </si>
  <si>
    <t>SUB-10831</t>
  </si>
  <si>
    <t>SUB-10832</t>
  </si>
  <si>
    <t>SUB-10833</t>
  </si>
  <si>
    <t>SUB-10834</t>
  </si>
  <si>
    <t>SUB-10835</t>
  </si>
  <si>
    <t>SUB-10836</t>
  </si>
  <si>
    <t>SUB-10837</t>
  </si>
  <si>
    <t>SUB-10838</t>
  </si>
  <si>
    <t>SUB-10839</t>
  </si>
  <si>
    <t>SUB-10840</t>
  </si>
  <si>
    <t>SUB-10841</t>
  </si>
  <si>
    <t>SUB-10842</t>
  </si>
  <si>
    <t>SUB-10843</t>
  </si>
  <si>
    <t>SUB-10844</t>
  </si>
  <si>
    <t>SUB-10845</t>
  </si>
  <si>
    <t>SUB-10846</t>
  </si>
  <si>
    <t>SUB-10847</t>
  </si>
  <si>
    <t>SUB-10848</t>
  </si>
  <si>
    <t>SUB-10849</t>
  </si>
  <si>
    <t>SUB-10850</t>
  </si>
  <si>
    <t>SUB-10851</t>
  </si>
  <si>
    <t>SUB-10852</t>
  </si>
  <si>
    <t>SUB-10853</t>
  </si>
  <si>
    <t>SUB-10854</t>
  </si>
  <si>
    <t>SUB-10855</t>
  </si>
  <si>
    <t>SUB-10856</t>
  </si>
  <si>
    <t>SUB-10857</t>
  </si>
  <si>
    <t>SUB-10858</t>
  </si>
  <si>
    <t>SUB-10859</t>
  </si>
  <si>
    <t>SUB-10860</t>
  </si>
  <si>
    <t>SUB-10861</t>
  </si>
  <si>
    <t>SUB-10862</t>
  </si>
  <si>
    <t>SUB-10863</t>
  </si>
  <si>
    <t>SUB-10864</t>
  </si>
  <si>
    <t>SUB-10865</t>
  </si>
  <si>
    <t>SUB-10866</t>
  </si>
  <si>
    <t>SUB-10867</t>
  </si>
  <si>
    <t>SUB-10868</t>
  </si>
  <si>
    <t>SUB-10869</t>
  </si>
  <si>
    <t>SUB-10870</t>
  </si>
  <si>
    <t>SUB-10871</t>
  </si>
  <si>
    <t>SUB-10872</t>
  </si>
  <si>
    <t>SUB-10873</t>
  </si>
  <si>
    <t>SUB-10874</t>
  </si>
  <si>
    <t>SUB-10875</t>
  </si>
  <si>
    <t>SUB-10876</t>
  </si>
  <si>
    <t>SUB-10877</t>
  </si>
  <si>
    <t>SUB-10878</t>
  </si>
  <si>
    <t>SUB-10879</t>
  </si>
  <si>
    <t>SUB-10880</t>
  </si>
  <si>
    <t>SUB-10881</t>
  </si>
  <si>
    <t>SUB-10882</t>
  </si>
  <si>
    <t>SUB-10883</t>
  </si>
  <si>
    <t>SUB-10884</t>
  </si>
  <si>
    <t>SUB-10885</t>
  </si>
  <si>
    <t>SUB-10886</t>
  </si>
  <si>
    <t>SUB-10887</t>
  </si>
  <si>
    <t>SUB-10888</t>
  </si>
  <si>
    <t>SUB-10889</t>
  </si>
  <si>
    <t>SUB-10890</t>
  </si>
  <si>
    <t>SUB-10891</t>
  </si>
  <si>
    <t>SUB-10892</t>
  </si>
  <si>
    <t>SUB-10893</t>
  </si>
  <si>
    <t>SUB-10894</t>
  </si>
  <si>
    <t>SUB-10895</t>
  </si>
  <si>
    <t>SUB-10896</t>
  </si>
  <si>
    <t>SUB-10897</t>
  </si>
  <si>
    <t>SUB-10898</t>
  </si>
  <si>
    <t>SUB-10899</t>
  </si>
  <si>
    <t>SUB-10900</t>
  </si>
  <si>
    <t>SUB-10901</t>
  </si>
  <si>
    <t>SUB-10902</t>
  </si>
  <si>
    <t>SUB-10903</t>
  </si>
  <si>
    <t>SUB-10904</t>
  </si>
  <si>
    <t>SUB-10905</t>
  </si>
  <si>
    <t>SUB-10906</t>
  </si>
  <si>
    <t>SUB-10907</t>
  </si>
  <si>
    <t>SUB-10908</t>
  </si>
  <si>
    <t>SUB-10909</t>
  </si>
  <si>
    <t>SUB-10910</t>
  </si>
  <si>
    <t>SUB-10911</t>
  </si>
  <si>
    <t>SUB-10912</t>
  </si>
  <si>
    <t>SUB-10913</t>
  </si>
  <si>
    <t>SUB-10914</t>
  </si>
  <si>
    <t>SUB-10915</t>
  </si>
  <si>
    <t>SUB-10916</t>
  </si>
  <si>
    <t>SUB-10917</t>
  </si>
  <si>
    <t>SUB-10918</t>
  </si>
  <si>
    <t>SUB-10919</t>
  </si>
  <si>
    <t>SUB-10920</t>
  </si>
  <si>
    <t>SUB-10921</t>
  </si>
  <si>
    <t>SUB-10922</t>
  </si>
  <si>
    <t>SUB-10923</t>
  </si>
  <si>
    <t>SUB-10924</t>
  </si>
  <si>
    <t>SUB-10925</t>
  </si>
  <si>
    <t>SUB-10926</t>
  </si>
  <si>
    <t>SUB-10927</t>
  </si>
  <si>
    <t>SUB-10928</t>
  </si>
  <si>
    <t>SUB-10929</t>
  </si>
  <si>
    <t>SUB-10930</t>
  </si>
  <si>
    <t>SUB-10931</t>
  </si>
  <si>
    <t>SUB-10932</t>
  </si>
  <si>
    <t>SUB-10933</t>
  </si>
  <si>
    <t>SUB-10934</t>
  </si>
  <si>
    <t>SUB-10935</t>
  </si>
  <si>
    <t>SUB-10936</t>
  </si>
  <si>
    <t>SUB-10937</t>
  </si>
  <si>
    <t>SUB-10938</t>
  </si>
  <si>
    <t>SUB-10939</t>
  </si>
  <si>
    <t>SUB-10940</t>
  </si>
  <si>
    <t>SUB-10941</t>
  </si>
  <si>
    <t>SUB-10942</t>
  </si>
  <si>
    <t>SUB-10943</t>
  </si>
  <si>
    <t>SUB-10944</t>
  </si>
  <si>
    <t>SUB-10945</t>
  </si>
  <si>
    <t>SUB-10946</t>
  </si>
  <si>
    <t>SUB-10947</t>
  </si>
  <si>
    <t>SUB-10948</t>
  </si>
  <si>
    <t>SUB-10949</t>
  </si>
  <si>
    <t>SUB-10950</t>
  </si>
  <si>
    <t>SUB-10951</t>
  </si>
  <si>
    <t>SUB-10952</t>
  </si>
  <si>
    <t>SUB-10953</t>
  </si>
  <si>
    <t>SUB-10954</t>
  </si>
  <si>
    <t>SUB-10955</t>
  </si>
  <si>
    <t>SUB-10956</t>
  </si>
  <si>
    <t>SUB-10957</t>
  </si>
  <si>
    <t>SUB-10958</t>
  </si>
  <si>
    <t>SUB-10959</t>
  </si>
  <si>
    <t>SUB-10960</t>
  </si>
  <si>
    <t>SUB-10961</t>
  </si>
  <si>
    <t>SUB-10962</t>
  </si>
  <si>
    <t>SUB-10963</t>
  </si>
  <si>
    <t>SUB-10964</t>
  </si>
  <si>
    <t>SUB-10965</t>
  </si>
  <si>
    <t>SUB-10966</t>
  </si>
  <si>
    <t>SUB-10967</t>
  </si>
  <si>
    <t>SUB-10968</t>
  </si>
  <si>
    <t>SUB-10969</t>
  </si>
  <si>
    <t>SUB-10970</t>
  </si>
  <si>
    <t>SUB-10971</t>
  </si>
  <si>
    <t>SUB-10972</t>
  </si>
  <si>
    <t>SUB-10973</t>
  </si>
  <si>
    <t>SUB-10974</t>
  </si>
  <si>
    <t>SUB-10975</t>
  </si>
  <si>
    <t>SUB-10976</t>
  </si>
  <si>
    <t>SUB-10977</t>
  </si>
  <si>
    <t>SUB-10978</t>
  </si>
  <si>
    <t>SUB-10979</t>
  </si>
  <si>
    <t>SUB-10980</t>
  </si>
  <si>
    <t>SUB-10981</t>
  </si>
  <si>
    <t>SUB-10982</t>
  </si>
  <si>
    <t>SUB-10983</t>
  </si>
  <si>
    <t>SUB-10984</t>
  </si>
  <si>
    <t>SUB-10985</t>
  </si>
  <si>
    <t>SUB-10986</t>
  </si>
  <si>
    <t>SUB-10987</t>
  </si>
  <si>
    <t>SUB-10988</t>
  </si>
  <si>
    <t>SUB-10989</t>
  </si>
  <si>
    <t>SUB-10990</t>
  </si>
  <si>
    <t>SUB-10991</t>
  </si>
  <si>
    <t>SUB-10992</t>
  </si>
  <si>
    <t>SUB-10993</t>
  </si>
  <si>
    <t>SUB-10994</t>
  </si>
  <si>
    <t>SUB-10995</t>
  </si>
  <si>
    <t>SUB-10996</t>
  </si>
  <si>
    <t>SUB-10997</t>
  </si>
  <si>
    <t>SUB-10998</t>
  </si>
  <si>
    <t>SUB-10999</t>
  </si>
  <si>
    <t>SUB-11000</t>
  </si>
  <si>
    <t>SUB-11001</t>
  </si>
  <si>
    <t>SUB-11002</t>
  </si>
  <si>
    <t>SUB-11003</t>
  </si>
  <si>
    <t>SUB-11004</t>
  </si>
  <si>
    <t>SUB-11005</t>
  </si>
  <si>
    <t>SUB-11006</t>
  </si>
  <si>
    <t>SUB-11007</t>
  </si>
  <si>
    <t>SUB-11008</t>
  </si>
  <si>
    <t>SUB-11009</t>
  </si>
  <si>
    <t>SUB-11010</t>
  </si>
  <si>
    <t>SUB-11011</t>
  </si>
  <si>
    <t>SUB-11012</t>
  </si>
  <si>
    <t>SUB-11013</t>
  </si>
  <si>
    <t>SUB-11014</t>
  </si>
  <si>
    <t>SUB-11015</t>
  </si>
  <si>
    <t>SUB-11016</t>
  </si>
  <si>
    <t>SUB-11017</t>
  </si>
  <si>
    <t>SUB-11018</t>
  </si>
  <si>
    <t>SUB-11019</t>
  </si>
  <si>
    <t>SUB-11020</t>
  </si>
  <si>
    <t>SUB-11021</t>
  </si>
  <si>
    <t>SUB-11022</t>
  </si>
  <si>
    <t>SUB-11023</t>
  </si>
  <si>
    <t>SUB-11024</t>
  </si>
  <si>
    <t>SUB-11025</t>
  </si>
  <si>
    <t>SUB-11026</t>
  </si>
  <si>
    <t>SUB-11027</t>
  </si>
  <si>
    <t>SUB-11028</t>
  </si>
  <si>
    <t>SUB-11029</t>
  </si>
  <si>
    <t>SUB-11030</t>
  </si>
  <si>
    <t>SUB-11031</t>
  </si>
  <si>
    <t>SUB-11032</t>
  </si>
  <si>
    <t>SUB-11033</t>
  </si>
  <si>
    <t>SUB-11034</t>
  </si>
  <si>
    <t>SUB-11035</t>
  </si>
  <si>
    <t>SUB-11036</t>
  </si>
  <si>
    <t>SUB-11037</t>
  </si>
  <si>
    <t>SUB-11038</t>
  </si>
  <si>
    <t>SUB-11039</t>
  </si>
  <si>
    <t>SUB-11040</t>
  </si>
  <si>
    <t>SUB-11041</t>
  </si>
  <si>
    <t>SUB-11042</t>
  </si>
  <si>
    <t>SUB-11043</t>
  </si>
  <si>
    <t>SUB-11044</t>
  </si>
  <si>
    <t>SUB-11045</t>
  </si>
  <si>
    <t>SUB-11046</t>
  </si>
  <si>
    <t>SUB-11047</t>
  </si>
  <si>
    <t>SUB-11048</t>
  </si>
  <si>
    <t>SUB-11049</t>
  </si>
  <si>
    <t>SUB-11050</t>
  </si>
  <si>
    <t>SUB-11051</t>
  </si>
  <si>
    <t>SUB-11052</t>
  </si>
  <si>
    <t>SUB-11053</t>
  </si>
  <si>
    <t>SUB-11054</t>
  </si>
  <si>
    <t>SUB-11055</t>
  </si>
  <si>
    <t>SUB-11056</t>
  </si>
  <si>
    <t>SUB-11057</t>
  </si>
  <si>
    <t>SUB-11058</t>
  </si>
  <si>
    <t>SUB-11059</t>
  </si>
  <si>
    <t>SUB-11060</t>
  </si>
  <si>
    <t>SUB-11061</t>
  </si>
  <si>
    <t>SUB-11062</t>
  </si>
  <si>
    <t>SUB-11063</t>
  </si>
  <si>
    <t>SUB-11064</t>
  </si>
  <si>
    <t>SUB-11065</t>
  </si>
  <si>
    <t>SUB-11066</t>
  </si>
  <si>
    <t>SUB-11067</t>
  </si>
  <si>
    <t>SUB-11068</t>
  </si>
  <si>
    <t>SUB-11069</t>
  </si>
  <si>
    <t>SUB-11070</t>
  </si>
  <si>
    <t>SUB-11071</t>
  </si>
  <si>
    <t>SUB-11072</t>
  </si>
  <si>
    <t>SUB-11073</t>
  </si>
  <si>
    <t>SUB-11074</t>
  </si>
  <si>
    <t>SUB-11075</t>
  </si>
  <si>
    <t>SUB-11076</t>
  </si>
  <si>
    <t>SUB-11077</t>
  </si>
  <si>
    <t>SUB-11078</t>
  </si>
  <si>
    <t>SUB-11079</t>
  </si>
  <si>
    <t>SUB-11080</t>
  </si>
  <si>
    <t>SUB-11081</t>
  </si>
  <si>
    <t>SUB-11082</t>
  </si>
  <si>
    <t>SUB-11083</t>
  </si>
  <si>
    <t>SUB-11084</t>
  </si>
  <si>
    <t>SUB-11085</t>
  </si>
  <si>
    <t>SUB-11086</t>
  </si>
  <si>
    <t>SUB-11087</t>
  </si>
  <si>
    <t>SUB-11088</t>
  </si>
  <si>
    <t>SUB-11089</t>
  </si>
  <si>
    <t>SUB-11090</t>
  </si>
  <si>
    <t>SUB-11091</t>
  </si>
  <si>
    <t>SUB-11092</t>
  </si>
  <si>
    <t>SUB-11093</t>
  </si>
  <si>
    <t>SUB-11094</t>
  </si>
  <si>
    <t>SUB-11095</t>
  </si>
  <si>
    <t>SUB-11096</t>
  </si>
  <si>
    <t>SUB-11097</t>
  </si>
  <si>
    <t>SUB-11098</t>
  </si>
  <si>
    <t>SUB-11099</t>
  </si>
  <si>
    <t>SUB-11100</t>
  </si>
  <si>
    <t>SUB-11101</t>
  </si>
  <si>
    <t>SUB-11102</t>
  </si>
  <si>
    <t>SUB-11103</t>
  </si>
  <si>
    <t>SUB-11104</t>
  </si>
  <si>
    <t>SUB-11105</t>
  </si>
  <si>
    <t>SUB-11106</t>
  </si>
  <si>
    <t>SUB-11107</t>
  </si>
  <si>
    <t>SUB-11108</t>
  </si>
  <si>
    <t>SUB-11109</t>
  </si>
  <si>
    <t>SUB-11110</t>
  </si>
  <si>
    <t>SUB-11111</t>
  </si>
  <si>
    <t>SUB-11112</t>
  </si>
  <si>
    <t>SUB-11113</t>
  </si>
  <si>
    <t>SUB-11114</t>
  </si>
  <si>
    <t>SUB-11115</t>
  </si>
  <si>
    <t>SUB-11116</t>
  </si>
  <si>
    <t>SUB-11117</t>
  </si>
  <si>
    <t>SUB-11118</t>
  </si>
  <si>
    <t>SUB-11119</t>
  </si>
  <si>
    <t>SUB-11120</t>
  </si>
  <si>
    <t>SUB-11121</t>
  </si>
  <si>
    <t>SUB-11122</t>
  </si>
  <si>
    <t>SUB-11123</t>
  </si>
  <si>
    <t>SUB-11124</t>
  </si>
  <si>
    <t>SUB-11125</t>
  </si>
  <si>
    <t>SUB-11126</t>
  </si>
  <si>
    <t>SUB-11127</t>
  </si>
  <si>
    <t>SUB-11128</t>
  </si>
  <si>
    <t>SUB-11129</t>
  </si>
  <si>
    <t>SUB-11130</t>
  </si>
  <si>
    <t>SUB-11131</t>
  </si>
  <si>
    <t>SUB-11132</t>
  </si>
  <si>
    <t>SUB-11133</t>
  </si>
  <si>
    <t>SUB-11134</t>
  </si>
  <si>
    <t>SUB-11135</t>
  </si>
  <si>
    <t>SUB-11136</t>
  </si>
  <si>
    <t>SUB-11137</t>
  </si>
  <si>
    <t>SUB-11138</t>
  </si>
  <si>
    <t>SUB-11139</t>
  </si>
  <si>
    <t>SUB-11140</t>
  </si>
  <si>
    <t>SUB-11141</t>
  </si>
  <si>
    <t>SUB-11142</t>
  </si>
  <si>
    <t>SUB-11143</t>
  </si>
  <si>
    <t>SUB-11144</t>
  </si>
  <si>
    <t>SUB-11145</t>
  </si>
  <si>
    <t>SUB-11146</t>
  </si>
  <si>
    <t>SUB-11147</t>
  </si>
  <si>
    <t>SUB-11148</t>
  </si>
  <si>
    <t>SUB-11149</t>
  </si>
  <si>
    <t>SUB-11150</t>
  </si>
  <si>
    <t>SUB-11151</t>
  </si>
  <si>
    <t>SUB-11152</t>
  </si>
  <si>
    <t>SUB-11153</t>
  </si>
  <si>
    <t>SUB-11154</t>
  </si>
  <si>
    <t>SUB-11155</t>
  </si>
  <si>
    <t>SUB-11156</t>
  </si>
  <si>
    <t>SUB-11157</t>
  </si>
  <si>
    <t>SUB-11158</t>
  </si>
  <si>
    <t>SUB-11159</t>
  </si>
  <si>
    <t>SUB-11160</t>
  </si>
  <si>
    <t>SUB-11161</t>
  </si>
  <si>
    <t>SUB-11162</t>
  </si>
  <si>
    <t>SUB-11163</t>
  </si>
  <si>
    <t>SUB-11164</t>
  </si>
  <si>
    <t>SUB-11165</t>
  </si>
  <si>
    <t>SUB-11166</t>
  </si>
  <si>
    <t>SUB-11167</t>
  </si>
  <si>
    <t>SUB-11168</t>
  </si>
  <si>
    <t>SUB-11169</t>
  </si>
  <si>
    <t>SUB-11170</t>
  </si>
  <si>
    <t>SUB-11171</t>
  </si>
  <si>
    <t>SUB-11172</t>
  </si>
  <si>
    <t>SUB-11173</t>
  </si>
  <si>
    <t>SUB-11174</t>
  </si>
  <si>
    <t>SUB-11175</t>
  </si>
  <si>
    <t>SUB-11176</t>
  </si>
  <si>
    <t>SUB-11177</t>
  </si>
  <si>
    <t>SUB-11178</t>
  </si>
  <si>
    <t>SUB-11179</t>
  </si>
  <si>
    <t>SUB-11180</t>
  </si>
  <si>
    <t>SUB-11181</t>
  </si>
  <si>
    <t>SUB-11182</t>
  </si>
  <si>
    <t>SUB-11183</t>
  </si>
  <si>
    <t>SUB-11184</t>
  </si>
  <si>
    <t>SUB-11185</t>
  </si>
  <si>
    <t>SUB-11186</t>
  </si>
  <si>
    <t>SUB-11187</t>
  </si>
  <si>
    <t>SUB-11188</t>
  </si>
  <si>
    <t>SUB-11189</t>
  </si>
  <si>
    <t>SUB-11190</t>
  </si>
  <si>
    <t>SUB-11191</t>
  </si>
  <si>
    <t>SUB-11192</t>
  </si>
  <si>
    <t>SUB-11193</t>
  </si>
  <si>
    <t>SUB-11194</t>
  </si>
  <si>
    <t>SUB-11195</t>
  </si>
  <si>
    <t>SUB-11196</t>
  </si>
  <si>
    <t>SUB-11197</t>
  </si>
  <si>
    <t>SUB-11198</t>
  </si>
  <si>
    <t>SUB-11199</t>
  </si>
  <si>
    <t>SUB-11200</t>
  </si>
  <si>
    <t>SUB-11201</t>
  </si>
  <si>
    <t>SUB-11202</t>
  </si>
  <si>
    <t>SUB-11203</t>
  </si>
  <si>
    <t>SUB-11204</t>
  </si>
  <si>
    <t>SUB-11205</t>
  </si>
  <si>
    <t>SUB-11206</t>
  </si>
  <si>
    <t>SUB-11207</t>
  </si>
  <si>
    <t>SUB-11208</t>
  </si>
  <si>
    <t>SUB-11209</t>
  </si>
  <si>
    <t>SUB-11210</t>
  </si>
  <si>
    <t>SUB-11211</t>
  </si>
  <si>
    <t>SUB-11212</t>
  </si>
  <si>
    <t>SUB-11213</t>
  </si>
  <si>
    <t>SUB-11214</t>
  </si>
  <si>
    <t>SUB-11215</t>
  </si>
  <si>
    <t>SUB-11216</t>
  </si>
  <si>
    <t>SUB-11217</t>
  </si>
  <si>
    <t>SUB-11218</t>
  </si>
  <si>
    <t>SUB-11219</t>
  </si>
  <si>
    <t>SUB-11220</t>
  </si>
  <si>
    <t>SUB-11221</t>
  </si>
  <si>
    <t>SUB-11222</t>
  </si>
  <si>
    <t>SUB-11223</t>
  </si>
  <si>
    <t>SUB-11224</t>
  </si>
  <si>
    <t>SUB-11225</t>
  </si>
  <si>
    <t>SUB-11226</t>
  </si>
  <si>
    <t>SUB-11227</t>
  </si>
  <si>
    <t>SUB-11228</t>
  </si>
  <si>
    <t>SUB-11229</t>
  </si>
  <si>
    <t>SUB-11230</t>
  </si>
  <si>
    <t>SUB-11231</t>
  </si>
  <si>
    <t>SUB-11232</t>
  </si>
  <si>
    <t>SUB-11233</t>
  </si>
  <si>
    <t>SUB-11234</t>
  </si>
  <si>
    <t>SUB-11235</t>
  </si>
  <si>
    <t>SUB-11236</t>
  </si>
  <si>
    <t>SUB-11237</t>
  </si>
  <si>
    <t>SUB-11238</t>
  </si>
  <si>
    <t>SUB-11239</t>
  </si>
  <si>
    <t>SUB-11240</t>
  </si>
  <si>
    <t>SUB-11241</t>
  </si>
  <si>
    <t>SUB-11242</t>
  </si>
  <si>
    <t>SUB-11243</t>
  </si>
  <si>
    <t>SUB-11244</t>
  </si>
  <si>
    <t>SUB-11245</t>
  </si>
  <si>
    <t>SUB-11246</t>
  </si>
  <si>
    <t>SUB-11247</t>
  </si>
  <si>
    <t>SUB-11248</t>
  </si>
  <si>
    <t>SUB-11249</t>
  </si>
  <si>
    <t>SUB-11250</t>
  </si>
  <si>
    <t>SUB-11251</t>
  </si>
  <si>
    <t>SUB-11252</t>
  </si>
  <si>
    <t>SUB-11253</t>
  </si>
  <si>
    <t>SUB-11254</t>
  </si>
  <si>
    <t>SUB-11255</t>
  </si>
  <si>
    <t>SUB-11256</t>
  </si>
  <si>
    <t>SUB-11257</t>
  </si>
  <si>
    <t>SUB-11258</t>
  </si>
  <si>
    <t>SUB-11259</t>
  </si>
  <si>
    <t>SUB-11260</t>
  </si>
  <si>
    <t>SUB-11261</t>
  </si>
  <si>
    <t>SUB-11262</t>
  </si>
  <si>
    <t>SUB-11263</t>
  </si>
  <si>
    <t>SUB-11264</t>
  </si>
  <si>
    <t>SUB-11265</t>
  </si>
  <si>
    <t>SUB-11266</t>
  </si>
  <si>
    <t>SUB-11267</t>
  </si>
  <si>
    <t>SUB-11268</t>
  </si>
  <si>
    <t>SUB-11269</t>
  </si>
  <si>
    <t>SUB-11270</t>
  </si>
  <si>
    <t>SUB-11271</t>
  </si>
  <si>
    <t>SUB-11272</t>
  </si>
  <si>
    <t>SUB-11273</t>
  </si>
  <si>
    <t>SUB-11274</t>
  </si>
  <si>
    <t>SUB-11275</t>
  </si>
  <si>
    <t>SUB-11276</t>
  </si>
  <si>
    <t>SUB-11277</t>
  </si>
  <si>
    <t>SUB-11278</t>
  </si>
  <si>
    <t>SUB-11279</t>
  </si>
  <si>
    <t>SUB-11280</t>
  </si>
  <si>
    <t>SUB-11281</t>
  </si>
  <si>
    <t>SUB-11282</t>
  </si>
  <si>
    <t>SUB-11283</t>
  </si>
  <si>
    <t>SUB-11284</t>
  </si>
  <si>
    <t>SUB-11285</t>
  </si>
  <si>
    <t>SUB-11286</t>
  </si>
  <si>
    <t>SUB-11287</t>
  </si>
  <si>
    <t>SUB-11288</t>
  </si>
  <si>
    <t>SUB-11289</t>
  </si>
  <si>
    <t>SUB-11290</t>
  </si>
  <si>
    <t>SUB-11291</t>
  </si>
  <si>
    <t>SUB-11292</t>
  </si>
  <si>
    <t>SUB-11293</t>
  </si>
  <si>
    <t>SUB-11294</t>
  </si>
  <si>
    <t>SUB-11295</t>
  </si>
  <si>
    <t>SUB-11296</t>
  </si>
  <si>
    <t>SUB-11297</t>
  </si>
  <si>
    <t>SUB-11298</t>
  </si>
  <si>
    <t>SUB-11299</t>
  </si>
  <si>
    <t>SUB-11300</t>
  </si>
  <si>
    <t>SUB-11301</t>
  </si>
  <si>
    <t>SUB-11302</t>
  </si>
  <si>
    <t>SUB-11303</t>
  </si>
  <si>
    <t>SUB-11304</t>
  </si>
  <si>
    <t>SUB-11305</t>
  </si>
  <si>
    <t>SUB-11306</t>
  </si>
  <si>
    <t>SUB-11307</t>
  </si>
  <si>
    <t>SUB-11308</t>
  </si>
  <si>
    <t>SUB-11309</t>
  </si>
  <si>
    <t>SUB-11310</t>
  </si>
  <si>
    <t>SUB-11311</t>
  </si>
  <si>
    <t>SUB-11312</t>
  </si>
  <si>
    <t>SUB-11313</t>
  </si>
  <si>
    <t>SUB-11314</t>
  </si>
  <si>
    <t>SUB-11315</t>
  </si>
  <si>
    <t>SUB-11316</t>
  </si>
  <si>
    <t>SUB-11317</t>
  </si>
  <si>
    <t>SUB-11318</t>
  </si>
  <si>
    <t>SUB-11319</t>
  </si>
  <si>
    <t>SUB-11320</t>
  </si>
  <si>
    <t>SUB-11321</t>
  </si>
  <si>
    <t>SUB-11322</t>
  </si>
  <si>
    <t>SUB-11323</t>
  </si>
  <si>
    <t>SUB-11324</t>
  </si>
  <si>
    <t>SUB-11325</t>
  </si>
  <si>
    <t>SUB-11326</t>
  </si>
  <si>
    <t>SUB-11327</t>
  </si>
  <si>
    <t>SUB-11328</t>
  </si>
  <si>
    <t>SUB-11329</t>
  </si>
  <si>
    <t>SUB-11330</t>
  </si>
  <si>
    <t>SUB-11331</t>
  </si>
  <si>
    <t>SUB-11332</t>
  </si>
  <si>
    <t>SUB-11333</t>
  </si>
  <si>
    <t>SUB-11334</t>
  </si>
  <si>
    <t>SUB-11335</t>
  </si>
  <si>
    <t>SUB-11336</t>
  </si>
  <si>
    <t>SUB-11337</t>
  </si>
  <si>
    <t>SUB-11338</t>
  </si>
  <si>
    <t>SUB-11339</t>
  </si>
  <si>
    <t>SUB-11340</t>
  </si>
  <si>
    <t>SUB-11341</t>
  </si>
  <si>
    <t>SUB-11342</t>
  </si>
  <si>
    <t>SUB-11343</t>
  </si>
  <si>
    <t>SUB-11344</t>
  </si>
  <si>
    <t>SUB-11345</t>
  </si>
  <si>
    <t>SUB-11346</t>
  </si>
  <si>
    <t>SUB-11347</t>
  </si>
  <si>
    <t>SUB-11348</t>
  </si>
  <si>
    <t>SUB-11349</t>
  </si>
  <si>
    <t>SUB-11350</t>
  </si>
  <si>
    <t>SUB-11351</t>
  </si>
  <si>
    <t>SUB-11352</t>
  </si>
  <si>
    <t>SUB-11353</t>
  </si>
  <si>
    <t>SUB-11354</t>
  </si>
  <si>
    <t>SUB-11355</t>
  </si>
  <si>
    <t>SUB-11356</t>
  </si>
  <si>
    <t>SUB-11357</t>
  </si>
  <si>
    <t>SUB-11358</t>
  </si>
  <si>
    <t>SUB-11359</t>
  </si>
  <si>
    <t>SUB-11360</t>
  </si>
  <si>
    <t>SUB-11361</t>
  </si>
  <si>
    <t>SUB-11362</t>
  </si>
  <si>
    <t>SUB-11363</t>
  </si>
  <si>
    <t>SUB-11364</t>
  </si>
  <si>
    <t>SUB-11365</t>
  </si>
  <si>
    <t>SUB-11366</t>
  </si>
  <si>
    <t>SUB-11367</t>
  </si>
  <si>
    <t>SUB-11368</t>
  </si>
  <si>
    <t>SUB-11369</t>
  </si>
  <si>
    <t>SUB-11370</t>
  </si>
  <si>
    <t>SUB-11371</t>
  </si>
  <si>
    <t>SUB-11372</t>
  </si>
  <si>
    <t>SUB-11373</t>
  </si>
  <si>
    <t>SUB-11374</t>
  </si>
  <si>
    <t>SUB-11375</t>
  </si>
  <si>
    <t>SUB-11376</t>
  </si>
  <si>
    <t>SUB-11377</t>
  </si>
  <si>
    <t>SUB-11378</t>
  </si>
  <si>
    <t>SUB-11379</t>
  </si>
  <si>
    <t>SUB-11380</t>
  </si>
  <si>
    <t>SUB-11381</t>
  </si>
  <si>
    <t>SUB-11382</t>
  </si>
  <si>
    <t>SUB-11383</t>
  </si>
  <si>
    <t>SUB-11384</t>
  </si>
  <si>
    <t>SUB-11385</t>
  </si>
  <si>
    <t>SUB-11386</t>
  </si>
  <si>
    <t>SUB-11387</t>
  </si>
  <si>
    <t>SUB-11388</t>
  </si>
  <si>
    <t>SUB-11389</t>
  </si>
  <si>
    <t>SUB-11390</t>
  </si>
  <si>
    <t>SUB-11391</t>
  </si>
  <si>
    <t>SUB-11392</t>
  </si>
  <si>
    <t>SUB-11393</t>
  </si>
  <si>
    <t>SUB-11394</t>
  </si>
  <si>
    <t>SUB-11395</t>
  </si>
  <si>
    <t>SUB-11396</t>
  </si>
  <si>
    <t>SUB-11397</t>
  </si>
  <si>
    <t>SUB-11398</t>
  </si>
  <si>
    <t>SUB-11399</t>
  </si>
  <si>
    <t>SUB-11400</t>
  </si>
  <si>
    <t>SUB-11401</t>
  </si>
  <si>
    <t>SUB-11402</t>
  </si>
  <si>
    <t>SUB-11403</t>
  </si>
  <si>
    <t>SUB-11404</t>
  </si>
  <si>
    <t>SUB-11405</t>
  </si>
  <si>
    <t>SUB-11406</t>
  </si>
  <si>
    <t>SUB-11407</t>
  </si>
  <si>
    <t>SUB-11408</t>
  </si>
  <si>
    <t>SUB-11409</t>
  </si>
  <si>
    <t>SUB-11410</t>
  </si>
  <si>
    <t>SUB-11411</t>
  </si>
  <si>
    <t>SUB-11412</t>
  </si>
  <si>
    <t>SUB-11413</t>
  </si>
  <si>
    <t>SUB-11414</t>
  </si>
  <si>
    <t>SUB-11415</t>
  </si>
  <si>
    <t>SUB-11416</t>
  </si>
  <si>
    <t>SUB-11417</t>
  </si>
  <si>
    <t>SUB-11418</t>
  </si>
  <si>
    <t>SUB-11419</t>
  </si>
  <si>
    <t>SUB-11420</t>
  </si>
  <si>
    <t>SUB-11421</t>
  </si>
  <si>
    <t>SUB-11422</t>
  </si>
  <si>
    <t>SUB-11423</t>
  </si>
  <si>
    <t>SUB-11424</t>
  </si>
  <si>
    <t>SUB-11425</t>
  </si>
  <si>
    <t>SUB-11426</t>
  </si>
  <si>
    <t>SUB-11427</t>
  </si>
  <si>
    <t>SUB-11428</t>
  </si>
  <si>
    <t>SUB-11429</t>
  </si>
  <si>
    <t>SUB-11430</t>
  </si>
  <si>
    <t>SUB-11431</t>
  </si>
  <si>
    <t>SUB-11432</t>
  </si>
  <si>
    <t>SUB-11433</t>
  </si>
  <si>
    <t>SUB-11434</t>
  </si>
  <si>
    <t>SUB-11435</t>
  </si>
  <si>
    <t>SUB-11436</t>
  </si>
  <si>
    <t>SUB-11437</t>
  </si>
  <si>
    <t>SUB-11438</t>
  </si>
  <si>
    <t>SUB-11439</t>
  </si>
  <si>
    <t>SUB-11440</t>
  </si>
  <si>
    <t>SUB-11441</t>
  </si>
  <si>
    <t>SUB-11442</t>
  </si>
  <si>
    <t>SUB-11443</t>
  </si>
  <si>
    <t>SUB-11444</t>
  </si>
  <si>
    <t>SUB-11445</t>
  </si>
  <si>
    <t>SUB-11446</t>
  </si>
  <si>
    <t>SUB-11447</t>
  </si>
  <si>
    <t>SUB-11448</t>
  </si>
  <si>
    <t>SUB-11449</t>
  </si>
  <si>
    <t>SUB-11450</t>
  </si>
  <si>
    <t>SUB-11451</t>
  </si>
  <si>
    <t>SUB-11452</t>
  </si>
  <si>
    <t>SUB-11453</t>
  </si>
  <si>
    <t>SUB-11454</t>
  </si>
  <si>
    <t>SUB-11455</t>
  </si>
  <si>
    <t>SUB-11456</t>
  </si>
  <si>
    <t>SUB-11457</t>
  </si>
  <si>
    <t>SUB-11458</t>
  </si>
  <si>
    <t>SUB-11459</t>
  </si>
  <si>
    <t>SUB-11460</t>
  </si>
  <si>
    <t>SUB-11461</t>
  </si>
  <si>
    <t>SUB-11462</t>
  </si>
  <si>
    <t>SUB-11463</t>
  </si>
  <si>
    <t>SUB-11464</t>
  </si>
  <si>
    <t>SUB-11465</t>
  </si>
  <si>
    <t>SUB-11466</t>
  </si>
  <si>
    <t>SUB-11467</t>
  </si>
  <si>
    <t>SUB-11468</t>
  </si>
  <si>
    <t>SUB-11469</t>
  </si>
  <si>
    <t>SUB-11470</t>
  </si>
  <si>
    <t>SUB-11471</t>
  </si>
  <si>
    <t>SUB-11472</t>
  </si>
  <si>
    <t>SUB-11473</t>
  </si>
  <si>
    <t>SUB-11474</t>
  </si>
  <si>
    <t>SUB-11475</t>
  </si>
  <si>
    <t>SUB-11476</t>
  </si>
  <si>
    <t>SUB-11477</t>
  </si>
  <si>
    <t>SUB-11478</t>
  </si>
  <si>
    <t>SUB-11479</t>
  </si>
  <si>
    <t>SUB-11480</t>
  </si>
  <si>
    <t>SUB-11481</t>
  </si>
  <si>
    <t>SUB-11482</t>
  </si>
  <si>
    <t>SUB-11483</t>
  </si>
  <si>
    <t>SUB-11484</t>
  </si>
  <si>
    <t>SUB-11485</t>
  </si>
  <si>
    <t>SUB-11486</t>
  </si>
  <si>
    <t>SUB-11487</t>
  </si>
  <si>
    <t>SUB-11488</t>
  </si>
  <si>
    <t>SUB-11489</t>
  </si>
  <si>
    <t>SUB-11490</t>
  </si>
  <si>
    <t>SUB-11491</t>
  </si>
  <si>
    <t>SUB-11492</t>
  </si>
  <si>
    <t>SUB-11493</t>
  </si>
  <si>
    <t>SUB-11494</t>
  </si>
  <si>
    <t>SUB-11495</t>
  </si>
  <si>
    <t>SUB-11496</t>
  </si>
  <si>
    <t>SUB-11497</t>
  </si>
  <si>
    <t>SUB-11498</t>
  </si>
  <si>
    <t>SUB-11499</t>
  </si>
  <si>
    <t>SUB-11500</t>
  </si>
  <si>
    <t>SUB-11501</t>
  </si>
  <si>
    <t>SUB-11502</t>
  </si>
  <si>
    <t>SUB-11503</t>
  </si>
  <si>
    <t>SUB-11504</t>
  </si>
  <si>
    <t>SUB-11505</t>
  </si>
  <si>
    <t>SUB-11506</t>
  </si>
  <si>
    <t>SUB-11507</t>
  </si>
  <si>
    <t>SUB-11508</t>
  </si>
  <si>
    <t>SUB-11509</t>
  </si>
  <si>
    <t>SUB-11510</t>
  </si>
  <si>
    <t>SUB-11511</t>
  </si>
  <si>
    <t>SUB-11512</t>
  </si>
  <si>
    <t>SUB-11513</t>
  </si>
  <si>
    <t>SUB-11514</t>
  </si>
  <si>
    <t>SUB-11515</t>
  </si>
  <si>
    <t>SUB-11516</t>
  </si>
  <si>
    <t>SUB-11517</t>
  </si>
  <si>
    <t>SUB-11518</t>
  </si>
  <si>
    <t>SUB-11519</t>
  </si>
  <si>
    <t>SUB-11520</t>
  </si>
  <si>
    <t>SUB-11521</t>
  </si>
  <si>
    <t>SUB-11522</t>
  </si>
  <si>
    <t>SUB-11523</t>
  </si>
  <si>
    <t>SUB-11524</t>
  </si>
  <si>
    <t>SUB-11525</t>
  </si>
  <si>
    <t>SUB-11526</t>
  </si>
  <si>
    <t>SUB-11527</t>
  </si>
  <si>
    <t>SUB-11528</t>
  </si>
  <si>
    <t>SUB-11529</t>
  </si>
  <si>
    <t>SUB-11530</t>
  </si>
  <si>
    <t>SUB-11531</t>
  </si>
  <si>
    <t>SUB-11532</t>
  </si>
  <si>
    <t>SUB-11533</t>
  </si>
  <si>
    <t>SUB-11534</t>
  </si>
  <si>
    <t>SUB-11535</t>
  </si>
  <si>
    <t>SUB-11536</t>
  </si>
  <si>
    <t>SUB-11537</t>
  </si>
  <si>
    <t>SUB-11538</t>
  </si>
  <si>
    <t>SUB-11539</t>
  </si>
  <si>
    <t>SUB-11540</t>
  </si>
  <si>
    <t>SUB-11541</t>
  </si>
  <si>
    <t>SUB-11542</t>
  </si>
  <si>
    <t>SUB-11543</t>
  </si>
  <si>
    <t>SUB-11544</t>
  </si>
  <si>
    <t>SUB-11545</t>
  </si>
  <si>
    <t>SUB-11546</t>
  </si>
  <si>
    <t>SUB-11547</t>
  </si>
  <si>
    <t>SUB-11548</t>
  </si>
  <si>
    <t>SUB-11549</t>
  </si>
  <si>
    <t>SUB-11550</t>
  </si>
  <si>
    <t>SUB-11551</t>
  </si>
  <si>
    <t>SUB-11552</t>
  </si>
  <si>
    <t>SUB-11553</t>
  </si>
  <si>
    <t>SUB-11554</t>
  </si>
  <si>
    <t>SUB-11555</t>
  </si>
  <si>
    <t>SUB-11556</t>
  </si>
  <si>
    <t>SUB-11557</t>
  </si>
  <si>
    <t>SUB-11558</t>
  </si>
  <si>
    <t>SUB-11559</t>
  </si>
  <si>
    <t>SUB-11560</t>
  </si>
  <si>
    <t>SUB-11561</t>
  </si>
  <si>
    <t>SUB-11562</t>
  </si>
  <si>
    <t>SUB-11563</t>
  </si>
  <si>
    <t>SUB-11564</t>
  </si>
  <si>
    <t>SUB-11565</t>
  </si>
  <si>
    <t>SUB-11566</t>
  </si>
  <si>
    <t>SUB-11567</t>
  </si>
  <si>
    <t>SUB-11568</t>
  </si>
  <si>
    <t>SUB-11569</t>
  </si>
  <si>
    <t>SUB-11570</t>
  </si>
  <si>
    <t>SUB-11571</t>
  </si>
  <si>
    <t>SUB-11572</t>
  </si>
  <si>
    <t>SUB-11573</t>
  </si>
  <si>
    <t>SUB-11574</t>
  </si>
  <si>
    <t>SUB-11575</t>
  </si>
  <si>
    <t>SUB-11576</t>
  </si>
  <si>
    <t>SUB-11577</t>
  </si>
  <si>
    <t>SUB-11578</t>
  </si>
  <si>
    <t>SUB-11579</t>
  </si>
  <si>
    <t>SUB-11580</t>
  </si>
  <si>
    <t>SUB-11581</t>
  </si>
  <si>
    <t>SUB-11582</t>
  </si>
  <si>
    <t>SUB-11583</t>
  </si>
  <si>
    <t>SUB-11584</t>
  </si>
  <si>
    <t>SUB-11585</t>
  </si>
  <si>
    <t>SUB-11586</t>
  </si>
  <si>
    <t>SUB-11587</t>
  </si>
  <si>
    <t>SUB-11588</t>
  </si>
  <si>
    <t>SUB-11589</t>
  </si>
  <si>
    <t>SUB-11590</t>
  </si>
  <si>
    <t>SUB-11591</t>
  </si>
  <si>
    <t>SUB-11592</t>
  </si>
  <si>
    <t>SUB-11593</t>
  </si>
  <si>
    <t>SUB-11594</t>
  </si>
  <si>
    <t>SUB-11595</t>
  </si>
  <si>
    <t>SUB-11596</t>
  </si>
  <si>
    <t>SUB-11597</t>
  </si>
  <si>
    <t>SUB-11598</t>
  </si>
  <si>
    <t>SUB-11599</t>
  </si>
  <si>
    <t>SUB-11600</t>
  </si>
  <si>
    <t>SUB-11601</t>
  </si>
  <si>
    <t>SUB-11602</t>
  </si>
  <si>
    <t>SUB-11603</t>
  </si>
  <si>
    <t>SUB-11604</t>
  </si>
  <si>
    <t>SUB-11605</t>
  </si>
  <si>
    <t>SUB-11606</t>
  </si>
  <si>
    <t>SUB-11607</t>
  </si>
  <si>
    <t>SUB-11608</t>
  </si>
  <si>
    <t>SUB-11609</t>
  </si>
  <si>
    <t>SUB-11610</t>
  </si>
  <si>
    <t>SUB-11611</t>
  </si>
  <si>
    <t>SUB-11612</t>
  </si>
  <si>
    <t>SUB-11613</t>
  </si>
  <si>
    <t>SUB-11614</t>
  </si>
  <si>
    <t>SUB-11615</t>
  </si>
  <si>
    <t>SUB-11616</t>
  </si>
  <si>
    <t>SUB-11617</t>
  </si>
  <si>
    <t>SUB-11618</t>
  </si>
  <si>
    <t>SUB-11619</t>
  </si>
  <si>
    <t>SUB-11620</t>
  </si>
  <si>
    <t>SUB-11621</t>
  </si>
  <si>
    <t>SUB-11622</t>
  </si>
  <si>
    <t>SUB-11623</t>
  </si>
  <si>
    <t>SUB-11624</t>
  </si>
  <si>
    <t>SUB-11625</t>
  </si>
  <si>
    <t>SUB-11626</t>
  </si>
  <si>
    <t>SUB-11627</t>
  </si>
  <si>
    <t>SUB-11628</t>
  </si>
  <si>
    <t>SUB-11629</t>
  </si>
  <si>
    <t>SUB-11630</t>
  </si>
  <si>
    <t>SUB-11631</t>
  </si>
  <si>
    <t>SUB-11632</t>
  </si>
  <si>
    <t>SUB-11633</t>
  </si>
  <si>
    <t>SUB-11634</t>
  </si>
  <si>
    <t>SUB-11635</t>
  </si>
  <si>
    <t>SUB-11636</t>
  </si>
  <si>
    <t>SUB-11637</t>
  </si>
  <si>
    <t>SUB-11638</t>
  </si>
  <si>
    <t>SUB-11639</t>
  </si>
  <si>
    <t>SUB-11640</t>
  </si>
  <si>
    <t>SUB-11641</t>
  </si>
  <si>
    <t>SUB-11642</t>
  </si>
  <si>
    <t>SUB-11643</t>
  </si>
  <si>
    <t>SUB-11644</t>
  </si>
  <si>
    <t>SUB-11645</t>
  </si>
  <si>
    <t>SUB-11646</t>
  </si>
  <si>
    <t>SUB-11647</t>
  </si>
  <si>
    <t>SUB-11648</t>
  </si>
  <si>
    <t>SUB-11649</t>
  </si>
  <si>
    <t>SUB-11650</t>
  </si>
  <si>
    <t>SUB-11651</t>
  </si>
  <si>
    <t>SUB-11652</t>
  </si>
  <si>
    <t>SUB-11653</t>
  </si>
  <si>
    <t>SUB-11654</t>
  </si>
  <si>
    <t>SUB-11655</t>
  </si>
  <si>
    <t>SUB-11656</t>
  </si>
  <si>
    <t>SUB-11657</t>
  </si>
  <si>
    <t>SUB-11658</t>
  </si>
  <si>
    <t>SUB-11659</t>
  </si>
  <si>
    <t>SUB-11660</t>
  </si>
  <si>
    <t>SUB-11661</t>
  </si>
  <si>
    <t>SUB-11662</t>
  </si>
  <si>
    <t>SUB-11663</t>
  </si>
  <si>
    <t>SUB-11664</t>
  </si>
  <si>
    <t>SUB-11665</t>
  </si>
  <si>
    <t>SUB-11666</t>
  </si>
  <si>
    <t>SUB-11667</t>
  </si>
  <si>
    <t>SUB-11668</t>
  </si>
  <si>
    <t>SUB-11669</t>
  </si>
  <si>
    <t>SUB-11670</t>
  </si>
  <si>
    <t>SUB-11671</t>
  </si>
  <si>
    <t>SUB-11672</t>
  </si>
  <si>
    <t>SUB-11673</t>
  </si>
  <si>
    <t>SUB-11674</t>
  </si>
  <si>
    <t>SUB-11675</t>
  </si>
  <si>
    <t>SUB-11676</t>
  </si>
  <si>
    <t>SUB-11677</t>
  </si>
  <si>
    <t>SUB-11678</t>
  </si>
  <si>
    <t>SUB-11679</t>
  </si>
  <si>
    <t>SUB-11680</t>
  </si>
  <si>
    <t>SUB-11681</t>
  </si>
  <si>
    <t>SUB-11682</t>
  </si>
  <si>
    <t>SUB-11683</t>
  </si>
  <si>
    <t>SUB-11684</t>
  </si>
  <si>
    <t>SUB-11685</t>
  </si>
  <si>
    <t>SUB-11686</t>
  </si>
  <si>
    <t>SUB-11687</t>
  </si>
  <si>
    <t>SUB-11688</t>
  </si>
  <si>
    <t>SUB-11689</t>
  </si>
  <si>
    <t>SUB-11690</t>
  </si>
  <si>
    <t>SUB-11691</t>
  </si>
  <si>
    <t>SUB-11692</t>
  </si>
  <si>
    <t>SUB-11693</t>
  </si>
  <si>
    <t>SUB-11694</t>
  </si>
  <si>
    <t>SUB-11695</t>
  </si>
  <si>
    <t>SUB-11696</t>
  </si>
  <si>
    <t>SUB-11697</t>
  </si>
  <si>
    <t>SUB-11698</t>
  </si>
  <si>
    <t>SUB-11699</t>
  </si>
  <si>
    <t>SUB-11700</t>
  </si>
  <si>
    <t>SUB-11701</t>
  </si>
  <si>
    <t>SUB-11702</t>
  </si>
  <si>
    <t>SUB-11703</t>
  </si>
  <si>
    <t>SUB-11704</t>
  </si>
  <si>
    <t>SUB-11705</t>
  </si>
  <si>
    <t>SUB-11706</t>
  </si>
  <si>
    <t>SUB-11707</t>
  </si>
  <si>
    <t>SUB-11708</t>
  </si>
  <si>
    <t>SUB-11709</t>
  </si>
  <si>
    <t>SUB-11710</t>
  </si>
  <si>
    <t>SUB-11711</t>
  </si>
  <si>
    <t>SUB-11712</t>
  </si>
  <si>
    <t>SUB-11713</t>
  </si>
  <si>
    <t>SUB-11714</t>
  </si>
  <si>
    <t>SUB-11715</t>
  </si>
  <si>
    <t>SUB-11716</t>
  </si>
  <si>
    <t>SUB-11717</t>
  </si>
  <si>
    <t>SUB-11718</t>
  </si>
  <si>
    <t>SUB-11719</t>
  </si>
  <si>
    <t>SUB-11720</t>
  </si>
  <si>
    <t>SUB-11721</t>
  </si>
  <si>
    <t>SUB-11722</t>
  </si>
  <si>
    <t>SUB-11723</t>
  </si>
  <si>
    <t>SUB-11724</t>
  </si>
  <si>
    <t>SUB-11725</t>
  </si>
  <si>
    <t>SUB-11726</t>
  </si>
  <si>
    <t>SUB-11727</t>
  </si>
  <si>
    <t>SUB-11728</t>
  </si>
  <si>
    <t>SUB-11729</t>
  </si>
  <si>
    <t>SUB-11730</t>
  </si>
  <si>
    <t>SUB-11731</t>
  </si>
  <si>
    <t>SUB-11732</t>
  </si>
  <si>
    <t>SUB-11733</t>
  </si>
  <si>
    <t>SUB-11734</t>
  </si>
  <si>
    <t>SUB-11735</t>
  </si>
  <si>
    <t>SUB-11736</t>
  </si>
  <si>
    <t>SUB-11737</t>
  </si>
  <si>
    <t>SUB-11738</t>
  </si>
  <si>
    <t>SUB-11739</t>
  </si>
  <si>
    <t>SUB-11740</t>
  </si>
  <si>
    <t>SUB-11741</t>
  </si>
  <si>
    <t>SUB-11742</t>
  </si>
  <si>
    <t>SUB-11743</t>
  </si>
  <si>
    <t>SUB-11744</t>
  </si>
  <si>
    <t>SUB-11745</t>
  </si>
  <si>
    <t>SUB-11746</t>
  </si>
  <si>
    <t>SUB-11747</t>
  </si>
  <si>
    <t>SUB-11748</t>
  </si>
  <si>
    <t>SUB-11749</t>
  </si>
  <si>
    <t>SUB-11750</t>
  </si>
  <si>
    <t>SUB-11751</t>
  </si>
  <si>
    <t>SUB-11752</t>
  </si>
  <si>
    <t>SUB-11753</t>
  </si>
  <si>
    <t>SUB-11754</t>
  </si>
  <si>
    <t>SUB-11755</t>
  </si>
  <si>
    <t>SUB-11756</t>
  </si>
  <si>
    <t>SUB-11757</t>
  </si>
  <si>
    <t>SUB-11758</t>
  </si>
  <si>
    <t>SUB-11759</t>
  </si>
  <si>
    <t>SUB-11760</t>
  </si>
  <si>
    <t>SUB-11761</t>
  </si>
  <si>
    <t>SUB-11762</t>
  </si>
  <si>
    <t>SUB-11763</t>
  </si>
  <si>
    <t>SUB-11764</t>
  </si>
  <si>
    <t>SUB-11765</t>
  </si>
  <si>
    <t>SUB-11766</t>
  </si>
  <si>
    <t>SUB-11767</t>
  </si>
  <si>
    <t>SUB-11768</t>
  </si>
  <si>
    <t>SUB-11769</t>
  </si>
  <si>
    <t>SUB-11770</t>
  </si>
  <si>
    <t>SUB-11771</t>
  </si>
  <si>
    <t>SUB-11772</t>
  </si>
  <si>
    <t>SUB-11773</t>
  </si>
  <si>
    <t>SUB-11774</t>
  </si>
  <si>
    <t>SUB-11775</t>
  </si>
  <si>
    <t>SUB-11776</t>
  </si>
  <si>
    <t>SUB-11777</t>
  </si>
  <si>
    <t>SUB-11778</t>
  </si>
  <si>
    <t>SUB-11779</t>
  </si>
  <si>
    <t>SUB-11780</t>
  </si>
  <si>
    <t>SUB-11781</t>
  </si>
  <si>
    <t>SUB-11782</t>
  </si>
  <si>
    <t>SUB-11783</t>
  </si>
  <si>
    <t>SUB-11784</t>
  </si>
  <si>
    <t>SUB-11785</t>
  </si>
  <si>
    <t>SUB-11786</t>
  </si>
  <si>
    <t>SUB-11787</t>
  </si>
  <si>
    <t>SUB-11788</t>
  </si>
  <si>
    <t>SUB-11789</t>
  </si>
  <si>
    <t>SUB-11790</t>
  </si>
  <si>
    <t>SUB-11791</t>
  </si>
  <si>
    <t>SUB-11792</t>
  </si>
  <si>
    <t>SUB-11793</t>
  </si>
  <si>
    <t>SUB-11794</t>
  </si>
  <si>
    <t>SUB-11795</t>
  </si>
  <si>
    <t>SUB-11796</t>
  </si>
  <si>
    <t>SUB-11797</t>
  </si>
  <si>
    <t>SUB-11798</t>
  </si>
  <si>
    <t>SUB-11799</t>
  </si>
  <si>
    <t>SUB-11800</t>
  </si>
  <si>
    <t>SUB-11801</t>
  </si>
  <si>
    <t>SUB-11802</t>
  </si>
  <si>
    <t>SUB-11803</t>
  </si>
  <si>
    <t>SUB-11804</t>
  </si>
  <si>
    <t>SUB-11805</t>
  </si>
  <si>
    <t>SUB-11806</t>
  </si>
  <si>
    <t>SUB-11807</t>
  </si>
  <si>
    <t>SUB-11808</t>
  </si>
  <si>
    <t>SUB-11809</t>
  </si>
  <si>
    <t>SUB-11810</t>
  </si>
  <si>
    <t>SUB-11811</t>
  </si>
  <si>
    <t>SUB-11812</t>
  </si>
  <si>
    <t>SUB-11813</t>
  </si>
  <si>
    <t>SUB-11814</t>
  </si>
  <si>
    <t>SUB-11815</t>
  </si>
  <si>
    <t>SUB-11816</t>
  </si>
  <si>
    <t>SUB-11817</t>
  </si>
  <si>
    <t>SUB-11818</t>
  </si>
  <si>
    <t>SUB-11819</t>
  </si>
  <si>
    <t>SUB-11820</t>
  </si>
  <si>
    <t>SUB-11821</t>
  </si>
  <si>
    <t>SUB-11822</t>
  </si>
  <si>
    <t>SUB-11823</t>
  </si>
  <si>
    <t>SUB-11824</t>
  </si>
  <si>
    <t>SUB-11825</t>
  </si>
  <si>
    <t>SUB-11826</t>
  </si>
  <si>
    <t>SUB-11827</t>
  </si>
  <si>
    <t>SUB-11828</t>
  </si>
  <si>
    <t>SUB-11829</t>
  </si>
  <si>
    <t>SUB-11830</t>
  </si>
  <si>
    <t>SUB-11831</t>
  </si>
  <si>
    <t>SUB-11832</t>
  </si>
  <si>
    <t>SUB-11833</t>
  </si>
  <si>
    <t>SUB-11834</t>
  </si>
  <si>
    <t>SUB-11835</t>
  </si>
  <si>
    <t>SUB-11836</t>
  </si>
  <si>
    <t>SUB-11837</t>
  </si>
  <si>
    <t>SUB-11838</t>
  </si>
  <si>
    <t>SUB-11839</t>
  </si>
  <si>
    <t>SUB-11840</t>
  </si>
  <si>
    <t>SUB-11841</t>
  </si>
  <si>
    <t>SUB-11842</t>
  </si>
  <si>
    <t>SUB-11843</t>
  </si>
  <si>
    <t>SUB-11844</t>
  </si>
  <si>
    <t>SUB-11845</t>
  </si>
  <si>
    <t>SUB-11846</t>
  </si>
  <si>
    <t>SUB-11847</t>
  </si>
  <si>
    <t>SUB-11848</t>
  </si>
  <si>
    <t>SUB-11849</t>
  </si>
  <si>
    <t>SUB-11850</t>
  </si>
  <si>
    <t>SUB-11851</t>
  </si>
  <si>
    <t>SUB-11852</t>
  </si>
  <si>
    <t>SUB-11853</t>
  </si>
  <si>
    <t>SUB-11854</t>
  </si>
  <si>
    <t>SUB-11855</t>
  </si>
  <si>
    <t>SUB-11856</t>
  </si>
  <si>
    <t>SUB-11857</t>
  </si>
  <si>
    <t>SUB-11858</t>
  </si>
  <si>
    <t>SUB-11859</t>
  </si>
  <si>
    <t>SUB-11860</t>
  </si>
  <si>
    <t>SUB-11861</t>
  </si>
  <si>
    <t>SUB-11862</t>
  </si>
  <si>
    <t>SUB-11863</t>
  </si>
  <si>
    <t>SUB-11864</t>
  </si>
  <si>
    <t>SUB-11865</t>
  </si>
  <si>
    <t>SUB-11866</t>
  </si>
  <si>
    <t>SUB-11867</t>
  </si>
  <si>
    <t>SUB-11868</t>
  </si>
  <si>
    <t>SUB-11869</t>
  </si>
  <si>
    <t>SUB-11870</t>
  </si>
  <si>
    <t>SUB-11871</t>
  </si>
  <si>
    <t>SUB-11872</t>
  </si>
  <si>
    <t>SUB-11873</t>
  </si>
  <si>
    <t>SUB-11874</t>
  </si>
  <si>
    <t>SUB-11875</t>
  </si>
  <si>
    <t>SUB-11876</t>
  </si>
  <si>
    <t>SUB-11877</t>
  </si>
  <si>
    <t>SUB-11878</t>
  </si>
  <si>
    <t>SUB-11879</t>
  </si>
  <si>
    <t>SUB-11880</t>
  </si>
  <si>
    <t>SUB-11881</t>
  </si>
  <si>
    <t>SUB-11882</t>
  </si>
  <si>
    <t>SUB-11883</t>
  </si>
  <si>
    <t>SUB-11884</t>
  </si>
  <si>
    <t>SUB-11885</t>
  </si>
  <si>
    <t>SUB-11886</t>
  </si>
  <si>
    <t>SUB-11887</t>
  </si>
  <si>
    <t>SUB-11888</t>
  </si>
  <si>
    <t>SUB-11889</t>
  </si>
  <si>
    <t>SUB-11890</t>
  </si>
  <si>
    <t>SUB-11891</t>
  </si>
  <si>
    <t>SUB-11892</t>
  </si>
  <si>
    <t>SUB-11893</t>
  </si>
  <si>
    <t>SUB-11894</t>
  </si>
  <si>
    <t>SUB-11895</t>
  </si>
  <si>
    <t>SUB-11896</t>
  </si>
  <si>
    <t>SUB-11897</t>
  </si>
  <si>
    <t>SUB-11898</t>
  </si>
  <si>
    <t>SUB-11899</t>
  </si>
  <si>
    <t>SUB-11900</t>
  </si>
  <si>
    <t>SUB-11901</t>
  </si>
  <si>
    <t>SUB-11902</t>
  </si>
  <si>
    <t>SUB-11903</t>
  </si>
  <si>
    <t>SUB-11904</t>
  </si>
  <si>
    <t>SUB-11905</t>
  </si>
  <si>
    <t>SUB-11906</t>
  </si>
  <si>
    <t>SUB-11907</t>
  </si>
  <si>
    <t>SUB-11908</t>
  </si>
  <si>
    <t>SUB-11909</t>
  </si>
  <si>
    <t>SUB-11910</t>
  </si>
  <si>
    <t>SUB-11911</t>
  </si>
  <si>
    <t>SUB-11912</t>
  </si>
  <si>
    <t>SUB-11913</t>
  </si>
  <si>
    <t>SUB-11914</t>
  </si>
  <si>
    <t>SUB-11915</t>
  </si>
  <si>
    <t>SUB-11916</t>
  </si>
  <si>
    <t>SUB-11917</t>
  </si>
  <si>
    <t>SUB-11918</t>
  </si>
  <si>
    <t>SUB-11919</t>
  </si>
  <si>
    <t>SUB-11920</t>
  </si>
  <si>
    <t>SUB-11921</t>
  </si>
  <si>
    <t>SUB-11922</t>
  </si>
  <si>
    <t>SUB-11923</t>
  </si>
  <si>
    <t>SUB-11924</t>
  </si>
  <si>
    <t>SUB-11925</t>
  </si>
  <si>
    <t>SUB-11926</t>
  </si>
  <si>
    <t>SUB-11927</t>
  </si>
  <si>
    <t>SUB-11928</t>
  </si>
  <si>
    <t>SUB-11929</t>
  </si>
  <si>
    <t>SUB-11930</t>
  </si>
  <si>
    <t>SUB-11931</t>
  </si>
  <si>
    <t>SUB-11932</t>
  </si>
  <si>
    <t>SUB-11933</t>
  </si>
  <si>
    <t>SUB-11934</t>
  </si>
  <si>
    <t>SUB-11935</t>
  </si>
  <si>
    <t>SUB-11936</t>
  </si>
  <si>
    <t>SUB-11937</t>
  </si>
  <si>
    <t>SUB-11938</t>
  </si>
  <si>
    <t>SUB-11939</t>
  </si>
  <si>
    <t>SUB-11940</t>
  </si>
  <si>
    <t>SUB-11941</t>
  </si>
  <si>
    <t>SUB-11942</t>
  </si>
  <si>
    <t>SUB-11943</t>
  </si>
  <si>
    <t>SUB-11944</t>
  </si>
  <si>
    <t>SUB-11945</t>
  </si>
  <si>
    <t>SUB-11946</t>
  </si>
  <si>
    <t>SUB-11947</t>
  </si>
  <si>
    <t>SUB-11948</t>
  </si>
  <si>
    <t>SUB-11949</t>
  </si>
  <si>
    <t>SUB-11950</t>
  </si>
  <si>
    <t>SUB-11951</t>
  </si>
  <si>
    <t>SUB-11952</t>
  </si>
  <si>
    <t>SUB-11953</t>
  </si>
  <si>
    <t>SUB-11954</t>
  </si>
  <si>
    <t>SUB-11955</t>
  </si>
  <si>
    <t>SUB-11956</t>
  </si>
  <si>
    <t>SUB-11957</t>
  </si>
  <si>
    <t>SUB-11958</t>
  </si>
  <si>
    <t>SUB-11959</t>
  </si>
  <si>
    <t>SUB-11960</t>
  </si>
  <si>
    <t>SUB-11961</t>
  </si>
  <si>
    <t>SUB-11962</t>
  </si>
  <si>
    <t>SUB-11963</t>
  </si>
  <si>
    <t>SUB-11964</t>
  </si>
  <si>
    <t>SUB-11965</t>
  </si>
  <si>
    <t>SUB-11966</t>
  </si>
  <si>
    <t>SUB-11967</t>
  </si>
  <si>
    <t>SUB-11968</t>
  </si>
  <si>
    <t>SUB-11969</t>
  </si>
  <si>
    <t>SUB-11970</t>
  </si>
  <si>
    <t>SUB-11971</t>
  </si>
  <si>
    <t>SUB-11972</t>
  </si>
  <si>
    <t>SUB-11973</t>
  </si>
  <si>
    <t>SUB-11974</t>
  </si>
  <si>
    <t>SUB-11975</t>
  </si>
  <si>
    <t>SUB-11976</t>
  </si>
  <si>
    <t>SUB-11977</t>
  </si>
  <si>
    <t>SUB-11978</t>
  </si>
  <si>
    <t>SUB-11979</t>
  </si>
  <si>
    <t>SUB-11980</t>
  </si>
  <si>
    <t>SUB-11981</t>
  </si>
  <si>
    <t>SUB-11982</t>
  </si>
  <si>
    <t>SUB-11983</t>
  </si>
  <si>
    <t>SUB-11984</t>
  </si>
  <si>
    <t>SUB-11985</t>
  </si>
  <si>
    <t>SUB-11986</t>
  </si>
  <si>
    <t>SUB-11987</t>
  </si>
  <si>
    <t>SUB-11988</t>
  </si>
  <si>
    <t>SUB-11989</t>
  </si>
  <si>
    <t>SUB-11990</t>
  </si>
  <si>
    <t>SUB-11991</t>
  </si>
  <si>
    <t>SUB-11992</t>
  </si>
  <si>
    <t>SUB-11993</t>
  </si>
  <si>
    <t>SUB-11994</t>
  </si>
  <si>
    <t>SUB-11995</t>
  </si>
  <si>
    <t>SUB-11996</t>
  </si>
  <si>
    <t>SUB-11997</t>
  </si>
  <si>
    <t>SUB-11998</t>
  </si>
  <si>
    <t>SUB-11999</t>
  </si>
  <si>
    <t>SUB-12000</t>
  </si>
  <si>
    <t>SUB-12001</t>
  </si>
  <si>
    <t>SUB-12002</t>
  </si>
  <si>
    <t>SUB-12003</t>
  </si>
  <si>
    <t>SUB-12004</t>
  </si>
  <si>
    <t>SUB-12005</t>
  </si>
  <si>
    <t>SUB-12006</t>
  </si>
  <si>
    <t>SUB-12007</t>
  </si>
  <si>
    <t>SUB-12008</t>
  </si>
  <si>
    <t>SUB-12009</t>
  </si>
  <si>
    <t>SUB-12010</t>
  </si>
  <si>
    <t>SUB-12011</t>
  </si>
  <si>
    <t>SUB-12012</t>
  </si>
  <si>
    <t>SUB-12013</t>
  </si>
  <si>
    <t>SUB-12014</t>
  </si>
  <si>
    <t>SUB-12015</t>
  </si>
  <si>
    <t>SUB-12016</t>
  </si>
  <si>
    <t>SUB-12017</t>
  </si>
  <si>
    <t>SUB-12018</t>
  </si>
  <si>
    <t>SUB-12019</t>
  </si>
  <si>
    <t>SUB-12020</t>
  </si>
  <si>
    <t>SUB-12021</t>
  </si>
  <si>
    <t>SUB-12022</t>
  </si>
  <si>
    <t>SUB-12023</t>
  </si>
  <si>
    <t>SUB-12024</t>
  </si>
  <si>
    <t>SUB-12025</t>
  </si>
  <si>
    <t>SUB-12026</t>
  </si>
  <si>
    <t>SUB-12027</t>
  </si>
  <si>
    <t>SUB-12028</t>
  </si>
  <si>
    <t>SUB-12029</t>
  </si>
  <si>
    <t>SUB-12030</t>
  </si>
  <si>
    <t>SUB-12031</t>
  </si>
  <si>
    <t>SUB-12032</t>
  </si>
  <si>
    <t>SUB-12033</t>
  </si>
  <si>
    <t>SUB-12034</t>
  </si>
  <si>
    <t>SUB-12035</t>
  </si>
  <si>
    <t>SUB-12036</t>
  </si>
  <si>
    <t>SUB-12037</t>
  </si>
  <si>
    <t>SUB-12038</t>
  </si>
  <si>
    <t>SUB-12039</t>
  </si>
  <si>
    <t>SUB-12040</t>
  </si>
  <si>
    <t>SUB-12041</t>
  </si>
  <si>
    <t>SUB-12042</t>
  </si>
  <si>
    <t>SUB-12043</t>
  </si>
  <si>
    <t>SUB-12044</t>
  </si>
  <si>
    <t>SUB-12045</t>
  </si>
  <si>
    <t>SUB-12046</t>
  </si>
  <si>
    <t>SUB-12047</t>
  </si>
  <si>
    <t>SUB-12048</t>
  </si>
  <si>
    <t>SUB-12049</t>
  </si>
  <si>
    <t>SUB-12050</t>
  </si>
  <si>
    <t>SUB-12051</t>
  </si>
  <si>
    <t>SUB-12052</t>
  </si>
  <si>
    <t>SUB-12053</t>
  </si>
  <si>
    <t>SUB-12054</t>
  </si>
  <si>
    <t>SUB-12055</t>
  </si>
  <si>
    <t>SUB-12056</t>
  </si>
  <si>
    <t>SUB-12057</t>
  </si>
  <si>
    <t>SUB-12058</t>
  </si>
  <si>
    <t>SUB-12059</t>
  </si>
  <si>
    <t>SUB-12060</t>
  </si>
  <si>
    <t>SUB-12061</t>
  </si>
  <si>
    <t>SUB-12062</t>
  </si>
  <si>
    <t>SUB-12063</t>
  </si>
  <si>
    <t>SUB-12064</t>
  </si>
  <si>
    <t>SUB-12065</t>
  </si>
  <si>
    <t>SUB-12066</t>
  </si>
  <si>
    <t>SUB-12067</t>
  </si>
  <si>
    <t>SUB-12068</t>
  </si>
  <si>
    <t>SUB-12069</t>
  </si>
  <si>
    <t>SUB-12070</t>
  </si>
  <si>
    <t>SUB-12071</t>
  </si>
  <si>
    <t>SUB-12072</t>
  </si>
  <si>
    <t>SUB-12073</t>
  </si>
  <si>
    <t>SUB-12074</t>
  </si>
  <si>
    <t>SUB-12075</t>
  </si>
  <si>
    <t>SUB-12076</t>
  </si>
  <si>
    <t>SUB-12077</t>
  </si>
  <si>
    <t>SUB-12078</t>
  </si>
  <si>
    <t>SUB-12079</t>
  </si>
  <si>
    <t>SUB-12080</t>
  </si>
  <si>
    <t>SUB-12081</t>
  </si>
  <si>
    <t>SUB-12082</t>
  </si>
  <si>
    <t>SUB-12083</t>
  </si>
  <si>
    <t>SUB-12084</t>
  </si>
  <si>
    <t>SUB-12085</t>
  </si>
  <si>
    <t>SUB-12086</t>
  </si>
  <si>
    <t>SUB-12087</t>
  </si>
  <si>
    <t>SUB-12088</t>
  </si>
  <si>
    <t>SUB-12089</t>
  </si>
  <si>
    <t>SUB-12090</t>
  </si>
  <si>
    <t>SUB-12091</t>
  </si>
  <si>
    <t>SUB-12092</t>
  </si>
  <si>
    <t>SUB-12093</t>
  </si>
  <si>
    <t>SUB-12094</t>
  </si>
  <si>
    <t>SUB-12095</t>
  </si>
  <si>
    <t>SUB-12096</t>
  </si>
  <si>
    <t>SUB-12097</t>
  </si>
  <si>
    <t>SUB-12098</t>
  </si>
  <si>
    <t>SUB-12099</t>
  </si>
  <si>
    <t>SUB-12100</t>
  </si>
  <si>
    <t>SUB-12101</t>
  </si>
  <si>
    <t>SUB-12102</t>
  </si>
  <si>
    <t>SUB-12103</t>
  </si>
  <si>
    <t>SUB-12104</t>
  </si>
  <si>
    <t>SUB-12105</t>
  </si>
  <si>
    <t>SUB-12106</t>
  </si>
  <si>
    <t>SUB-12107</t>
  </si>
  <si>
    <t>SUB-12108</t>
  </si>
  <si>
    <t>SUB-12109</t>
  </si>
  <si>
    <t>SUB-12110</t>
  </si>
  <si>
    <t>SUB-12111</t>
  </si>
  <si>
    <t>SUB-12112</t>
  </si>
  <si>
    <t>SUB-12113</t>
  </si>
  <si>
    <t>SUB-12114</t>
  </si>
  <si>
    <t>SUB-12115</t>
  </si>
  <si>
    <t>SUB-12116</t>
  </si>
  <si>
    <t>SUB-12117</t>
  </si>
  <si>
    <t>SUB-12118</t>
  </si>
  <si>
    <t>SUB-12119</t>
  </si>
  <si>
    <t>SUB-12120</t>
  </si>
  <si>
    <t>SUB-12121</t>
  </si>
  <si>
    <t>SUB-12122</t>
  </si>
  <si>
    <t>SUB-12123</t>
  </si>
  <si>
    <t>SUB-12124</t>
  </si>
  <si>
    <t>SUB-12125</t>
  </si>
  <si>
    <t>SUB-12126</t>
  </si>
  <si>
    <t>SUB-12127</t>
  </si>
  <si>
    <t>SUB-12128</t>
  </si>
  <si>
    <t>SUB-12129</t>
  </si>
  <si>
    <t>SUB-12130</t>
  </si>
  <si>
    <t>SUB-12131</t>
  </si>
  <si>
    <t>SUB-12132</t>
  </si>
  <si>
    <t>SUB-12133</t>
  </si>
  <si>
    <t>SUB-12134</t>
  </si>
  <si>
    <t>SUB-12135</t>
  </si>
  <si>
    <t>SUB-12136</t>
  </si>
  <si>
    <t>SUB-12137</t>
  </si>
  <si>
    <t>SUB-12138</t>
  </si>
  <si>
    <t>SUB-12139</t>
  </si>
  <si>
    <t>SUB-12140</t>
  </si>
  <si>
    <t>SUB-12141</t>
  </si>
  <si>
    <t>SUB-12142</t>
  </si>
  <si>
    <t>SUB-12143</t>
  </si>
  <si>
    <t>SUB-12144</t>
  </si>
  <si>
    <t>SUB-12145</t>
  </si>
  <si>
    <t>SUB-12146</t>
  </si>
  <si>
    <t>SUB-12147</t>
  </si>
  <si>
    <t>SUB-12148</t>
  </si>
  <si>
    <t>SUB-12149</t>
  </si>
  <si>
    <t>SUB-12150</t>
  </si>
  <si>
    <t>SUB-12151</t>
  </si>
  <si>
    <t>SUB-12152</t>
  </si>
  <si>
    <t>SUB-12153</t>
  </si>
  <si>
    <t>SUB-12154</t>
  </si>
  <si>
    <t>SUB-12155</t>
  </si>
  <si>
    <t>SUB-12156</t>
  </si>
  <si>
    <t>SUB-12157</t>
  </si>
  <si>
    <t>SUB-12158</t>
  </si>
  <si>
    <t>SUB-12159</t>
  </si>
  <si>
    <t>SUB-12160</t>
  </si>
  <si>
    <t>SUB-12161</t>
  </si>
  <si>
    <t>SUB-12162</t>
  </si>
  <si>
    <t>SUB-12163</t>
  </si>
  <si>
    <t>SUB-12164</t>
  </si>
  <si>
    <t>SUB-12165</t>
  </si>
  <si>
    <t>SUB-12166</t>
  </si>
  <si>
    <t>SUB-12167</t>
  </si>
  <si>
    <t>SUB-12168</t>
  </si>
  <si>
    <t>SUB-12169</t>
  </si>
  <si>
    <t>SUB-12170</t>
  </si>
  <si>
    <t>SUB-12171</t>
  </si>
  <si>
    <t>SUB-12172</t>
  </si>
  <si>
    <t>SUB-12173</t>
  </si>
  <si>
    <t>SUB-12174</t>
  </si>
  <si>
    <t>SUB-12175</t>
  </si>
  <si>
    <t>SUB-12176</t>
  </si>
  <si>
    <t>SUB-12177</t>
  </si>
  <si>
    <t>SUB-12178</t>
  </si>
  <si>
    <t>SUB-12179</t>
  </si>
  <si>
    <t>SUB-12180</t>
  </si>
  <si>
    <t>SUB-12181</t>
  </si>
  <si>
    <t>SUB-12182</t>
  </si>
  <si>
    <t>SUB-12183</t>
  </si>
  <si>
    <t>SUB-12184</t>
  </si>
  <si>
    <t>SUB-12185</t>
  </si>
  <si>
    <t>SUB-12186</t>
  </si>
  <si>
    <t>SUB-12187</t>
  </si>
  <si>
    <t>SUB-12188</t>
  </si>
  <si>
    <t>SUB-12189</t>
  </si>
  <si>
    <t>SUB-12190</t>
  </si>
  <si>
    <t>SUB-12191</t>
  </si>
  <si>
    <t>SUB-12192</t>
  </si>
  <si>
    <t>SUB-12193</t>
  </si>
  <si>
    <t>SUB-12194</t>
  </si>
  <si>
    <t>SUB-12195</t>
  </si>
  <si>
    <t>SUB-12196</t>
  </si>
  <si>
    <t>SUB-12197</t>
  </si>
  <si>
    <t>SUB-12198</t>
  </si>
  <si>
    <t>SUB-12199</t>
  </si>
  <si>
    <t>SUB-12200</t>
  </si>
  <si>
    <t>SUB-12201</t>
  </si>
  <si>
    <t>SUB-12202</t>
  </si>
  <si>
    <t>SUB-12203</t>
  </si>
  <si>
    <t>SUB-12204</t>
  </si>
  <si>
    <t>SUB-12205</t>
  </si>
  <si>
    <t>SUB-12206</t>
  </si>
  <si>
    <t>SUB-12207</t>
  </si>
  <si>
    <t>SUB-12208</t>
  </si>
  <si>
    <t>SUB-12209</t>
  </si>
  <si>
    <t>SUB-12210</t>
  </si>
  <si>
    <t>SUB-12211</t>
  </si>
  <si>
    <t>SUB-12212</t>
  </si>
  <si>
    <t>SUB-12213</t>
  </si>
  <si>
    <t>SUB-12214</t>
  </si>
  <si>
    <t>SUB-12215</t>
  </si>
  <si>
    <t>SUB-12216</t>
  </si>
  <si>
    <t>SUB-12217</t>
  </si>
  <si>
    <t>SUB-12218</t>
  </si>
  <si>
    <t>SUB-12219</t>
  </si>
  <si>
    <t>SUB-12220</t>
  </si>
  <si>
    <t>SUB-12221</t>
  </si>
  <si>
    <t>SUB-12222</t>
  </si>
  <si>
    <t>SUB-12223</t>
  </si>
  <si>
    <t>SUB-12224</t>
  </si>
  <si>
    <t>SUB-12225</t>
  </si>
  <si>
    <t>SUB-12226</t>
  </si>
  <si>
    <t>SUB-12227</t>
  </si>
  <si>
    <t>SUB-12228</t>
  </si>
  <si>
    <t>SUB-12229</t>
  </si>
  <si>
    <t>SUB-12230</t>
  </si>
  <si>
    <t>SUB-12231</t>
  </si>
  <si>
    <t>SUB-12232</t>
  </si>
  <si>
    <t>SUB-12233</t>
  </si>
  <si>
    <t>SUB-12234</t>
  </si>
  <si>
    <t>SUB-12235</t>
  </si>
  <si>
    <t>SUB-12236</t>
  </si>
  <si>
    <t>SUB-12237</t>
  </si>
  <si>
    <t>SUB-12238</t>
  </si>
  <si>
    <t>SUB-12239</t>
  </si>
  <si>
    <t>SUB-12240</t>
  </si>
  <si>
    <t>SUB-12241</t>
  </si>
  <si>
    <t>SUB-12242</t>
  </si>
  <si>
    <t>SUB-12243</t>
  </si>
  <si>
    <t>SUB-12244</t>
  </si>
  <si>
    <t>SUB-12245</t>
  </si>
  <si>
    <t>SUB-12246</t>
  </si>
  <si>
    <t>SUB-12247</t>
  </si>
  <si>
    <t>SUB-12248</t>
  </si>
  <si>
    <t>SUB-12249</t>
  </si>
  <si>
    <t>SUB-12250</t>
  </si>
  <si>
    <t>SUB-12251</t>
  </si>
  <si>
    <t>SUB-12252</t>
  </si>
  <si>
    <t>SUB-12253</t>
  </si>
  <si>
    <t>SUB-12254</t>
  </si>
  <si>
    <t>SUB-12255</t>
  </si>
  <si>
    <t>SUB-12256</t>
  </si>
  <si>
    <t>SUB-12257</t>
  </si>
  <si>
    <t>SUB-12258</t>
  </si>
  <si>
    <t>SUB-12259</t>
  </si>
  <si>
    <t>SUB-12260</t>
  </si>
  <si>
    <t>SUB-12261</t>
  </si>
  <si>
    <t>SUB-12262</t>
  </si>
  <si>
    <t>SUB-12263</t>
  </si>
  <si>
    <t>SUB-12264</t>
  </si>
  <si>
    <t>SUB-12265</t>
  </si>
  <si>
    <t>SUB-12266</t>
  </si>
  <si>
    <t>SUB-12267</t>
  </si>
  <si>
    <t>SUB-12268</t>
  </si>
  <si>
    <t>SUB-12269</t>
  </si>
  <si>
    <t>SUB-12270</t>
  </si>
  <si>
    <t>SUB-12271</t>
  </si>
  <si>
    <t>SUB-12272</t>
  </si>
  <si>
    <t>SUB-12273</t>
  </si>
  <si>
    <t>SUB-12274</t>
  </si>
  <si>
    <t>SUB-12275</t>
  </si>
  <si>
    <t>SUB-12276</t>
  </si>
  <si>
    <t>SUB-12277</t>
  </si>
  <si>
    <t>SUB-12278</t>
  </si>
  <si>
    <t>SUB-12279</t>
  </si>
  <si>
    <t>SUB-12280</t>
  </si>
  <si>
    <t>SUB-12281</t>
  </si>
  <si>
    <t>SUB-12282</t>
  </si>
  <si>
    <t>SUB-12283</t>
  </si>
  <si>
    <t>SUB-12284</t>
  </si>
  <si>
    <t>SUB-12285</t>
  </si>
  <si>
    <t>SUB-12286</t>
  </si>
  <si>
    <t>SUB-12287</t>
  </si>
  <si>
    <t>SUB-12288</t>
  </si>
  <si>
    <t>SUB-12289</t>
  </si>
  <si>
    <t>SUB-12290</t>
  </si>
  <si>
    <t>SUB-12291</t>
  </si>
  <si>
    <t>SUB-12292</t>
  </si>
  <si>
    <t>SUB-12293</t>
  </si>
  <si>
    <t>SUB-12294</t>
  </si>
  <si>
    <t>SUB-12295</t>
  </si>
  <si>
    <t>SUB-12296</t>
  </si>
  <si>
    <t>SUB-12297</t>
  </si>
  <si>
    <t>SUB-12298</t>
  </si>
  <si>
    <t>SUB-12299</t>
  </si>
  <si>
    <t>SUB-12300</t>
  </si>
  <si>
    <t>SUB-12301</t>
  </si>
  <si>
    <t>SUB-12302</t>
  </si>
  <si>
    <t>SUB-12303</t>
  </si>
  <si>
    <t>SUB-12304</t>
  </si>
  <si>
    <t>SUB-12305</t>
  </si>
  <si>
    <t>SUB-12306</t>
  </si>
  <si>
    <t>SUB-12307</t>
  </si>
  <si>
    <t>SUB-12308</t>
  </si>
  <si>
    <t>SUB-12309</t>
  </si>
  <si>
    <t>SUB-12310</t>
  </si>
  <si>
    <t>SUB-12311</t>
  </si>
  <si>
    <t>SUB-12312</t>
  </si>
  <si>
    <t>SUB-12313</t>
  </si>
  <si>
    <t>SUB-12314</t>
  </si>
  <si>
    <t>SUB-12315</t>
  </si>
  <si>
    <t>SUB-12316</t>
  </si>
  <si>
    <t>SUB-12317</t>
  </si>
  <si>
    <t>SUB-12318</t>
  </si>
  <si>
    <t>SUB-12319</t>
  </si>
  <si>
    <t>SUB-12320</t>
  </si>
  <si>
    <t>SUB-12321</t>
  </si>
  <si>
    <t>SUB-12322</t>
  </si>
  <si>
    <t>SUB-12323</t>
  </si>
  <si>
    <t>SUB-12324</t>
  </si>
  <si>
    <t>SUB-12325</t>
  </si>
  <si>
    <t>SUB-12326</t>
  </si>
  <si>
    <t>SUB-12327</t>
  </si>
  <si>
    <t>SUB-12328</t>
  </si>
  <si>
    <t>SUB-12329</t>
  </si>
  <si>
    <t>SUB-12330</t>
  </si>
  <si>
    <t>SUB-12331</t>
  </si>
  <si>
    <t>SUB-12332</t>
  </si>
  <si>
    <t>SUB-12333</t>
  </si>
  <si>
    <t>SUB-12334</t>
  </si>
  <si>
    <t>SUB-12335</t>
  </si>
  <si>
    <t>SUB-12336</t>
  </si>
  <si>
    <t>SUB-12337</t>
  </si>
  <si>
    <t>SUB-12338</t>
  </si>
  <si>
    <t>SUB-12339</t>
  </si>
  <si>
    <t>SUB-12340</t>
  </si>
  <si>
    <t>SUB-12341</t>
  </si>
  <si>
    <t>SUB-12342</t>
  </si>
  <si>
    <t>SUB-12343</t>
  </si>
  <si>
    <t>SUB-12344</t>
  </si>
  <si>
    <t>SUB-12345</t>
  </si>
  <si>
    <t>SUB-12346</t>
  </si>
  <si>
    <t>SUB-12347</t>
  </si>
  <si>
    <t>SUB-12348</t>
  </si>
  <si>
    <t>SUB-12349</t>
  </si>
  <si>
    <t>SUB-12350</t>
  </si>
  <si>
    <t>SUB-12351</t>
  </si>
  <si>
    <t>SUB-12352</t>
  </si>
  <si>
    <t>SUB-12353</t>
  </si>
  <si>
    <t>SUB-12354</t>
  </si>
  <si>
    <t>SUB-12355</t>
  </si>
  <si>
    <t>SUB-12356</t>
  </si>
  <si>
    <t>SUB-12357</t>
  </si>
  <si>
    <t>SUB-12358</t>
  </si>
  <si>
    <t>SUB-12359</t>
  </si>
  <si>
    <t>SUB-12360</t>
  </si>
  <si>
    <t>SUB-12361</t>
  </si>
  <si>
    <t>SUB-12362</t>
  </si>
  <si>
    <t>SUB-12363</t>
  </si>
  <si>
    <t>SUB-12364</t>
  </si>
  <si>
    <t>SUB-12365</t>
  </si>
  <si>
    <t>SUB-12366</t>
  </si>
  <si>
    <t>SUB-12367</t>
  </si>
  <si>
    <t>SUB-12368</t>
  </si>
  <si>
    <t>SUB-12369</t>
  </si>
  <si>
    <t>SUB-12370</t>
  </si>
  <si>
    <t>SUB-12371</t>
  </si>
  <si>
    <t>SUB-12372</t>
  </si>
  <si>
    <t>SUB-12373</t>
  </si>
  <si>
    <t>SUB-12374</t>
  </si>
  <si>
    <t>SUB-12375</t>
  </si>
  <si>
    <t>SUB-12376</t>
  </si>
  <si>
    <t>SUB-12377</t>
  </si>
  <si>
    <t>SUB-12378</t>
  </si>
  <si>
    <t>SUB-12379</t>
  </si>
  <si>
    <t>SUB-12380</t>
  </si>
  <si>
    <t>SUB-12381</t>
  </si>
  <si>
    <t>SUB-12382</t>
  </si>
  <si>
    <t>SUB-12383</t>
  </si>
  <si>
    <t>SUB-12384</t>
  </si>
  <si>
    <t>SUB-12385</t>
  </si>
  <si>
    <t>SUB-12386</t>
  </si>
  <si>
    <t>SUB-12387</t>
  </si>
  <si>
    <t>SUB-12388</t>
  </si>
  <si>
    <t>SUB-12389</t>
  </si>
  <si>
    <t>SUB-12390</t>
  </si>
  <si>
    <t>SUB-12391</t>
  </si>
  <si>
    <t>SUB-12392</t>
  </si>
  <si>
    <t>SUB-12393</t>
  </si>
  <si>
    <t>SUB-12394</t>
  </si>
  <si>
    <t>SUB-12395</t>
  </si>
  <si>
    <t>SUB-12396</t>
  </si>
  <si>
    <t>SUB-12397</t>
  </si>
  <si>
    <t>SUB-12398</t>
  </si>
  <si>
    <t>SUB-12399</t>
  </si>
  <si>
    <t xml:space="preserve">عدد الذين لغو الاشتراك </t>
  </si>
  <si>
    <t xml:space="preserve">نسبة الذين لغو الاشتراك </t>
  </si>
  <si>
    <t xml:space="preserve">نسبة المشتركين  </t>
  </si>
  <si>
    <t xml:space="preserve">الغي </t>
  </si>
  <si>
    <t>المتغير</t>
  </si>
  <si>
    <t>مشترك</t>
  </si>
  <si>
    <t xml:space="preserve"> </t>
  </si>
  <si>
    <t>الفرق</t>
  </si>
  <si>
    <t xml:space="preserve">إجمالي المشتركين </t>
  </si>
  <si>
    <t>لم يلغوا</t>
  </si>
  <si>
    <t>متوسط أشهر البقاء</t>
  </si>
  <si>
    <t xml:space="preserve">متوسط السعر الشهري </t>
  </si>
  <si>
    <t xml:space="preserve">متوسط الخصم </t>
  </si>
  <si>
    <t xml:space="preserve">متوسط تذاكر الدعم </t>
  </si>
  <si>
    <t xml:space="preserve">متوسط الجلسات الشهرية </t>
  </si>
  <si>
    <t>عدد المشتركين الشهريين الذين ألغوا</t>
  </si>
  <si>
    <t xml:space="preserve">عدد المشتركين الشهريين </t>
  </si>
  <si>
    <t xml:space="preserve">نسبة المشتركين الشهريين الذين الغو </t>
  </si>
  <si>
    <t xml:space="preserve">نسبة المشتركين السنويين الذين الغو </t>
  </si>
  <si>
    <t xml:space="preserve">العلاقة بين طريقة الفوترة والغاء الاشتراك </t>
  </si>
  <si>
    <t xml:space="preserve">العلاقة بين  وسيلة الدفع والغاء الاشتراك </t>
  </si>
  <si>
    <t>نسبة البطاقة</t>
  </si>
  <si>
    <t>نسبة المحفظة</t>
  </si>
  <si>
    <t xml:space="preserve">العلاقة بين حضر الهيئة والغاء الاشتراك </t>
  </si>
  <si>
    <t>إلغاء_رقمي</t>
  </si>
  <si>
    <t> متوسط الجلسات الشهرية</t>
  </si>
  <si>
    <t>فواتير_شهرية</t>
  </si>
  <si>
    <t>معامل الارتباط</t>
  </si>
  <si>
    <t xml:space="preserve">العامل </t>
  </si>
  <si>
    <t>دفع_بطاقة</t>
  </si>
  <si>
    <t>دفع_محفظة</t>
  </si>
  <si>
    <t>دفع_تحويل</t>
  </si>
  <si>
    <t xml:space="preserve">تحويل </t>
  </si>
  <si>
    <t>تهيئة_حضر</t>
  </si>
  <si>
    <t xml:space="preserve">المتغيرات والفرق بين قيمها بالنسبة للمشتركين و غير المشتركين </t>
  </si>
  <si>
    <t xml:space="preserve">العلاقة بين المتغيرات ومعامل الارتباط لكل من الغو  الإشتراكات </t>
  </si>
  <si>
    <t xml:space="preserve">القيمة المطلقة لمعامل الارتباط </t>
  </si>
  <si>
    <t>معدل عدم اليقين لمن الغو الإشتراك</t>
  </si>
  <si>
    <t xml:space="preserve">عدد العملاء حضروا التهيئة </t>
  </si>
  <si>
    <t>من لم يحضروا التهيئة</t>
  </si>
  <si>
    <t xml:space="preserve">معدل الإلغاء لمن حضروا التهيئة </t>
  </si>
  <si>
    <t xml:space="preserve">معدل الإلغاء لمن  لم حضروا التهيئة </t>
  </si>
  <si>
    <t>حضروا والغو الإشتراك</t>
  </si>
  <si>
    <t>الثقة</t>
  </si>
  <si>
    <t>الحد الأعلي</t>
  </si>
  <si>
    <t xml:space="preserve">الحد الادني </t>
  </si>
  <si>
    <t xml:space="preserve">عدد المشتركين السنويين </t>
  </si>
  <si>
    <t>الثقة(شهري)</t>
  </si>
  <si>
    <t>الثقة(سنوي)</t>
  </si>
  <si>
    <t xml:space="preserve">إجمالي عملاء البطاقة </t>
  </si>
  <si>
    <t>إجمالي  عملاء البطاقة الذين لغو</t>
  </si>
  <si>
    <t xml:space="preserve">إجمالي عملاء المحفظة </t>
  </si>
  <si>
    <t>إجمالي  عملاء المحفظة الذين لغو</t>
  </si>
  <si>
    <t xml:space="preserve">إجمالي عملاء التحويل </t>
  </si>
  <si>
    <t>إجمالي  عملاء التحويل الذين لغو</t>
  </si>
  <si>
    <t>نسبة التحويل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</si>
</sst>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0D0D0D"/>
      <name val="Segoe U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14" fontId="0" fillId="0" borderId="0" xfId="0" applyNumberFormat="1"/>
    <xf numFmtId="0" fontId="0" fillId="0" borderId="0" xfId="0" applyAlignment="1">
      <alignment vertical="center"/>
    </xf>
    <xf numFmtId="9" fontId="0" fillId="0" borderId="0" xfId="42" applyFont="1"/>
    <xf numFmtId="0" fontId="18" fillId="0" borderId="0" xfId="0" applyFont="1" applyAlignment="1">
      <alignment horizontal="right"/>
    </xf>
    <xf numFmtId="0" fontId="4" fillId="0" borderId="0" xfId="3" applyBorder="1" applyAlignment="1">
      <alignment horizontal="center"/>
    </xf>
    <xf numFmtId="2" fontId="0" fillId="0" borderId="0" xfId="0" applyNumberFormat="1"/>
    <xf numFmtId="0" fontId="1" fillId="10" borderId="0" xfId="19"/>
    <xf numFmtId="0" fontId="1" fillId="28" borderId="0" xfId="37"/>
    <xf numFmtId="10" fontId="1" fillId="10" borderId="0" xfId="42" applyNumberFormat="1" applyFill="1"/>
    <xf numFmtId="0" fontId="16" fillId="28" borderId="0" xfId="37" applyFont="1" applyAlignment="1">
      <alignment horizontal="center"/>
    </xf>
    <xf numFmtId="10" fontId="0" fillId="0" borderId="0" xfId="42" applyNumberFormat="1" applyFont="1"/>
    <xf numFmtId="10" fontId="0" fillId="0" borderId="0" xfId="0" applyNumberFormat="1"/>
    <xf numFmtId="0" fontId="4" fillId="0" borderId="0" xfId="3" applyBorder="1" applyAlignment="1"/>
    <xf numFmtId="0" fontId="4" fillId="0" borderId="2" xfId="3" applyAlignment="1">
      <alignment horizontal="center"/>
    </xf>
    <xf numFmtId="0" fontId="4" fillId="0" borderId="0" xfId="3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R2401" totalsRowShown="0">
  <autoFilter ref="A1:R2401" xr:uid="{B8A8561F-F3CC-4B0F-B446-A87CC692E7AA}"/>
  <tableColumns count="18">
    <tableColumn id="1" xr3:uid="{00000000-0010-0000-0000-000001000000}" name="معرف المشترك"/>
    <tableColumn id="2" xr3:uid="{00000000-0010-0000-0000-000002000000}" name="تاريخ الاشتراك" dataDxfId="6"/>
    <tableColumn id="3" xr3:uid="{00000000-0010-0000-0000-000003000000}" name="الباقة"/>
    <tableColumn id="4" xr3:uid="{00000000-0010-0000-0000-000004000000}" name="السعر الشهري"/>
    <tableColumn id="5" xr3:uid="{00000000-0010-0000-0000-000005000000}" name="دورة الفوترة"/>
    <tableColumn id="6" xr3:uid="{00000000-0010-0000-0000-000006000000}" name="أشهر البقاء"/>
    <tableColumn id="7" xr3:uid="{00000000-0010-0000-0000-000007000000}" name="وسيلة الدفع"/>
    <tableColumn id="8" xr3:uid="{00000000-0010-0000-0000-000008000000}" name="تذاكر الدعم"/>
    <tableColumn id="9" xr3:uid="{00000000-0010-0000-0000-000009000000}" name="متوسط الجلسات الشهرية"/>
    <tableColumn id="10" xr3:uid="{00000000-0010-0000-0000-00000A000000}" name="نسبة الخصم"/>
    <tableColumn id="11" xr3:uid="{00000000-0010-0000-0000-00000B000000}" name="حضر التهيئة"/>
    <tableColumn id="12" xr3:uid="{00000000-0010-0000-0000-00000C000000}" name="ألغى الاشتراك"/>
    <tableColumn id="13" xr3:uid="{529FD95A-06CB-442D-AD2E-D927B58CD27B}" name="إلغاء_رقمي" dataDxfId="5">
      <calculatedColumnFormula>IF(Table1[[#This Row],[ألغى الاشتراك]]="نعم",1,0)</calculatedColumnFormula>
    </tableColumn>
    <tableColumn id="16" xr3:uid="{7A2D5C43-7DE2-4100-A6CA-8688BB079C12}" name="دفع_بطاقة" dataDxfId="4">
      <calculatedColumnFormula>IF(Table1[[#This Row],[وسيلة الدفع]]="بطاقة",1,0)</calculatedColumnFormula>
    </tableColumn>
    <tableColumn id="18" xr3:uid="{53E05D0E-4D88-427A-A0AC-702B583E4166}" name="دفع_محفظة" dataDxfId="3">
      <calculatedColumnFormula>IF(Table1[[#This Row],[وسيلة الدفع]]="محفظة",1,0)</calculatedColumnFormula>
    </tableColumn>
    <tableColumn id="17" xr3:uid="{3FF2ABDE-C1A2-4C14-8B5B-2D17FB6B8802}" name="دفع_تحويل" dataDxfId="2">
      <calculatedColumnFormula>IF(Table1[[#This Row],[وسيلة الدفع]]="تحويل",1,0)</calculatedColumnFormula>
    </tableColumn>
    <tableColumn id="15" xr3:uid="{67418B1E-455B-47B5-8140-9BF71233B08C}" name="تهيئة_حضر" dataDxfId="1">
      <calculatedColumnFormula>IF(Table1[[#This Row],[حضر التهيئة]]="نعم",1,0)</calculatedColumnFormula>
    </tableColumn>
    <tableColumn id="14" xr3:uid="{39DCD7ED-B2CE-4603-B992-04FF50844BED}" name="فواتير_شهرية" dataDxfId="0">
      <calculatedColumnFormula>IF(Table1[[#This Row],[دورة الفوترة]]="شهري",1,0)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401"/>
  <sheetViews>
    <sheetView tabSelected="1" topLeftCell="R1" zoomScale="70" zoomScaleNormal="70" workbookViewId="0">
      <selection activeCell="Z51" sqref="Z51"/>
    </sheetView>
  </sheetViews>
  <sheetFormatPr defaultRowHeight="15" x14ac:dyDescent="0.25"/>
  <cols>
    <col min="1" max="1" width="14.28515625" customWidth="1"/>
    <col min="2" max="2" width="13.85546875" customWidth="1"/>
    <col min="3" max="3" width="11" customWidth="1"/>
    <col min="4" max="4" width="13.5703125" customWidth="1"/>
    <col min="5" max="5" width="11.5703125" customWidth="1"/>
    <col min="6" max="6" width="11.140625" customWidth="1"/>
    <col min="7" max="7" width="12.28515625" customWidth="1"/>
    <col min="8" max="8" width="13.7109375" customWidth="1"/>
    <col min="9" max="9" width="20.28515625" bestFit="1" customWidth="1"/>
    <col min="10" max="10" width="14.28515625" customWidth="1"/>
    <col min="11" max="11" width="12.42578125" customWidth="1"/>
    <col min="12" max="12" width="17.140625" customWidth="1"/>
    <col min="13" max="17" width="15.140625" customWidth="1"/>
    <col min="18" max="18" width="36.28515625" customWidth="1"/>
    <col min="19" max="19" width="13.42578125" customWidth="1"/>
    <col min="20" max="20" width="34.7109375" customWidth="1"/>
    <col min="21" max="21" width="15.85546875" bestFit="1" customWidth="1"/>
    <col min="22" max="22" width="31" bestFit="1" customWidth="1"/>
    <col min="23" max="23" width="36.85546875" customWidth="1"/>
    <col min="24" max="24" width="21.42578125" customWidth="1"/>
    <col min="25" max="25" width="19.42578125" bestFit="1" customWidth="1"/>
    <col min="26" max="26" width="35.7109375" bestFit="1" customWidth="1"/>
    <col min="27" max="27" width="26.85546875" bestFit="1" customWidth="1"/>
    <col min="28" max="28" width="10.28515625" customWidth="1"/>
    <col min="29" max="29" width="11.140625" customWidth="1"/>
    <col min="30" max="30" width="13.42578125" customWidth="1"/>
    <col min="31" max="31" width="26.5703125" bestFit="1" customWidth="1"/>
  </cols>
  <sheetData>
    <row r="1" spans="1:31" ht="18" thickBo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2" t="s">
        <v>11</v>
      </c>
      <c r="M1" t="s">
        <v>2446</v>
      </c>
      <c r="N1" t="s">
        <v>2451</v>
      </c>
      <c r="O1" t="s">
        <v>2452</v>
      </c>
      <c r="P1" t="s">
        <v>2453</v>
      </c>
      <c r="Q1" t="s">
        <v>2455</v>
      </c>
      <c r="R1" t="s">
        <v>2448</v>
      </c>
      <c r="T1" s="14" t="s">
        <v>2456</v>
      </c>
      <c r="U1" s="14"/>
      <c r="V1" s="14"/>
      <c r="W1" s="14"/>
    </row>
    <row r="2" spans="1:31" ht="15.75" thickTop="1" x14ac:dyDescent="0.25">
      <c r="A2" t="s">
        <v>12</v>
      </c>
      <c r="B2" s="1">
        <v>45724</v>
      </c>
      <c r="C2" t="s">
        <v>13</v>
      </c>
      <c r="D2">
        <v>89</v>
      </c>
      <c r="E2" t="s">
        <v>14</v>
      </c>
      <c r="F2">
        <v>1</v>
      </c>
      <c r="G2" t="s">
        <v>15</v>
      </c>
      <c r="H2">
        <v>1</v>
      </c>
      <c r="I2">
        <v>15</v>
      </c>
      <c r="J2">
        <v>0</v>
      </c>
      <c r="K2" t="s">
        <v>16</v>
      </c>
      <c r="L2" t="s">
        <v>17</v>
      </c>
      <c r="M2">
        <f>IF(Table1[[#This Row],[ألغى الاشتراك]]="نعم",1,0)</f>
        <v>0</v>
      </c>
      <c r="N2">
        <f>IF(Table1[[#This Row],[وسيلة الدفع]]="بطاقة",1,0)</f>
        <v>1</v>
      </c>
      <c r="O2">
        <f>IF(Table1[[#This Row],[وسيلة الدفع]]="محفظة",1,0)</f>
        <v>0</v>
      </c>
      <c r="P2">
        <f>IF(Table1[[#This Row],[وسيلة الدفع]]="تحويل",1,0)</f>
        <v>0</v>
      </c>
      <c r="Q2">
        <f>IF(Table1[[#This Row],[حضر التهيئة]]="نعم",1,0)</f>
        <v>1</v>
      </c>
      <c r="R2">
        <f>IF(Table1[[#This Row],[دورة الفوترة]]="شهري",1,0)</f>
        <v>1</v>
      </c>
      <c r="Z2" s="7"/>
      <c r="AA2" s="7"/>
    </row>
    <row r="3" spans="1:31" x14ac:dyDescent="0.25">
      <c r="A3" t="s">
        <v>18</v>
      </c>
      <c r="B3" s="1">
        <v>45399</v>
      </c>
      <c r="C3" t="s">
        <v>19</v>
      </c>
      <c r="D3">
        <v>189</v>
      </c>
      <c r="E3" t="s">
        <v>20</v>
      </c>
      <c r="F3">
        <v>2</v>
      </c>
      <c r="G3" t="s">
        <v>21</v>
      </c>
      <c r="H3">
        <v>2</v>
      </c>
      <c r="I3">
        <v>18</v>
      </c>
      <c r="J3">
        <v>0</v>
      </c>
      <c r="K3" t="s">
        <v>17</v>
      </c>
      <c r="L3" t="s">
        <v>17</v>
      </c>
      <c r="M3">
        <f>IF(Table1[[#This Row],[ألغى الاشتراك]]="نعم",1,0)</f>
        <v>0</v>
      </c>
      <c r="N3">
        <f>IF(Table1[[#This Row],[وسيلة الدفع]]="بطاقة",1,0)</f>
        <v>0</v>
      </c>
      <c r="O3">
        <f>IF(Table1[[#This Row],[وسيلة الدفع]]="محفظة",1,0)</f>
        <v>1</v>
      </c>
      <c r="P3">
        <f>IF(Table1[[#This Row],[وسيلة الدفع]]="تحويل",1,0)</f>
        <v>0</v>
      </c>
      <c r="Q3">
        <f>IF(Table1[[#This Row],[حضر التهيئة]]="نعم",1,0)</f>
        <v>0</v>
      </c>
      <c r="R3">
        <f>IF(Table1[[#This Row],[دورة الفوترة]]="شهري",1,0)</f>
        <v>0</v>
      </c>
      <c r="T3" s="10" t="s">
        <v>2429</v>
      </c>
      <c r="U3" s="10" t="s">
        <v>2425</v>
      </c>
      <c r="V3" s="10" t="s">
        <v>2427</v>
      </c>
      <c r="W3" s="10" t="s">
        <v>2426</v>
      </c>
      <c r="Z3" s="7">
        <f>COUNTA(Table1[معرف المشترك])</f>
        <v>2400</v>
      </c>
      <c r="AA3" s="7" t="s">
        <v>2430</v>
      </c>
    </row>
    <row r="4" spans="1:31" x14ac:dyDescent="0.25">
      <c r="A4" t="s">
        <v>22</v>
      </c>
      <c r="B4" s="1">
        <v>45910</v>
      </c>
      <c r="C4" t="s">
        <v>13</v>
      </c>
      <c r="D4">
        <v>89</v>
      </c>
      <c r="E4" t="s">
        <v>14</v>
      </c>
      <c r="F4">
        <v>23</v>
      </c>
      <c r="G4" t="s">
        <v>23</v>
      </c>
      <c r="H4">
        <v>3</v>
      </c>
      <c r="I4">
        <v>13</v>
      </c>
      <c r="J4">
        <v>0</v>
      </c>
      <c r="K4" t="s">
        <v>16</v>
      </c>
      <c r="L4" t="s">
        <v>17</v>
      </c>
      <c r="M4">
        <f>IF(Table1[[#This Row],[ألغى الاشتراك]]="نعم",1,0)</f>
        <v>0</v>
      </c>
      <c r="N4">
        <f>IF(Table1[[#This Row],[وسيلة الدفع]]="بطاقة",1,0)</f>
        <v>0</v>
      </c>
      <c r="O4">
        <f>IF(Table1[[#This Row],[وسيلة الدفع]]="محفظة",1,0)</f>
        <v>0</v>
      </c>
      <c r="P4">
        <f>IF(Table1[[#This Row],[وسيلة الدفع]]="تحويل",1,0)</f>
        <v>1</v>
      </c>
      <c r="Q4">
        <f>IF(Table1[[#This Row],[حضر التهيئة]]="نعم",1,0)</f>
        <v>1</v>
      </c>
      <c r="R4">
        <f>IF(Table1[[#This Row],[دورة الفوترة]]="شهري",1,0)</f>
        <v>1</v>
      </c>
      <c r="T4">
        <f>'subscriptions-churn'!$V$4:$V$4-'subscriptions-churn'!$U$4:$U$4</f>
        <v>-0.31321129377450063</v>
      </c>
      <c r="U4">
        <f>AVERAGEIF(Table1[ألغى الاشتراك],"نعم",Table1[أشهر البقاء])</f>
        <v>16.04035874439462</v>
      </c>
      <c r="V4">
        <f>AVERAGEIF(Table1[ألغى الاشتراك],"لا",Table1[أشهر البقاء])</f>
        <v>15.727147450620119</v>
      </c>
      <c r="W4" t="s">
        <v>2432</v>
      </c>
      <c r="Z4" s="7">
        <f>COUNTIF(Table1[ألغى الاشتراك],"لا")</f>
        <v>2177</v>
      </c>
      <c r="AA4" s="7" t="s">
        <v>2431</v>
      </c>
    </row>
    <row r="5" spans="1:31" x14ac:dyDescent="0.25">
      <c r="A5" t="s">
        <v>24</v>
      </c>
      <c r="B5" s="1">
        <v>45462</v>
      </c>
      <c r="C5" t="s">
        <v>13</v>
      </c>
      <c r="D5">
        <v>89</v>
      </c>
      <c r="E5" t="s">
        <v>14</v>
      </c>
      <c r="F5">
        <v>14</v>
      </c>
      <c r="G5" t="s">
        <v>15</v>
      </c>
      <c r="H5">
        <v>6</v>
      </c>
      <c r="I5">
        <v>28</v>
      </c>
      <c r="J5">
        <v>0</v>
      </c>
      <c r="K5" t="s">
        <v>17</v>
      </c>
      <c r="L5" t="s">
        <v>17</v>
      </c>
      <c r="M5">
        <f>IF(Table1[[#This Row],[ألغى الاشتراك]]="نعم",1,0)</f>
        <v>0</v>
      </c>
      <c r="N5">
        <f>IF(Table1[[#This Row],[وسيلة الدفع]]="بطاقة",1,0)</f>
        <v>1</v>
      </c>
      <c r="O5">
        <f>IF(Table1[[#This Row],[وسيلة الدفع]]="محفظة",1,0)</f>
        <v>0</v>
      </c>
      <c r="P5">
        <f>IF(Table1[[#This Row],[وسيلة الدفع]]="تحويل",1,0)</f>
        <v>0</v>
      </c>
      <c r="Q5">
        <f>IF(Table1[[#This Row],[حضر التهيئة]]="نعم",1,0)</f>
        <v>0</v>
      </c>
      <c r="R5">
        <f>IF(Table1[[#This Row],[دورة الفوترة]]="شهري",1,0)</f>
        <v>1</v>
      </c>
      <c r="T5">
        <f>V5-U5</f>
        <v>8.7797211367929293</v>
      </c>
      <c r="U5">
        <f>AVERAGEIF(Table1[ألغى الاشتراك],"نعم",Table1[السعر الشهري])</f>
        <v>97.744394618834079</v>
      </c>
      <c r="V5">
        <f>AVERAGEIF(Table1[ألغى الاشتراك],"لا",Table1[السعر الشهري])</f>
        <v>106.52411575562701</v>
      </c>
      <c r="W5" t="s">
        <v>2433</v>
      </c>
      <c r="Z5" s="7">
        <f>COUNTIF(Table1[ألغى الاشتراك],"نعم")</f>
        <v>223</v>
      </c>
      <c r="AA5" s="7" t="s">
        <v>2422</v>
      </c>
    </row>
    <row r="6" spans="1:31" x14ac:dyDescent="0.25">
      <c r="A6" t="s">
        <v>25</v>
      </c>
      <c r="B6" s="1">
        <v>45985</v>
      </c>
      <c r="C6" t="s">
        <v>19</v>
      </c>
      <c r="D6">
        <v>189</v>
      </c>
      <c r="E6" t="s">
        <v>20</v>
      </c>
      <c r="F6">
        <v>13</v>
      </c>
      <c r="G6" t="s">
        <v>21</v>
      </c>
      <c r="H6">
        <v>11</v>
      </c>
      <c r="I6">
        <v>47</v>
      </c>
      <c r="J6">
        <v>0</v>
      </c>
      <c r="K6" t="s">
        <v>17</v>
      </c>
      <c r="L6" t="s">
        <v>16</v>
      </c>
      <c r="M6">
        <f>IF(Table1[[#This Row],[ألغى الاشتراك]]="نعم",1,0)</f>
        <v>1</v>
      </c>
      <c r="N6">
        <f>IF(Table1[[#This Row],[وسيلة الدفع]]="بطاقة",1,0)</f>
        <v>0</v>
      </c>
      <c r="O6">
        <f>IF(Table1[[#This Row],[وسيلة الدفع]]="محفظة",1,0)</f>
        <v>1</v>
      </c>
      <c r="P6">
        <f>IF(Table1[[#This Row],[وسيلة الدفع]]="تحويل",1,0)</f>
        <v>0</v>
      </c>
      <c r="Q6">
        <f>IF(Table1[[#This Row],[حضر التهيئة]]="نعم",1,0)</f>
        <v>0</v>
      </c>
      <c r="R6">
        <f>IF(Table1[[#This Row],[دورة الفوترة]]="شهري",1,0)</f>
        <v>0</v>
      </c>
      <c r="T6">
        <f>V6-U6</f>
        <v>0.16108068247124985</v>
      </c>
      <c r="U6">
        <f>AVERAGEIF(Table1[ألغى الاشتراك],"نعم",Table1[نسبة الخصم])</f>
        <v>2.9372197309417039</v>
      </c>
      <c r="V6">
        <f>AVERAGEIF(Table1[ألغى الاشتراك],"لا",Table1[نسبة الخصم])</f>
        <v>3.0983004134129537</v>
      </c>
      <c r="W6" t="s">
        <v>2434</v>
      </c>
      <c r="Z6" s="9">
        <f>Z4/Z3</f>
        <v>0.90708333333333335</v>
      </c>
      <c r="AA6" s="7" t="s">
        <v>2424</v>
      </c>
    </row>
    <row r="7" spans="1:31" x14ac:dyDescent="0.25">
      <c r="A7" t="s">
        <v>26</v>
      </c>
      <c r="B7" s="1">
        <v>45407</v>
      </c>
      <c r="C7" t="s">
        <v>13</v>
      </c>
      <c r="D7">
        <v>89</v>
      </c>
      <c r="E7" t="s">
        <v>14</v>
      </c>
      <c r="F7">
        <v>20</v>
      </c>
      <c r="G7" t="s">
        <v>21</v>
      </c>
      <c r="H7">
        <v>0</v>
      </c>
      <c r="I7">
        <v>4</v>
      </c>
      <c r="J7">
        <v>0</v>
      </c>
      <c r="K7" t="s">
        <v>16</v>
      </c>
      <c r="L7" t="s">
        <v>17</v>
      </c>
      <c r="M7">
        <f>IF(Table1[[#This Row],[ألغى الاشتراك]]="نعم",1,0)</f>
        <v>0</v>
      </c>
      <c r="N7">
        <f>IF(Table1[[#This Row],[وسيلة الدفع]]="بطاقة",1,0)</f>
        <v>0</v>
      </c>
      <c r="O7">
        <f>IF(Table1[[#This Row],[وسيلة الدفع]]="محفظة",1,0)</f>
        <v>1</v>
      </c>
      <c r="P7">
        <f>IF(Table1[[#This Row],[وسيلة الدفع]]="تحويل",1,0)</f>
        <v>0</v>
      </c>
      <c r="Q7">
        <f>IF(Table1[[#This Row],[حضر التهيئة]]="نعم",1,0)</f>
        <v>1</v>
      </c>
      <c r="R7">
        <f>IF(Table1[[#This Row],[دورة الفوترة]]="شهري",1,0)</f>
        <v>1</v>
      </c>
      <c r="T7">
        <f>V7-U7</f>
        <v>-1.3829229758317179</v>
      </c>
      <c r="U7">
        <f>AVERAGEIF(Table1[ألغى الاشتراك],"نعم",Table1[تذاكر الدعم])</f>
        <v>4.0448430493273539</v>
      </c>
      <c r="V7">
        <f>AVERAGEIF(Table1[ألغى الاشتراك],"لا",Table1[تذاكر الدعم])</f>
        <v>2.6619200734956361</v>
      </c>
      <c r="W7" t="s">
        <v>2435</v>
      </c>
      <c r="Z7" s="9">
        <f>Z5/Z3</f>
        <v>9.2916666666666661E-2</v>
      </c>
      <c r="AA7" s="7" t="s">
        <v>2423</v>
      </c>
    </row>
    <row r="8" spans="1:31" x14ac:dyDescent="0.25">
      <c r="A8" t="s">
        <v>27</v>
      </c>
      <c r="B8" s="1">
        <v>45922</v>
      </c>
      <c r="C8" t="s">
        <v>28</v>
      </c>
      <c r="D8">
        <v>39</v>
      </c>
      <c r="E8" t="s">
        <v>14</v>
      </c>
      <c r="F8">
        <v>13</v>
      </c>
      <c r="G8" t="s">
        <v>21</v>
      </c>
      <c r="H8">
        <v>0</v>
      </c>
      <c r="I8">
        <v>43</v>
      </c>
      <c r="J8">
        <v>0</v>
      </c>
      <c r="K8" t="s">
        <v>17</v>
      </c>
      <c r="L8" t="s">
        <v>17</v>
      </c>
      <c r="M8">
        <f>IF(Table1[[#This Row],[ألغى الاشتراك]]="نعم",1,0)</f>
        <v>0</v>
      </c>
      <c r="N8">
        <f>IF(Table1[[#This Row],[وسيلة الدفع]]="بطاقة",1,0)</f>
        <v>0</v>
      </c>
      <c r="O8">
        <f>IF(Table1[[#This Row],[وسيلة الدفع]]="محفظة",1,0)</f>
        <v>1</v>
      </c>
      <c r="P8">
        <f>IF(Table1[[#This Row],[وسيلة الدفع]]="تحويل",1,0)</f>
        <v>0</v>
      </c>
      <c r="Q8">
        <f>IF(Table1[[#This Row],[حضر التهيئة]]="نعم",1,0)</f>
        <v>0</v>
      </c>
      <c r="R8">
        <f>IF(Table1[[#This Row],[دورة الفوترة]]="شهري",1,0)</f>
        <v>1</v>
      </c>
      <c r="T8">
        <f>V8-U8</f>
        <v>3.2424367263956029</v>
      </c>
      <c r="U8">
        <f>AVERAGEIF(Table1[ألغى الاشتراك],"نعم",Table1[متوسط الجلسات الشهرية])</f>
        <v>27.260089686098656</v>
      </c>
      <c r="V8">
        <f>AVERAGEIF(Table1[ألغى الاشتراك],"لا",Table1[متوسط الجلسات الشهرية])</f>
        <v>30.502526412494259</v>
      </c>
      <c r="W8" t="s">
        <v>2436</v>
      </c>
      <c r="Z8" s="9">
        <f>1.96*SQRT((223/2400)*(1-(223/2400))/2400)</f>
        <v>1.1615043879757998E-2</v>
      </c>
      <c r="AA8" s="7" t="s">
        <v>2459</v>
      </c>
    </row>
    <row r="9" spans="1:31" x14ac:dyDescent="0.25">
      <c r="A9" t="s">
        <v>29</v>
      </c>
      <c r="B9" s="1">
        <v>45588</v>
      </c>
      <c r="C9" t="s">
        <v>28</v>
      </c>
      <c r="D9">
        <v>39</v>
      </c>
      <c r="E9" t="s">
        <v>14</v>
      </c>
      <c r="F9">
        <v>8</v>
      </c>
      <c r="G9" t="s">
        <v>23</v>
      </c>
      <c r="H9">
        <v>1</v>
      </c>
      <c r="I9">
        <v>24</v>
      </c>
      <c r="J9">
        <v>0</v>
      </c>
      <c r="K9" t="s">
        <v>16</v>
      </c>
      <c r="L9" t="s">
        <v>17</v>
      </c>
      <c r="M9">
        <f>IF(Table1[[#This Row],[ألغى الاشتراك]]="نعم",1,0)</f>
        <v>0</v>
      </c>
      <c r="N9">
        <f>IF(Table1[[#This Row],[وسيلة الدفع]]="بطاقة",1,0)</f>
        <v>0</v>
      </c>
      <c r="O9">
        <f>IF(Table1[[#This Row],[وسيلة الدفع]]="محفظة",1,0)</f>
        <v>0</v>
      </c>
      <c r="P9">
        <f>IF(Table1[[#This Row],[وسيلة الدفع]]="تحويل",1,0)</f>
        <v>1</v>
      </c>
      <c r="Q9">
        <f>IF(Table1[[#This Row],[حضر التهيئة]]="نعم",1,0)</f>
        <v>1</v>
      </c>
      <c r="R9">
        <f>IF(Table1[[#This Row],[دورة الفوترة]]="شهري",1,0)</f>
        <v>1</v>
      </c>
    </row>
    <row r="10" spans="1:31" ht="18" thickBot="1" x14ac:dyDescent="0.35">
      <c r="A10" t="s">
        <v>30</v>
      </c>
      <c r="B10" s="1">
        <v>45862</v>
      </c>
      <c r="C10" t="s">
        <v>28</v>
      </c>
      <c r="D10">
        <v>39</v>
      </c>
      <c r="E10" t="s">
        <v>20</v>
      </c>
      <c r="F10">
        <v>25</v>
      </c>
      <c r="G10" t="s">
        <v>15</v>
      </c>
      <c r="H10">
        <v>10</v>
      </c>
      <c r="I10">
        <v>47</v>
      </c>
      <c r="J10">
        <v>0</v>
      </c>
      <c r="K10" t="s">
        <v>17</v>
      </c>
      <c r="L10" t="s">
        <v>17</v>
      </c>
      <c r="M10">
        <f>IF(Table1[[#This Row],[ألغى الاشتراك]]="نعم",1,0)</f>
        <v>0</v>
      </c>
      <c r="N10">
        <f>IF(Table1[[#This Row],[وسيلة الدفع]]="بطاقة",1,0)</f>
        <v>1</v>
      </c>
      <c r="O10">
        <f>IF(Table1[[#This Row],[وسيلة الدفع]]="محفظة",1,0)</f>
        <v>0</v>
      </c>
      <c r="P10">
        <f>IF(Table1[[#This Row],[وسيلة الدفع]]="تحويل",1,0)</f>
        <v>0</v>
      </c>
      <c r="Q10">
        <f>IF(Table1[[#This Row],[حضر التهيئة]]="نعم",1,0)</f>
        <v>0</v>
      </c>
      <c r="R10">
        <f>IF(Table1[[#This Row],[دورة الفوترة]]="شهري",1,0)</f>
        <v>0</v>
      </c>
      <c r="S10" s="5"/>
      <c r="T10" s="14" t="s">
        <v>2442</v>
      </c>
      <c r="U10" s="14"/>
      <c r="V10" s="14"/>
      <c r="X10" s="14" t="s">
        <v>2441</v>
      </c>
      <c r="Y10" s="14"/>
      <c r="Z10" s="14"/>
      <c r="AB10" s="14" t="s">
        <v>2445</v>
      </c>
      <c r="AC10" s="14"/>
      <c r="AD10" s="14"/>
      <c r="AE10" s="14"/>
    </row>
    <row r="11" spans="1:31" ht="15.75" thickTop="1" x14ac:dyDescent="0.25">
      <c r="A11" t="s">
        <v>31</v>
      </c>
      <c r="B11" s="1">
        <v>45403</v>
      </c>
      <c r="C11" t="s">
        <v>13</v>
      </c>
      <c r="D11">
        <v>89</v>
      </c>
      <c r="E11" t="s">
        <v>20</v>
      </c>
      <c r="F11">
        <v>10</v>
      </c>
      <c r="G11" t="s">
        <v>21</v>
      </c>
      <c r="H11">
        <v>6</v>
      </c>
      <c r="I11">
        <v>56</v>
      </c>
      <c r="J11">
        <v>0</v>
      </c>
      <c r="K11" t="s">
        <v>16</v>
      </c>
      <c r="L11" t="s">
        <v>17</v>
      </c>
      <c r="M11">
        <f>IF(Table1[[#This Row],[ألغى الاشتراك]]="نعم",1,0)</f>
        <v>0</v>
      </c>
      <c r="N11">
        <f>IF(Table1[[#This Row],[وسيلة الدفع]]="بطاقة",1,0)</f>
        <v>0</v>
      </c>
      <c r="O11">
        <f>IF(Table1[[#This Row],[وسيلة الدفع]]="محفظة",1,0)</f>
        <v>1</v>
      </c>
      <c r="P11">
        <f>IF(Table1[[#This Row],[وسيلة الدفع]]="تحويل",1,0)</f>
        <v>0</v>
      </c>
      <c r="Q11">
        <f>IF(Table1[[#This Row],[حضر التهيئة]]="نعم",1,0)</f>
        <v>1</v>
      </c>
      <c r="R11">
        <f>IF(Table1[[#This Row],[دورة الفوترة]]="شهري",1,0)</f>
        <v>0</v>
      </c>
      <c r="U11">
        <f>COUNTIF(Table1[وسيلة الدفع],"بطاقة")</f>
        <v>821</v>
      </c>
      <c r="V11" t="s">
        <v>2471</v>
      </c>
      <c r="Y11">
        <f>COUNTIF(Table1[دورة الفوترة],"شهري")</f>
        <v>1493</v>
      </c>
      <c r="Z11" t="s">
        <v>2438</v>
      </c>
      <c r="AB11" t="s">
        <v>2428</v>
      </c>
      <c r="AD11">
        <f>COUNTIF(Table1[حضر التهيئة],"نعم")</f>
        <v>1314</v>
      </c>
      <c r="AE11" t="s">
        <v>2460</v>
      </c>
    </row>
    <row r="12" spans="1:31" x14ac:dyDescent="0.25">
      <c r="A12" t="s">
        <v>32</v>
      </c>
      <c r="B12" s="1">
        <v>45663</v>
      </c>
      <c r="C12" t="s">
        <v>28</v>
      </c>
      <c r="D12">
        <v>39</v>
      </c>
      <c r="E12" t="s">
        <v>14</v>
      </c>
      <c r="F12">
        <v>21</v>
      </c>
      <c r="G12" t="s">
        <v>23</v>
      </c>
      <c r="H12">
        <v>0</v>
      </c>
      <c r="I12">
        <v>27</v>
      </c>
      <c r="J12">
        <v>0</v>
      </c>
      <c r="K12" t="s">
        <v>16</v>
      </c>
      <c r="L12" t="s">
        <v>17</v>
      </c>
      <c r="M12">
        <f>IF(Table1[[#This Row],[ألغى الاشتراك]]="نعم",1,0)</f>
        <v>0</v>
      </c>
      <c r="N12">
        <f>IF(Table1[[#This Row],[وسيلة الدفع]]="بطاقة",1,0)</f>
        <v>0</v>
      </c>
      <c r="O12">
        <f>IF(Table1[[#This Row],[وسيلة الدفع]]="محفظة",1,0)</f>
        <v>0</v>
      </c>
      <c r="P12">
        <f>IF(Table1[[#This Row],[وسيلة الدفع]]="تحويل",1,0)</f>
        <v>1</v>
      </c>
      <c r="Q12">
        <f>IF(Table1[[#This Row],[حضر التهيئة]]="نعم",1,0)</f>
        <v>1</v>
      </c>
      <c r="R12">
        <f>IF(Table1[[#This Row],[دورة الفوترة]]="شهري",1,0)</f>
        <v>1</v>
      </c>
      <c r="U12">
        <f>COUNTIFS(Table1[وسيلة الدفع],"بطاقة",Table1[ألغى الاشتراك],"نعم")</f>
        <v>78</v>
      </c>
      <c r="V12" t="s">
        <v>2472</v>
      </c>
      <c r="Y12">
        <f>COUNTIFS(Table1[دورة الفوترة],"شهري",Table1[ألغى الاشتراك],"نعم")</f>
        <v>156</v>
      </c>
      <c r="Z12" t="s">
        <v>2437</v>
      </c>
      <c r="AD12">
        <f>COUNTIFS(Table1[حضر التهيئة],"نعم",Table1[ألغى الاشتراك],"نعم")</f>
        <v>98</v>
      </c>
      <c r="AE12" t="s">
        <v>2464</v>
      </c>
    </row>
    <row r="13" spans="1:31" x14ac:dyDescent="0.25">
      <c r="A13" t="s">
        <v>33</v>
      </c>
      <c r="B13" s="1">
        <v>45325</v>
      </c>
      <c r="C13" t="s">
        <v>28</v>
      </c>
      <c r="D13">
        <v>39</v>
      </c>
      <c r="E13" t="s">
        <v>20</v>
      </c>
      <c r="F13">
        <v>6</v>
      </c>
      <c r="G13" t="s">
        <v>21</v>
      </c>
      <c r="H13">
        <v>2</v>
      </c>
      <c r="I13">
        <v>42</v>
      </c>
      <c r="J13">
        <v>0</v>
      </c>
      <c r="K13" t="s">
        <v>17</v>
      </c>
      <c r="L13" t="s">
        <v>17</v>
      </c>
      <c r="M13">
        <f>IF(Table1[[#This Row],[ألغى الاشتراك]]="نعم",1,0)</f>
        <v>0</v>
      </c>
      <c r="N13">
        <f>IF(Table1[[#This Row],[وسيلة الدفع]]="بطاقة",1,0)</f>
        <v>0</v>
      </c>
      <c r="O13">
        <f>IF(Table1[[#This Row],[وسيلة الدفع]]="محفظة",1,0)</f>
        <v>1</v>
      </c>
      <c r="P13">
        <f>IF(Table1[[#This Row],[وسيلة الدفع]]="تحويل",1,0)</f>
        <v>0</v>
      </c>
      <c r="Q13">
        <f>IF(Table1[[#This Row],[حضر التهيئة]]="نعم",1,0)</f>
        <v>0</v>
      </c>
      <c r="R13">
        <f>IF(Table1[[#This Row],[دورة الفوترة]]="شهري",1,0)</f>
        <v>0</v>
      </c>
      <c r="U13" s="11">
        <f>U12/U11</f>
        <v>9.5006090133982951E-2</v>
      </c>
      <c r="V13" t="s">
        <v>2443</v>
      </c>
      <c r="Y13" s="11">
        <f>Y12/Y11</f>
        <v>0.10448760884125921</v>
      </c>
      <c r="Z13" t="s">
        <v>2439</v>
      </c>
      <c r="AD13" s="11">
        <f>COUNTIFS(Table1[حضر التهيئة],"نعم",Table1[ألغى الاشتراك],"نعم")/COUNTIF(Table1[حضر التهيئة],"نعم")</f>
        <v>7.4581430745814303E-2</v>
      </c>
      <c r="AE13" t="s">
        <v>2462</v>
      </c>
    </row>
    <row r="14" spans="1:31" x14ac:dyDescent="0.25">
      <c r="A14" t="s">
        <v>34</v>
      </c>
      <c r="B14" s="1">
        <v>45728</v>
      </c>
      <c r="C14" t="s">
        <v>19</v>
      </c>
      <c r="D14">
        <v>189</v>
      </c>
      <c r="E14" t="s">
        <v>20</v>
      </c>
      <c r="F14">
        <v>23</v>
      </c>
      <c r="G14" t="s">
        <v>21</v>
      </c>
      <c r="H14">
        <v>2</v>
      </c>
      <c r="I14">
        <v>43</v>
      </c>
      <c r="J14">
        <v>0</v>
      </c>
      <c r="K14" t="s">
        <v>16</v>
      </c>
      <c r="L14" t="s">
        <v>17</v>
      </c>
      <c r="M14">
        <f>IF(Table1[[#This Row],[ألغى الاشتراك]]="نعم",1,0)</f>
        <v>0</v>
      </c>
      <c r="N14">
        <f>IF(Table1[[#This Row],[وسيلة الدفع]]="بطاقة",1,0)</f>
        <v>0</v>
      </c>
      <c r="O14">
        <f>IF(Table1[[#This Row],[وسيلة الدفع]]="محفظة",1,0)</f>
        <v>1</v>
      </c>
      <c r="P14">
        <f>IF(Table1[[#This Row],[وسيلة الدفع]]="تحويل",1,0)</f>
        <v>0</v>
      </c>
      <c r="Q14">
        <f>IF(Table1[[#This Row],[حضر التهيئة]]="نعم",1,0)</f>
        <v>1</v>
      </c>
      <c r="R14">
        <f>IF(Table1[[#This Row],[دورة الفوترة]]="شهري",1,0)</f>
        <v>0</v>
      </c>
      <c r="U14" s="11">
        <f>1.96*SQRT((U12/U11)*(1-(U12/U11))/U11)</f>
        <v>2.0057788330719303E-2</v>
      </c>
      <c r="V14" t="s">
        <v>2465</v>
      </c>
      <c r="Y14" s="11">
        <f>1.96*SQRT((Y12/Y11)*(1-(Y12/Y11))/Y11)</f>
        <v>1.5516521323297863E-2</v>
      </c>
      <c r="Z14" t="s">
        <v>2469</v>
      </c>
      <c r="AD14" s="11">
        <f>1.96*SQRT((AD12/AD11)*(1-(AD12/AD11))/AD11)</f>
        <v>1.4205052685731316E-2</v>
      </c>
      <c r="AE14" t="s">
        <v>2465</v>
      </c>
    </row>
    <row r="15" spans="1:31" x14ac:dyDescent="0.25">
      <c r="A15" t="s">
        <v>35</v>
      </c>
      <c r="B15" s="1">
        <v>45403</v>
      </c>
      <c r="C15" t="s">
        <v>19</v>
      </c>
      <c r="D15">
        <v>189</v>
      </c>
      <c r="E15" t="s">
        <v>14</v>
      </c>
      <c r="F15">
        <v>30</v>
      </c>
      <c r="G15" t="s">
        <v>21</v>
      </c>
      <c r="H15">
        <v>1</v>
      </c>
      <c r="I15">
        <v>10</v>
      </c>
      <c r="J15">
        <v>0</v>
      </c>
      <c r="K15" t="s">
        <v>16</v>
      </c>
      <c r="L15" t="s">
        <v>17</v>
      </c>
      <c r="M15">
        <f>IF(Table1[[#This Row],[ألغى الاشتراك]]="نعم",1,0)</f>
        <v>0</v>
      </c>
      <c r="N15">
        <f>IF(Table1[[#This Row],[وسيلة الدفع]]="بطاقة",1,0)</f>
        <v>0</v>
      </c>
      <c r="O15">
        <f>IF(Table1[[#This Row],[وسيلة الدفع]]="محفظة",1,0)</f>
        <v>1</v>
      </c>
      <c r="P15">
        <f>IF(Table1[[#This Row],[وسيلة الدفع]]="تحويل",1,0)</f>
        <v>0</v>
      </c>
      <c r="Q15">
        <f>IF(Table1[[#This Row],[حضر التهيئة]]="نعم",1,0)</f>
        <v>1</v>
      </c>
      <c r="R15">
        <f>IF(Table1[[#This Row],[دورة الفوترة]]="شهري",1,0)</f>
        <v>1</v>
      </c>
      <c r="Y15" s="12">
        <f>Y14+Y13</f>
        <v>0.12000413016455708</v>
      </c>
      <c r="Z15" t="s">
        <v>2466</v>
      </c>
      <c r="AD15" s="12">
        <f>AD13+AD14</f>
        <v>8.8786483431545618E-2</v>
      </c>
      <c r="AE15" t="s">
        <v>2466</v>
      </c>
    </row>
    <row r="16" spans="1:31" x14ac:dyDescent="0.25">
      <c r="A16" t="s">
        <v>36</v>
      </c>
      <c r="B16" s="1">
        <v>45466</v>
      </c>
      <c r="C16" t="s">
        <v>28</v>
      </c>
      <c r="D16">
        <v>39</v>
      </c>
      <c r="E16" t="s">
        <v>20</v>
      </c>
      <c r="F16">
        <v>19</v>
      </c>
      <c r="G16" t="s">
        <v>15</v>
      </c>
      <c r="H16">
        <v>2</v>
      </c>
      <c r="I16">
        <v>47</v>
      </c>
      <c r="J16">
        <v>10</v>
      </c>
      <c r="K16" t="s">
        <v>16</v>
      </c>
      <c r="L16" t="s">
        <v>17</v>
      </c>
      <c r="M16">
        <f>IF(Table1[[#This Row],[ألغى الاشتراك]]="نعم",1,0)</f>
        <v>0</v>
      </c>
      <c r="N16">
        <f>IF(Table1[[#This Row],[وسيلة الدفع]]="بطاقة",1,0)</f>
        <v>1</v>
      </c>
      <c r="O16">
        <f>IF(Table1[[#This Row],[وسيلة الدفع]]="محفظة",1,0)</f>
        <v>0</v>
      </c>
      <c r="P16">
        <f>IF(Table1[[#This Row],[وسيلة الدفع]]="تحويل",1,0)</f>
        <v>0</v>
      </c>
      <c r="Q16">
        <f>IF(Table1[[#This Row],[حضر التهيئة]]="نعم",1,0)</f>
        <v>1</v>
      </c>
      <c r="R16">
        <f>IF(Table1[[#This Row],[دورة الفوترة]]="شهري",1,0)</f>
        <v>0</v>
      </c>
      <c r="U16">
        <f>COUNTIF(Table1[وسيلة الدفع],"محفظة")</f>
        <v>786</v>
      </c>
      <c r="V16" t="s">
        <v>2473</v>
      </c>
      <c r="Y16" s="12">
        <f>Y13-Y14</f>
        <v>8.8971087517961345E-2</v>
      </c>
      <c r="Z16" t="s">
        <v>2467</v>
      </c>
      <c r="AD16" s="12">
        <f>AD13-AD14</f>
        <v>6.0376378060082989E-2</v>
      </c>
      <c r="AE16" t="s">
        <v>2467</v>
      </c>
    </row>
    <row r="17" spans="1:31" x14ac:dyDescent="0.25">
      <c r="A17" t="s">
        <v>37</v>
      </c>
      <c r="B17" s="1">
        <v>45728</v>
      </c>
      <c r="C17" t="s">
        <v>28</v>
      </c>
      <c r="D17">
        <v>39</v>
      </c>
      <c r="E17" t="s">
        <v>14</v>
      </c>
      <c r="F17">
        <v>9</v>
      </c>
      <c r="G17" t="s">
        <v>23</v>
      </c>
      <c r="H17">
        <v>7</v>
      </c>
      <c r="I17">
        <v>17</v>
      </c>
      <c r="J17">
        <v>0</v>
      </c>
      <c r="K17" t="s">
        <v>16</v>
      </c>
      <c r="L17" t="s">
        <v>17</v>
      </c>
      <c r="M17">
        <f>IF(Table1[[#This Row],[ألغى الاشتراك]]="نعم",1,0)</f>
        <v>0</v>
      </c>
      <c r="N17">
        <f>IF(Table1[[#This Row],[وسيلة الدفع]]="بطاقة",1,0)</f>
        <v>0</v>
      </c>
      <c r="O17">
        <f>IF(Table1[[#This Row],[وسيلة الدفع]]="محفظة",1,0)</f>
        <v>0</v>
      </c>
      <c r="P17">
        <f>IF(Table1[[#This Row],[وسيلة الدفع]]="تحويل",1,0)</f>
        <v>1</v>
      </c>
      <c r="Q17">
        <f>IF(Table1[[#This Row],[حضر التهيئة]]="نعم",1,0)</f>
        <v>1</v>
      </c>
      <c r="R17">
        <f>IF(Table1[[#This Row],[دورة الفوترة]]="شهري",1,0)</f>
        <v>1</v>
      </c>
      <c r="U17">
        <f>COUNTIFS(Table1[وسيلة الدفع],"محفظة",Table1[ألغى الاشتراك],"نعم")</f>
        <v>79</v>
      </c>
      <c r="V17" t="s">
        <v>2474</v>
      </c>
      <c r="Y17">
        <f>COUNTIF(Table1[دورة الفوترة],"سنوي")</f>
        <v>907</v>
      </c>
      <c r="Z17" t="s">
        <v>2468</v>
      </c>
      <c r="AD17">
        <f>COUNTIF(Table1[حضر التهيئة],"لا")</f>
        <v>1086</v>
      </c>
      <c r="AE17" t="s">
        <v>2461</v>
      </c>
    </row>
    <row r="18" spans="1:31" x14ac:dyDescent="0.25">
      <c r="A18" t="s">
        <v>38</v>
      </c>
      <c r="B18" s="1">
        <v>45521</v>
      </c>
      <c r="C18" t="s">
        <v>19</v>
      </c>
      <c r="D18">
        <v>189</v>
      </c>
      <c r="E18" t="s">
        <v>14</v>
      </c>
      <c r="F18">
        <v>14</v>
      </c>
      <c r="G18" t="s">
        <v>21</v>
      </c>
      <c r="H18">
        <v>2</v>
      </c>
      <c r="I18">
        <v>42</v>
      </c>
      <c r="J18">
        <v>0</v>
      </c>
      <c r="K18" t="s">
        <v>17</v>
      </c>
      <c r="L18" t="s">
        <v>17</v>
      </c>
      <c r="M18">
        <f>IF(Table1[[#This Row],[ألغى الاشتراك]]="نعم",1,0)</f>
        <v>0</v>
      </c>
      <c r="N18">
        <f>IF(Table1[[#This Row],[وسيلة الدفع]]="بطاقة",1,0)</f>
        <v>0</v>
      </c>
      <c r="O18">
        <f>IF(Table1[[#This Row],[وسيلة الدفع]]="محفظة",1,0)</f>
        <v>1</v>
      </c>
      <c r="P18">
        <f>IF(Table1[[#This Row],[وسيلة الدفع]]="تحويل",1,0)</f>
        <v>0</v>
      </c>
      <c r="Q18">
        <f>IF(Table1[[#This Row],[حضر التهيئة]]="نعم",1,0)</f>
        <v>0</v>
      </c>
      <c r="R18">
        <f>IF(Table1[[#This Row],[دورة الفوترة]]="شهري",1,0)</f>
        <v>1</v>
      </c>
      <c r="U18" s="11">
        <f>COUNTIFS(Table1[وسيلة الدفع],"محفظة",Table1[ألغى الاشتراك],"نعم")/COUNTIF(Table1[وسيلة الدفع],"محفظة")</f>
        <v>0.1005089058524173</v>
      </c>
      <c r="V18" t="s">
        <v>2444</v>
      </c>
      <c r="Y18">
        <f>COUNTIFS(Table1[دورة الفوترة],"سنوي",Table1[ألغى الاشتراك],"نعم")</f>
        <v>67</v>
      </c>
      <c r="Z18" t="s">
        <v>2437</v>
      </c>
      <c r="AD18">
        <f>COUNTIFS(Table1[حضر التهيئة],"لا",Table1[ألغى الاشتراك],"نعم")</f>
        <v>125</v>
      </c>
      <c r="AE18" t="s">
        <v>2464</v>
      </c>
    </row>
    <row r="19" spans="1:31" x14ac:dyDescent="0.25">
      <c r="A19" t="s">
        <v>39</v>
      </c>
      <c r="B19" s="1">
        <v>45914</v>
      </c>
      <c r="C19" t="s">
        <v>19</v>
      </c>
      <c r="D19">
        <v>189</v>
      </c>
      <c r="E19" t="s">
        <v>14</v>
      </c>
      <c r="F19">
        <v>17</v>
      </c>
      <c r="G19" t="s">
        <v>23</v>
      </c>
      <c r="H19">
        <v>1</v>
      </c>
      <c r="I19">
        <v>17</v>
      </c>
      <c r="J19">
        <v>0</v>
      </c>
      <c r="K19" t="s">
        <v>16</v>
      </c>
      <c r="L19" t="s">
        <v>17</v>
      </c>
      <c r="M19">
        <f>IF(Table1[[#This Row],[ألغى الاشتراك]]="نعم",1,0)</f>
        <v>0</v>
      </c>
      <c r="N19">
        <f>IF(Table1[[#This Row],[وسيلة الدفع]]="بطاقة",1,0)</f>
        <v>0</v>
      </c>
      <c r="O19">
        <f>IF(Table1[[#This Row],[وسيلة الدفع]]="محفظة",1,0)</f>
        <v>0</v>
      </c>
      <c r="P19">
        <f>IF(Table1[[#This Row],[وسيلة الدفع]]="تحويل",1,0)</f>
        <v>1</v>
      </c>
      <c r="Q19">
        <f>IF(Table1[[#This Row],[حضر التهيئة]]="نعم",1,0)</f>
        <v>1</v>
      </c>
      <c r="R19">
        <f>IF(Table1[[#This Row],[دورة الفوترة]]="شهري",1,0)</f>
        <v>1</v>
      </c>
      <c r="U19" s="11">
        <f>1.96*SQRT((U17/U16)*(1-(U17/U16))/U16)</f>
        <v>2.1020619201854888E-2</v>
      </c>
      <c r="V19" t="s">
        <v>2465</v>
      </c>
      <c r="Y19" s="11">
        <f>COUNTIFS(Table1[دورة الفوترة],"سنوي",Table1[ألغى الاشتراك],"نعم")/COUNTIF(Table1[دورة الفوترة],"سنوي")</f>
        <v>7.3869900771775077E-2</v>
      </c>
      <c r="Z19" t="s">
        <v>2440</v>
      </c>
      <c r="AD19" s="11">
        <f>COUNTIFS(Table1[حضر التهيئة],"لا",Table1[ألغى الاشتراك],"نعم")/COUNTIF(Table1[حضر التهيئة],"لا")</f>
        <v>0.1151012891344383</v>
      </c>
      <c r="AE19" t="s">
        <v>2463</v>
      </c>
    </row>
    <row r="20" spans="1:31" x14ac:dyDescent="0.25">
      <c r="A20" t="s">
        <v>40</v>
      </c>
      <c r="B20" s="1">
        <v>45973</v>
      </c>
      <c r="C20" t="s">
        <v>28</v>
      </c>
      <c r="D20">
        <v>39</v>
      </c>
      <c r="E20" t="s">
        <v>20</v>
      </c>
      <c r="F20">
        <v>20</v>
      </c>
      <c r="G20" t="s">
        <v>15</v>
      </c>
      <c r="H20">
        <v>1</v>
      </c>
      <c r="I20">
        <v>30</v>
      </c>
      <c r="J20">
        <v>15</v>
      </c>
      <c r="K20" t="s">
        <v>17</v>
      </c>
      <c r="L20" t="s">
        <v>16</v>
      </c>
      <c r="M20">
        <f>IF(Table1[[#This Row],[ألغى الاشتراك]]="نعم",1,0)</f>
        <v>1</v>
      </c>
      <c r="N20">
        <f>IF(Table1[[#This Row],[وسيلة الدفع]]="بطاقة",1,0)</f>
        <v>1</v>
      </c>
      <c r="O20">
        <f>IF(Table1[[#This Row],[وسيلة الدفع]]="محفظة",1,0)</f>
        <v>0</v>
      </c>
      <c r="P20">
        <f>IF(Table1[[#This Row],[وسيلة الدفع]]="تحويل",1,0)</f>
        <v>0</v>
      </c>
      <c r="Q20">
        <f>IF(Table1[[#This Row],[حضر التهيئة]]="نعم",1,0)</f>
        <v>0</v>
      </c>
      <c r="R20">
        <f>IF(Table1[[#This Row],[دورة الفوترة]]="شهري",1,0)</f>
        <v>0</v>
      </c>
      <c r="Y20" s="11">
        <f>1.96*SQRT((Y18/Y17)*(1-(Y18/Y17))/Y17)</f>
        <v>1.7022454623029638E-2</v>
      </c>
      <c r="Z20" t="s">
        <v>2470</v>
      </c>
      <c r="AD20" s="11">
        <f>1.96*SQRT((AD18/AD17)*(1-(AD18/AD17))/AD17)</f>
        <v>1.8981390932662264E-2</v>
      </c>
      <c r="AE20" t="s">
        <v>2465</v>
      </c>
    </row>
    <row r="21" spans="1:31" x14ac:dyDescent="0.25">
      <c r="A21" t="s">
        <v>41</v>
      </c>
      <c r="B21" s="1">
        <v>45521</v>
      </c>
      <c r="C21" t="s">
        <v>13</v>
      </c>
      <c r="D21">
        <v>89</v>
      </c>
      <c r="E21" t="s">
        <v>14</v>
      </c>
      <c r="F21">
        <v>14</v>
      </c>
      <c r="G21" t="s">
        <v>15</v>
      </c>
      <c r="H21">
        <v>3</v>
      </c>
      <c r="I21">
        <v>28</v>
      </c>
      <c r="J21">
        <v>0</v>
      </c>
      <c r="K21" t="s">
        <v>17</v>
      </c>
      <c r="L21" t="s">
        <v>17</v>
      </c>
      <c r="M21">
        <f>IF(Table1[[#This Row],[ألغى الاشتراك]]="نعم",1,0)</f>
        <v>0</v>
      </c>
      <c r="N21">
        <f>IF(Table1[[#This Row],[وسيلة الدفع]]="بطاقة",1,0)</f>
        <v>1</v>
      </c>
      <c r="O21">
        <f>IF(Table1[[#This Row],[وسيلة الدفع]]="محفظة",1,0)</f>
        <v>0</v>
      </c>
      <c r="P21">
        <f>IF(Table1[[#This Row],[وسيلة الدفع]]="تحويل",1,0)</f>
        <v>0</v>
      </c>
      <c r="Q21">
        <f>IF(Table1[[#This Row],[حضر التهيئة]]="نعم",1,0)</f>
        <v>0</v>
      </c>
      <c r="R21">
        <f>IF(Table1[[#This Row],[دورة الفوترة]]="شهري",1,0)</f>
        <v>1</v>
      </c>
      <c r="U21">
        <f>COUNTIF(Table1[وسيلة الدفع],"تحويل")</f>
        <v>793</v>
      </c>
      <c r="V21" t="s">
        <v>2475</v>
      </c>
      <c r="Y21" s="12">
        <f>Y19+Y20</f>
        <v>9.0892355394804711E-2</v>
      </c>
      <c r="Z21" t="s">
        <v>2466</v>
      </c>
      <c r="AD21" s="12">
        <f>AD19+AD20</f>
        <v>0.13408268006710056</v>
      </c>
      <c r="AE21" t="s">
        <v>2466</v>
      </c>
    </row>
    <row r="22" spans="1:31" ht="17.25" x14ac:dyDescent="0.3">
      <c r="A22" t="s">
        <v>42</v>
      </c>
      <c r="B22" s="1">
        <v>45914</v>
      </c>
      <c r="C22" t="s">
        <v>28</v>
      </c>
      <c r="D22">
        <v>39</v>
      </c>
      <c r="E22" t="s">
        <v>20</v>
      </c>
      <c r="F22">
        <v>21</v>
      </c>
      <c r="G22" t="s">
        <v>21</v>
      </c>
      <c r="H22">
        <v>2</v>
      </c>
      <c r="I22">
        <v>39</v>
      </c>
      <c r="J22">
        <v>0</v>
      </c>
      <c r="K22" t="s">
        <v>16</v>
      </c>
      <c r="L22" t="s">
        <v>17</v>
      </c>
      <c r="M22">
        <f>IF(Table1[[#This Row],[ألغى الاشتراك]]="نعم",1,0)</f>
        <v>0</v>
      </c>
      <c r="N22">
        <f>IF(Table1[[#This Row],[وسيلة الدفع]]="بطاقة",1,0)</f>
        <v>0</v>
      </c>
      <c r="O22">
        <f>IF(Table1[[#This Row],[وسيلة الدفع]]="محفظة",1,0)</f>
        <v>1</v>
      </c>
      <c r="P22">
        <f>IF(Table1[[#This Row],[وسيلة الدفع]]="تحويل",1,0)</f>
        <v>0</v>
      </c>
      <c r="Q22">
        <f>IF(Table1[[#This Row],[حضر التهيئة]]="نعم",1,0)</f>
        <v>1</v>
      </c>
      <c r="R22">
        <f>IF(Table1[[#This Row],[دورة الفوترة]]="شهري",1,0)</f>
        <v>0</v>
      </c>
      <c r="U22">
        <f>COUNTIFS(Table1[وسيلة الدفع],"تحويل",Table1[ألغى الاشتراك],"نعم")</f>
        <v>66</v>
      </c>
      <c r="V22" t="s">
        <v>2476</v>
      </c>
      <c r="W22" s="13"/>
      <c r="Y22" s="12">
        <f>Y19-Y20</f>
        <v>5.6847446148745442E-2</v>
      </c>
      <c r="Z22" t="s">
        <v>2467</v>
      </c>
      <c r="AD22" s="12">
        <f>AD19-AD20</f>
        <v>9.6119898201776036E-2</v>
      </c>
      <c r="AE22" t="s">
        <v>2467</v>
      </c>
    </row>
    <row r="23" spans="1:31" x14ac:dyDescent="0.25">
      <c r="A23" t="s">
        <v>43</v>
      </c>
      <c r="B23" s="1">
        <v>45572</v>
      </c>
      <c r="C23" t="s">
        <v>28</v>
      </c>
      <c r="D23">
        <v>39</v>
      </c>
      <c r="E23" t="s">
        <v>14</v>
      </c>
      <c r="F23">
        <v>28</v>
      </c>
      <c r="G23" t="s">
        <v>23</v>
      </c>
      <c r="H23">
        <v>9</v>
      </c>
      <c r="I23">
        <v>18</v>
      </c>
      <c r="J23">
        <v>0</v>
      </c>
      <c r="K23" t="s">
        <v>17</v>
      </c>
      <c r="L23" t="s">
        <v>17</v>
      </c>
      <c r="M23">
        <f>IF(Table1[[#This Row],[ألغى الاشتراك]]="نعم",1,0)</f>
        <v>0</v>
      </c>
      <c r="N23">
        <f>IF(Table1[[#This Row],[وسيلة الدفع]]="بطاقة",1,0)</f>
        <v>0</v>
      </c>
      <c r="O23">
        <f>IF(Table1[[#This Row],[وسيلة الدفع]]="محفظة",1,0)</f>
        <v>0</v>
      </c>
      <c r="P23">
        <f>IF(Table1[[#This Row],[وسيلة الدفع]]="تحويل",1,0)</f>
        <v>1</v>
      </c>
      <c r="Q23">
        <f>IF(Table1[[#This Row],[حضر التهيئة]]="نعم",1,0)</f>
        <v>0</v>
      </c>
      <c r="R23">
        <f>IF(Table1[[#This Row],[دورة الفوترة]]="شهري",1,0)</f>
        <v>1</v>
      </c>
      <c r="U23" s="11">
        <f>U22/U21</f>
        <v>8.3228247162673394E-2</v>
      </c>
      <c r="V23" t="s">
        <v>2477</v>
      </c>
    </row>
    <row r="24" spans="1:31" x14ac:dyDescent="0.25">
      <c r="A24" t="s">
        <v>44</v>
      </c>
      <c r="B24" s="1">
        <v>45965</v>
      </c>
      <c r="C24" t="s">
        <v>13</v>
      </c>
      <c r="D24">
        <v>89</v>
      </c>
      <c r="E24" t="s">
        <v>20</v>
      </c>
      <c r="F24">
        <v>27</v>
      </c>
      <c r="G24" t="s">
        <v>21</v>
      </c>
      <c r="H24">
        <v>2</v>
      </c>
      <c r="I24">
        <v>37</v>
      </c>
      <c r="J24">
        <v>0</v>
      </c>
      <c r="K24" t="s">
        <v>16</v>
      </c>
      <c r="L24" t="s">
        <v>17</v>
      </c>
      <c r="M24">
        <f>IF(Table1[[#This Row],[ألغى الاشتراك]]="نعم",1,0)</f>
        <v>0</v>
      </c>
      <c r="N24">
        <f>IF(Table1[[#This Row],[وسيلة الدفع]]="بطاقة",1,0)</f>
        <v>0</v>
      </c>
      <c r="O24">
        <f>IF(Table1[[#This Row],[وسيلة الدفع]]="محفظة",1,0)</f>
        <v>1</v>
      </c>
      <c r="P24">
        <f>IF(Table1[[#This Row],[وسيلة الدفع]]="تحويل",1,0)</f>
        <v>0</v>
      </c>
      <c r="Q24">
        <f>IF(Table1[[#This Row],[حضر التهيئة]]="نعم",1,0)</f>
        <v>1</v>
      </c>
      <c r="R24">
        <f>IF(Table1[[#This Row],[دورة الفوترة]]="شهري",1,0)</f>
        <v>0</v>
      </c>
      <c r="U24" s="11">
        <f>1.96*SQRT((U22/U21)*(1-(U22/U21))/U21)</f>
        <v>1.922584619085874E-2</v>
      </c>
      <c r="V24" t="s">
        <v>2465</v>
      </c>
    </row>
    <row r="25" spans="1:31" x14ac:dyDescent="0.25">
      <c r="A25" t="s">
        <v>45</v>
      </c>
      <c r="B25" s="1">
        <v>45513</v>
      </c>
      <c r="C25" t="s">
        <v>13</v>
      </c>
      <c r="D25">
        <v>89</v>
      </c>
      <c r="E25" t="s">
        <v>14</v>
      </c>
      <c r="F25">
        <v>16</v>
      </c>
      <c r="G25" t="s">
        <v>15</v>
      </c>
      <c r="H25">
        <v>9</v>
      </c>
      <c r="I25">
        <v>24</v>
      </c>
      <c r="J25">
        <v>0</v>
      </c>
      <c r="K25" t="s">
        <v>16</v>
      </c>
      <c r="L25" t="s">
        <v>17</v>
      </c>
      <c r="M25">
        <f>IF(Table1[[#This Row],[ألغى الاشتراك]]="نعم",1,0)</f>
        <v>0</v>
      </c>
      <c r="N25">
        <f>IF(Table1[[#This Row],[وسيلة الدفع]]="بطاقة",1,0)</f>
        <v>1</v>
      </c>
      <c r="O25">
        <f>IF(Table1[[#This Row],[وسيلة الدفع]]="محفظة",1,0)</f>
        <v>0</v>
      </c>
      <c r="P25">
        <f>IF(Table1[[#This Row],[وسيلة الدفع]]="تحويل",1,0)</f>
        <v>0</v>
      </c>
      <c r="Q25">
        <f>IF(Table1[[#This Row],[حضر التهيئة]]="نعم",1,0)</f>
        <v>1</v>
      </c>
      <c r="R25">
        <f>IF(Table1[[#This Row],[دورة الفوترة]]="شهري",1,0)</f>
        <v>1</v>
      </c>
    </row>
    <row r="26" spans="1:31" ht="17.25" x14ac:dyDescent="0.3">
      <c r="A26" t="s">
        <v>46</v>
      </c>
      <c r="B26" s="1">
        <v>45795</v>
      </c>
      <c r="C26" t="s">
        <v>19</v>
      </c>
      <c r="D26">
        <v>189</v>
      </c>
      <c r="E26" t="s">
        <v>14</v>
      </c>
      <c r="F26">
        <v>25</v>
      </c>
      <c r="G26" t="s">
        <v>21</v>
      </c>
      <c r="H26">
        <v>2</v>
      </c>
      <c r="I26">
        <v>27</v>
      </c>
      <c r="J26">
        <v>0</v>
      </c>
      <c r="K26" t="s">
        <v>17</v>
      </c>
      <c r="L26" t="s">
        <v>17</v>
      </c>
      <c r="M26">
        <f>IF(Table1[[#This Row],[ألغى الاشتراك]]="نعم",1,0)</f>
        <v>0</v>
      </c>
      <c r="N26">
        <f>IF(Table1[[#This Row],[وسيلة الدفع]]="بطاقة",1,0)</f>
        <v>0</v>
      </c>
      <c r="O26">
        <f>IF(Table1[[#This Row],[وسيلة الدفع]]="محفظة",1,0)</f>
        <v>1</v>
      </c>
      <c r="P26">
        <f>IF(Table1[[#This Row],[وسيلة الدفع]]="تحويل",1,0)</f>
        <v>0</v>
      </c>
      <c r="Q26">
        <f>IF(Table1[[#This Row],[حضر التهيئة]]="نعم",1,0)</f>
        <v>0</v>
      </c>
      <c r="R26">
        <f>IF(Table1[[#This Row],[دورة الفوترة]]="شهري",1,0)</f>
        <v>1</v>
      </c>
      <c r="X26" s="15" t="s">
        <v>2457</v>
      </c>
      <c r="Y26" s="15"/>
      <c r="Z26" s="15"/>
    </row>
    <row r="27" spans="1:31" ht="17.25" x14ac:dyDescent="0.3">
      <c r="A27" t="s">
        <v>47</v>
      </c>
      <c r="B27" s="1">
        <v>45329</v>
      </c>
      <c r="C27" t="s">
        <v>28</v>
      </c>
      <c r="D27">
        <v>39</v>
      </c>
      <c r="E27" t="s">
        <v>14</v>
      </c>
      <c r="F27">
        <v>8</v>
      </c>
      <c r="G27" t="s">
        <v>23</v>
      </c>
      <c r="H27">
        <v>1</v>
      </c>
      <c r="I27">
        <v>54</v>
      </c>
      <c r="J27">
        <v>0</v>
      </c>
      <c r="K27" t="s">
        <v>17</v>
      </c>
      <c r="L27" t="s">
        <v>17</v>
      </c>
      <c r="M27">
        <f>IF(Table1[[#This Row],[ألغى الاشتراك]]="نعم",1,0)</f>
        <v>0</v>
      </c>
      <c r="N27">
        <f>IF(Table1[[#This Row],[وسيلة الدفع]]="بطاقة",1,0)</f>
        <v>0</v>
      </c>
      <c r="O27">
        <f>IF(Table1[[#This Row],[وسيلة الدفع]]="محفظة",1,0)</f>
        <v>0</v>
      </c>
      <c r="P27">
        <f>IF(Table1[[#This Row],[وسيلة الدفع]]="تحويل",1,0)</f>
        <v>1</v>
      </c>
      <c r="Q27">
        <f>IF(Table1[[#This Row],[حضر التهيئة]]="نعم",1,0)</f>
        <v>0</v>
      </c>
      <c r="R27">
        <f>IF(Table1[[#This Row],[دورة الفوترة]]="شهري",1,0)</f>
        <v>1</v>
      </c>
      <c r="T27" s="4"/>
      <c r="U27" s="4"/>
      <c r="V27" s="4"/>
      <c r="X27" s="8" t="s">
        <v>2458</v>
      </c>
      <c r="Y27" s="8" t="s">
        <v>2449</v>
      </c>
      <c r="Z27" s="8" t="s">
        <v>2450</v>
      </c>
    </row>
    <row r="28" spans="1:31" x14ac:dyDescent="0.25">
      <c r="A28" t="s">
        <v>48</v>
      </c>
      <c r="B28" s="1">
        <v>45977</v>
      </c>
      <c r="C28" t="s">
        <v>19</v>
      </c>
      <c r="D28">
        <v>189</v>
      </c>
      <c r="E28" t="s">
        <v>20</v>
      </c>
      <c r="F28">
        <v>3</v>
      </c>
      <c r="G28" t="s">
        <v>23</v>
      </c>
      <c r="H28">
        <v>1</v>
      </c>
      <c r="I28">
        <v>25</v>
      </c>
      <c r="J28">
        <v>0</v>
      </c>
      <c r="K28" t="s">
        <v>16</v>
      </c>
      <c r="L28" t="s">
        <v>17</v>
      </c>
      <c r="M28">
        <f>IF(Table1[[#This Row],[ألغى الاشتراك]]="نعم",1,0)</f>
        <v>0</v>
      </c>
      <c r="N28">
        <f>IF(Table1[[#This Row],[وسيلة الدفع]]="بطاقة",1,0)</f>
        <v>0</v>
      </c>
      <c r="O28">
        <f>IF(Table1[[#This Row],[وسيلة الدفع]]="محفظة",1,0)</f>
        <v>0</v>
      </c>
      <c r="P28">
        <f>IF(Table1[[#This Row],[وسيلة الدفع]]="تحويل",1,0)</f>
        <v>1</v>
      </c>
      <c r="Q28">
        <f>IF(Table1[[#This Row],[حضر التهيئة]]="نعم",1,0)</f>
        <v>1</v>
      </c>
      <c r="R28">
        <f>IF(Table1[[#This Row],[دورة الفوترة]]="شهري",1,0)</f>
        <v>0</v>
      </c>
      <c r="U28" s="3"/>
      <c r="X28" s="6">
        <f t="shared" ref="X28:X37" si="0">ABS(Y28)</f>
        <v>0.1267873295072765</v>
      </c>
      <c r="Y28" s="6">
        <f>CORREL(Table1[تذاكر الدعم],Table1[إلغاء_رقمي])</f>
        <v>0.1267873295072765</v>
      </c>
      <c r="Z28" t="s">
        <v>7</v>
      </c>
    </row>
    <row r="29" spans="1:31" x14ac:dyDescent="0.25">
      <c r="A29" t="s">
        <v>49</v>
      </c>
      <c r="B29" s="1">
        <v>45399</v>
      </c>
      <c r="C29" t="s">
        <v>19</v>
      </c>
      <c r="D29">
        <v>189</v>
      </c>
      <c r="E29" t="s">
        <v>20</v>
      </c>
      <c r="F29">
        <v>2</v>
      </c>
      <c r="G29" t="s">
        <v>21</v>
      </c>
      <c r="H29">
        <v>7</v>
      </c>
      <c r="I29">
        <v>32</v>
      </c>
      <c r="J29">
        <v>0</v>
      </c>
      <c r="K29" t="s">
        <v>17</v>
      </c>
      <c r="L29" t="s">
        <v>17</v>
      </c>
      <c r="M29">
        <f>IF(Table1[[#This Row],[ألغى الاشتراك]]="نعم",1,0)</f>
        <v>0</v>
      </c>
      <c r="N29">
        <f>IF(Table1[[#This Row],[وسيلة الدفع]]="بطاقة",1,0)</f>
        <v>0</v>
      </c>
      <c r="O29">
        <f>IF(Table1[[#This Row],[وسيلة الدفع]]="محفظة",1,0)</f>
        <v>1</v>
      </c>
      <c r="P29">
        <f>IF(Table1[[#This Row],[وسيلة الدفع]]="تحويل",1,0)</f>
        <v>0</v>
      </c>
      <c r="Q29">
        <f>IF(Table1[[#This Row],[حضر التهيئة]]="نعم",1,0)</f>
        <v>0</v>
      </c>
      <c r="R29">
        <f>IF(Table1[[#This Row],[دورة الفوترة]]="شهري",1,0)</f>
        <v>0</v>
      </c>
      <c r="U29" s="3"/>
      <c r="X29" s="6">
        <f t="shared" si="0"/>
        <v>6.9470251012246326E-2</v>
      </c>
      <c r="Y29" s="6">
        <f>CORREL(Table1[تهيئة_حضر],Table1[إلغاء_رقمي])</f>
        <v>-6.9470251012246326E-2</v>
      </c>
      <c r="Z29" t="s">
        <v>2455</v>
      </c>
    </row>
    <row r="30" spans="1:31" x14ac:dyDescent="0.25">
      <c r="A30" t="s">
        <v>50</v>
      </c>
      <c r="B30" s="1">
        <v>45799</v>
      </c>
      <c r="C30" t="s">
        <v>13</v>
      </c>
      <c r="D30">
        <v>89</v>
      </c>
      <c r="E30" t="s">
        <v>14</v>
      </c>
      <c r="F30">
        <v>5</v>
      </c>
      <c r="G30" t="s">
        <v>21</v>
      </c>
      <c r="H30">
        <v>11</v>
      </c>
      <c r="I30">
        <v>55</v>
      </c>
      <c r="J30">
        <v>0</v>
      </c>
      <c r="K30" t="s">
        <v>17</v>
      </c>
      <c r="L30" t="s">
        <v>17</v>
      </c>
      <c r="M30">
        <f>IF(Table1[[#This Row],[ألغى الاشتراك]]="نعم",1,0)</f>
        <v>0</v>
      </c>
      <c r="N30">
        <f>IF(Table1[[#This Row],[وسيلة الدفع]]="بطاقة",1,0)</f>
        <v>0</v>
      </c>
      <c r="O30">
        <f>IF(Table1[[#This Row],[وسيلة الدفع]]="محفظة",1,0)</f>
        <v>1</v>
      </c>
      <c r="P30">
        <f>IF(Table1[[#This Row],[وسيلة الدفع]]="تحويل",1,0)</f>
        <v>0</v>
      </c>
      <c r="Q30">
        <f>IF(Table1[[#This Row],[حضر التهيئة]]="نعم",1,0)</f>
        <v>0</v>
      </c>
      <c r="R30">
        <f>IF(Table1[[#This Row],[دورة الفوترة]]="شهري",1,0)</f>
        <v>1</v>
      </c>
      <c r="X30" s="6">
        <f t="shared" si="0"/>
        <v>5.6293030436480117E-2</v>
      </c>
      <c r="Y30" s="6">
        <f>CORREL(Table1[متوسط الجلسات الشهرية],Table1[إلغاء_رقمي])</f>
        <v>-5.6293030436480117E-2</v>
      </c>
      <c r="Z30" t="s">
        <v>2447</v>
      </c>
    </row>
    <row r="31" spans="1:31" x14ac:dyDescent="0.25">
      <c r="A31" t="s">
        <v>51</v>
      </c>
      <c r="B31" s="1">
        <v>45458</v>
      </c>
      <c r="C31" t="s">
        <v>13</v>
      </c>
      <c r="D31">
        <v>89</v>
      </c>
      <c r="E31" t="s">
        <v>14</v>
      </c>
      <c r="F31">
        <v>2</v>
      </c>
      <c r="G31" t="s">
        <v>23</v>
      </c>
      <c r="H31">
        <v>5</v>
      </c>
      <c r="I31">
        <v>14</v>
      </c>
      <c r="J31">
        <v>0</v>
      </c>
      <c r="K31" t="s">
        <v>16</v>
      </c>
      <c r="L31" t="s">
        <v>16</v>
      </c>
      <c r="M31">
        <f>IF(Table1[[#This Row],[ألغى الاشتراك]]="نعم",1,0)</f>
        <v>1</v>
      </c>
      <c r="N31">
        <f>IF(Table1[[#This Row],[وسيلة الدفع]]="بطاقة",1,0)</f>
        <v>0</v>
      </c>
      <c r="O31">
        <f>IF(Table1[[#This Row],[وسيلة الدفع]]="محفظة",1,0)</f>
        <v>0</v>
      </c>
      <c r="P31">
        <f>IF(Table1[[#This Row],[وسيلة الدفع]]="تحويل",1,0)</f>
        <v>1</v>
      </c>
      <c r="Q31">
        <f>IF(Table1[[#This Row],[حضر التهيئة]]="نعم",1,0)</f>
        <v>1</v>
      </c>
      <c r="R31">
        <f>IF(Table1[[#This Row],[دورة الفوترة]]="شهري",1,0)</f>
        <v>1</v>
      </c>
      <c r="X31" s="6">
        <f t="shared" si="0"/>
        <v>5.1135744013625854E-2</v>
      </c>
      <c r="Y31" s="6">
        <f>CORREL(Table1[فواتير_شهرية],Table1[إلغاء_رقمي])</f>
        <v>5.1135744013625854E-2</v>
      </c>
      <c r="Z31" t="s">
        <v>2448</v>
      </c>
    </row>
    <row r="32" spans="1:31" x14ac:dyDescent="0.25">
      <c r="A32" t="s">
        <v>52</v>
      </c>
      <c r="B32" s="1">
        <v>45973</v>
      </c>
      <c r="C32" t="s">
        <v>13</v>
      </c>
      <c r="D32">
        <v>89</v>
      </c>
      <c r="E32" t="s">
        <v>14</v>
      </c>
      <c r="F32">
        <v>11</v>
      </c>
      <c r="G32" t="s">
        <v>21</v>
      </c>
      <c r="H32">
        <v>1</v>
      </c>
      <c r="I32">
        <v>41</v>
      </c>
      <c r="J32">
        <v>0</v>
      </c>
      <c r="K32" t="s">
        <v>16</v>
      </c>
      <c r="L32" t="s">
        <v>17</v>
      </c>
      <c r="M32">
        <f>IF(Table1[[#This Row],[ألغى الاشتراك]]="نعم",1,0)</f>
        <v>0</v>
      </c>
      <c r="N32">
        <f>IF(Table1[[#This Row],[وسيلة الدفع]]="بطاقة",1,0)</f>
        <v>0</v>
      </c>
      <c r="O32">
        <f>IF(Table1[[#This Row],[وسيلة الدفع]]="محفظة",1,0)</f>
        <v>1</v>
      </c>
      <c r="P32">
        <f>IF(Table1[[#This Row],[وسيلة الدفع]]="تحويل",1,0)</f>
        <v>0</v>
      </c>
      <c r="Q32">
        <f>IF(Table1[[#This Row],[حضر التهيئة]]="نعم",1,0)</f>
        <v>1</v>
      </c>
      <c r="R32">
        <f>IF(Table1[[#This Row],[دورة الفوترة]]="شهري",1,0)</f>
        <v>1</v>
      </c>
      <c r="X32" s="6">
        <f t="shared" si="0"/>
        <v>4.1915308625803359E-2</v>
      </c>
      <c r="Y32" s="6">
        <f>CORREL(Table1[السعر الشهري],Table1[إلغاء_رقمي])</f>
        <v>-4.1915308625803359E-2</v>
      </c>
      <c r="Z32" t="s">
        <v>3</v>
      </c>
    </row>
    <row r="33" spans="1:26" x14ac:dyDescent="0.25">
      <c r="A33" t="s">
        <v>53</v>
      </c>
      <c r="B33" s="1">
        <v>45902</v>
      </c>
      <c r="C33" t="s">
        <v>28</v>
      </c>
      <c r="D33">
        <v>39</v>
      </c>
      <c r="E33" t="s">
        <v>20</v>
      </c>
      <c r="F33">
        <v>26</v>
      </c>
      <c r="G33" t="s">
        <v>15</v>
      </c>
      <c r="H33">
        <v>0</v>
      </c>
      <c r="I33">
        <v>8</v>
      </c>
      <c r="J33">
        <v>5</v>
      </c>
      <c r="K33" t="s">
        <v>17</v>
      </c>
      <c r="L33" t="s">
        <v>16</v>
      </c>
      <c r="M33">
        <f>IF(Table1[[#This Row],[ألغى الاشتراك]]="نعم",1,0)</f>
        <v>1</v>
      </c>
      <c r="N33">
        <f>IF(Table1[[#This Row],[وسيلة الدفع]]="بطاقة",1,0)</f>
        <v>1</v>
      </c>
      <c r="O33">
        <f>IF(Table1[[#This Row],[وسيلة الدفع]]="محفظة",1,0)</f>
        <v>0</v>
      </c>
      <c r="P33">
        <f>IF(Table1[[#This Row],[وسيلة الدفع]]="تحويل",1,0)</f>
        <v>0</v>
      </c>
      <c r="Q33">
        <f>IF(Table1[[#This Row],[حضر التهيئة]]="نعم",1,0)</f>
        <v>0</v>
      </c>
      <c r="R33">
        <f>IF(Table1[[#This Row],[دورة الفوترة]]="شهري",1,0)</f>
        <v>0</v>
      </c>
      <c r="X33" s="6">
        <f t="shared" si="0"/>
        <v>2.3442891969897982E-2</v>
      </c>
      <c r="Y33" s="6">
        <f>CORREL(Table1[دفع_تحويل],Table1[إلغاء_رقمي])</f>
        <v>-2.3442891969897982E-2</v>
      </c>
      <c r="Z33" t="s">
        <v>2454</v>
      </c>
    </row>
    <row r="34" spans="1:26" x14ac:dyDescent="0.25">
      <c r="A34" t="s">
        <v>54</v>
      </c>
      <c r="B34" s="1">
        <v>45462</v>
      </c>
      <c r="C34" t="s">
        <v>28</v>
      </c>
      <c r="D34">
        <v>39</v>
      </c>
      <c r="E34" t="s">
        <v>14</v>
      </c>
      <c r="F34">
        <v>12</v>
      </c>
      <c r="G34" t="s">
        <v>21</v>
      </c>
      <c r="H34">
        <v>1</v>
      </c>
      <c r="I34">
        <v>14</v>
      </c>
      <c r="J34">
        <v>0</v>
      </c>
      <c r="K34" t="s">
        <v>16</v>
      </c>
      <c r="L34" t="s">
        <v>17</v>
      </c>
      <c r="M34">
        <f>IF(Table1[[#This Row],[ألغى الاشتراك]]="نعم",1,0)</f>
        <v>0</v>
      </c>
      <c r="N34">
        <f>IF(Table1[[#This Row],[وسيلة الدفع]]="بطاقة",1,0)</f>
        <v>0</v>
      </c>
      <c r="O34">
        <f>IF(Table1[[#This Row],[وسيلة الدفع]]="محفظة",1,0)</f>
        <v>1</v>
      </c>
      <c r="P34">
        <f>IF(Table1[[#This Row],[وسيلة الدفع]]="تحويل",1,0)</f>
        <v>0</v>
      </c>
      <c r="Q34">
        <f>IF(Table1[[#This Row],[حضر التهيئة]]="نعم",1,0)</f>
        <v>1</v>
      </c>
      <c r="R34">
        <f>IF(Table1[[#This Row],[دورة الفوترة]]="شهري",1,0)</f>
        <v>1</v>
      </c>
      <c r="X34" s="6">
        <f t="shared" si="0"/>
        <v>1.8249836800901337E-2</v>
      </c>
      <c r="Y34" s="6">
        <f>CORREL(Table1[دفع_محفظة],Table1[إلغاء_رقمي])</f>
        <v>1.8249836800901337E-2</v>
      </c>
      <c r="Z34" t="s">
        <v>21</v>
      </c>
    </row>
    <row r="35" spans="1:26" x14ac:dyDescent="0.25">
      <c r="A35" t="s">
        <v>55</v>
      </c>
      <c r="B35" s="1">
        <v>45627</v>
      </c>
      <c r="C35" t="s">
        <v>19</v>
      </c>
      <c r="D35">
        <v>189</v>
      </c>
      <c r="E35" t="s">
        <v>14</v>
      </c>
      <c r="F35">
        <v>7</v>
      </c>
      <c r="G35" t="s">
        <v>21</v>
      </c>
      <c r="H35">
        <v>3</v>
      </c>
      <c r="I35">
        <v>59</v>
      </c>
      <c r="J35">
        <v>25</v>
      </c>
      <c r="K35" t="s">
        <v>17</v>
      </c>
      <c r="L35" t="s">
        <v>17</v>
      </c>
      <c r="M35">
        <f>IF(Table1[[#This Row],[ألغى الاشتراك]]="نعم",1,0)</f>
        <v>0</v>
      </c>
      <c r="N35">
        <f>IF(Table1[[#This Row],[وسيلة الدفع]]="بطاقة",1,0)</f>
        <v>0</v>
      </c>
      <c r="O35">
        <f>IF(Table1[[#This Row],[وسيلة الدفع]]="محفظة",1,0)</f>
        <v>1</v>
      </c>
      <c r="P35">
        <f>IF(Table1[[#This Row],[وسيلة الدفع]]="تحويل",1,0)</f>
        <v>0</v>
      </c>
      <c r="Q35">
        <f>IF(Table1[[#This Row],[حضر التهيئة]]="نعم",1,0)</f>
        <v>0</v>
      </c>
      <c r="R35">
        <f>IF(Table1[[#This Row],[دورة الفوترة]]="شهري",1,0)</f>
        <v>1</v>
      </c>
      <c r="X35" s="6">
        <f t="shared" si="0"/>
        <v>1.0541711521889121E-2</v>
      </c>
      <c r="Y35" s="6">
        <f>CORREL(Table1[أشهر البقاء],Table1[إلغاء_رقمي])</f>
        <v>1.0541711521889121E-2</v>
      </c>
      <c r="Z35" t="s">
        <v>5</v>
      </c>
    </row>
    <row r="36" spans="1:26" x14ac:dyDescent="0.25">
      <c r="A36" t="s">
        <v>56</v>
      </c>
      <c r="B36" s="1">
        <v>45675</v>
      </c>
      <c r="C36" t="s">
        <v>13</v>
      </c>
      <c r="D36">
        <v>89</v>
      </c>
      <c r="E36" t="s">
        <v>20</v>
      </c>
      <c r="F36">
        <v>19</v>
      </c>
      <c r="G36" t="s">
        <v>21</v>
      </c>
      <c r="H36">
        <v>6</v>
      </c>
      <c r="I36">
        <v>17</v>
      </c>
      <c r="J36">
        <v>0</v>
      </c>
      <c r="K36" t="s">
        <v>16</v>
      </c>
      <c r="L36" t="s">
        <v>17</v>
      </c>
      <c r="M36">
        <f>IF(Table1[[#This Row],[ألغى الاشتراك]]="نعم",1,0)</f>
        <v>0</v>
      </c>
      <c r="N36">
        <f>IF(Table1[[#This Row],[وسيلة الدفع]]="بطاقة",1,0)</f>
        <v>0</v>
      </c>
      <c r="O36">
        <f>IF(Table1[[#This Row],[وسيلة الدفع]]="محفظة",1,0)</f>
        <v>1</v>
      </c>
      <c r="P36">
        <f>IF(Table1[[#This Row],[وسيلة الدفع]]="تحويل",1,0)</f>
        <v>0</v>
      </c>
      <c r="Q36">
        <f>IF(Table1[[#This Row],[حضر التهيئة]]="نعم",1,0)</f>
        <v>1</v>
      </c>
      <c r="R36">
        <f>IF(Table1[[#This Row],[دورة الفوترة]]="شهري",1,0)</f>
        <v>0</v>
      </c>
      <c r="X36" s="6">
        <f t="shared" si="0"/>
        <v>6.9911890428385097E-3</v>
      </c>
      <c r="Y36" s="6">
        <f>CORREL(Table1[نسبة الخصم],Table1[إلغاء_رقمي])</f>
        <v>-6.9911890428385097E-3</v>
      </c>
      <c r="Z36" t="s">
        <v>9</v>
      </c>
    </row>
    <row r="37" spans="1:26" x14ac:dyDescent="0.25">
      <c r="A37" t="s">
        <v>57</v>
      </c>
      <c r="B37" s="1">
        <v>45458</v>
      </c>
      <c r="C37" t="s">
        <v>19</v>
      </c>
      <c r="D37">
        <v>189</v>
      </c>
      <c r="E37" t="s">
        <v>20</v>
      </c>
      <c r="F37">
        <v>4</v>
      </c>
      <c r="G37" t="s">
        <v>23</v>
      </c>
      <c r="H37">
        <v>2</v>
      </c>
      <c r="I37">
        <v>28</v>
      </c>
      <c r="J37">
        <v>0</v>
      </c>
      <c r="K37" t="s">
        <v>16</v>
      </c>
      <c r="L37" t="s">
        <v>17</v>
      </c>
      <c r="M37">
        <f>IF(Table1[[#This Row],[ألغى الاشتراك]]="نعم",1,0)</f>
        <v>0</v>
      </c>
      <c r="N37">
        <f>IF(Table1[[#This Row],[وسيلة الدفع]]="بطاقة",1,0)</f>
        <v>0</v>
      </c>
      <c r="O37">
        <f>IF(Table1[[#This Row],[وسيلة الدفع]]="محفظة",1,0)</f>
        <v>0</v>
      </c>
      <c r="P37">
        <f>IF(Table1[[#This Row],[وسيلة الدفع]]="تحويل",1,0)</f>
        <v>1</v>
      </c>
      <c r="Q37">
        <f>IF(Table1[[#This Row],[حضر التهيئة]]="نعم",1,0)</f>
        <v>1</v>
      </c>
      <c r="R37">
        <f>IF(Table1[[#This Row],[دورة الفوترة]]="شهري",1,0)</f>
        <v>0</v>
      </c>
      <c r="X37" s="6">
        <f t="shared" si="0"/>
        <v>5.1896321737196034E-3</v>
      </c>
      <c r="Y37" s="6">
        <f>CORREL(Table1[دفع_بطاقة],Table1[إلغاء_رقمي])</f>
        <v>5.1896321737196034E-3</v>
      </c>
      <c r="Z37" t="s">
        <v>15</v>
      </c>
    </row>
    <row r="38" spans="1:26" x14ac:dyDescent="0.25">
      <c r="A38" t="s">
        <v>58</v>
      </c>
      <c r="B38" s="1">
        <v>45989</v>
      </c>
      <c r="C38" t="s">
        <v>19</v>
      </c>
      <c r="D38">
        <v>189</v>
      </c>
      <c r="E38" t="s">
        <v>14</v>
      </c>
      <c r="F38">
        <v>17</v>
      </c>
      <c r="G38" t="s">
        <v>23</v>
      </c>
      <c r="H38">
        <v>1</v>
      </c>
      <c r="I38">
        <v>53</v>
      </c>
      <c r="J38">
        <v>0</v>
      </c>
      <c r="K38" t="s">
        <v>17</v>
      </c>
      <c r="L38" t="s">
        <v>17</v>
      </c>
      <c r="M38">
        <f>IF(Table1[[#This Row],[ألغى الاشتراك]]="نعم",1,0)</f>
        <v>0</v>
      </c>
      <c r="N38">
        <f>IF(Table1[[#This Row],[وسيلة الدفع]]="بطاقة",1,0)</f>
        <v>0</v>
      </c>
      <c r="O38">
        <f>IF(Table1[[#This Row],[وسيلة الدفع]]="محفظة",1,0)</f>
        <v>0</v>
      </c>
      <c r="P38">
        <f>IF(Table1[[#This Row],[وسيلة الدفع]]="تحويل",1,0)</f>
        <v>1</v>
      </c>
      <c r="Q38">
        <f>IF(Table1[[#This Row],[حضر التهيئة]]="نعم",1,0)</f>
        <v>0</v>
      </c>
      <c r="R38">
        <f>IF(Table1[[#This Row],[دورة الفوترة]]="شهري",1,0)</f>
        <v>1</v>
      </c>
    </row>
    <row r="39" spans="1:26" x14ac:dyDescent="0.25">
      <c r="A39" t="s">
        <v>59</v>
      </c>
      <c r="B39" s="1">
        <v>45803</v>
      </c>
      <c r="C39" t="s">
        <v>13</v>
      </c>
      <c r="D39">
        <v>89</v>
      </c>
      <c r="E39" t="s">
        <v>14</v>
      </c>
      <c r="F39">
        <v>30</v>
      </c>
      <c r="G39" t="s">
        <v>21</v>
      </c>
      <c r="H39">
        <v>1</v>
      </c>
      <c r="I39">
        <v>34</v>
      </c>
      <c r="J39">
        <v>5</v>
      </c>
      <c r="K39" t="s">
        <v>16</v>
      </c>
      <c r="L39" t="s">
        <v>17</v>
      </c>
      <c r="M39">
        <f>IF(Table1[[#This Row],[ألغى الاشتراك]]="نعم",1,0)</f>
        <v>0</v>
      </c>
      <c r="N39">
        <f>IF(Table1[[#This Row],[وسيلة الدفع]]="بطاقة",1,0)</f>
        <v>0</v>
      </c>
      <c r="O39">
        <f>IF(Table1[[#This Row],[وسيلة الدفع]]="محفظة",1,0)</f>
        <v>1</v>
      </c>
      <c r="P39">
        <f>IF(Table1[[#This Row],[وسيلة الدفع]]="تحويل",1,0)</f>
        <v>0</v>
      </c>
      <c r="Q39">
        <f>IF(Table1[[#This Row],[حضر التهيئة]]="نعم",1,0)</f>
        <v>1</v>
      </c>
      <c r="R39">
        <f>IF(Table1[[#This Row],[دورة الفوترة]]="شهري",1,0)</f>
        <v>1</v>
      </c>
    </row>
    <row r="40" spans="1:26" x14ac:dyDescent="0.25">
      <c r="A40" t="s">
        <v>60</v>
      </c>
      <c r="B40" s="1">
        <v>45349</v>
      </c>
      <c r="C40" t="s">
        <v>13</v>
      </c>
      <c r="D40">
        <v>89</v>
      </c>
      <c r="E40" t="s">
        <v>14</v>
      </c>
      <c r="F40">
        <v>6</v>
      </c>
      <c r="G40" t="s">
        <v>23</v>
      </c>
      <c r="H40">
        <v>0</v>
      </c>
      <c r="I40">
        <v>38</v>
      </c>
      <c r="J40">
        <v>0</v>
      </c>
      <c r="K40" t="s">
        <v>16</v>
      </c>
      <c r="L40" t="s">
        <v>17</v>
      </c>
      <c r="M40">
        <f>IF(Table1[[#This Row],[ألغى الاشتراك]]="نعم",1,0)</f>
        <v>0</v>
      </c>
      <c r="N40">
        <f>IF(Table1[[#This Row],[وسيلة الدفع]]="بطاقة",1,0)</f>
        <v>0</v>
      </c>
      <c r="O40">
        <f>IF(Table1[[#This Row],[وسيلة الدفع]]="محفظة",1,0)</f>
        <v>0</v>
      </c>
      <c r="P40">
        <f>IF(Table1[[#This Row],[وسيلة الدفع]]="تحويل",1,0)</f>
        <v>1</v>
      </c>
      <c r="Q40">
        <f>IF(Table1[[#This Row],[حضر التهيئة]]="نعم",1,0)</f>
        <v>1</v>
      </c>
      <c r="R40">
        <f>IF(Table1[[#This Row],[دورة الفوترة]]="شهري",1,0)</f>
        <v>1</v>
      </c>
    </row>
    <row r="41" spans="1:26" x14ac:dyDescent="0.25">
      <c r="A41" t="s">
        <v>61</v>
      </c>
      <c r="B41" s="1">
        <v>45862</v>
      </c>
      <c r="C41" t="s">
        <v>13</v>
      </c>
      <c r="D41">
        <v>89</v>
      </c>
      <c r="E41" t="s">
        <v>14</v>
      </c>
      <c r="F41">
        <v>21</v>
      </c>
      <c r="G41" t="s">
        <v>21</v>
      </c>
      <c r="H41">
        <v>0</v>
      </c>
      <c r="I41">
        <v>21</v>
      </c>
      <c r="J41">
        <v>0</v>
      </c>
      <c r="K41" t="s">
        <v>17</v>
      </c>
      <c r="L41" t="s">
        <v>17</v>
      </c>
      <c r="M41">
        <f>IF(Table1[[#This Row],[ألغى الاشتراك]]="نعم",1,0)</f>
        <v>0</v>
      </c>
      <c r="N41">
        <f>IF(Table1[[#This Row],[وسيلة الدفع]]="بطاقة",1,0)</f>
        <v>0</v>
      </c>
      <c r="O41">
        <f>IF(Table1[[#This Row],[وسيلة الدفع]]="محفظة",1,0)</f>
        <v>1</v>
      </c>
      <c r="P41">
        <f>IF(Table1[[#This Row],[وسيلة الدفع]]="تحويل",1,0)</f>
        <v>0</v>
      </c>
      <c r="Q41">
        <f>IF(Table1[[#This Row],[حضر التهيئة]]="نعم",1,0)</f>
        <v>0</v>
      </c>
      <c r="R41">
        <f>IF(Table1[[#This Row],[دورة الفوترة]]="شهري",1,0)</f>
        <v>1</v>
      </c>
    </row>
    <row r="42" spans="1:26" x14ac:dyDescent="0.25">
      <c r="A42" t="s">
        <v>62</v>
      </c>
      <c r="B42" s="1">
        <v>45513</v>
      </c>
      <c r="C42" t="s">
        <v>13</v>
      </c>
      <c r="D42">
        <v>89</v>
      </c>
      <c r="E42" t="s">
        <v>20</v>
      </c>
      <c r="F42">
        <v>28</v>
      </c>
      <c r="G42" t="s">
        <v>15</v>
      </c>
      <c r="H42">
        <v>1</v>
      </c>
      <c r="I42">
        <v>14</v>
      </c>
      <c r="J42">
        <v>0</v>
      </c>
      <c r="K42" t="s">
        <v>16</v>
      </c>
      <c r="L42" t="s">
        <v>17</v>
      </c>
      <c r="M42">
        <f>IF(Table1[[#This Row],[ألغى الاشتراك]]="نعم",1,0)</f>
        <v>0</v>
      </c>
      <c r="N42">
        <f>IF(Table1[[#This Row],[وسيلة الدفع]]="بطاقة",1,0)</f>
        <v>1</v>
      </c>
      <c r="O42">
        <f>IF(Table1[[#This Row],[وسيلة الدفع]]="محفظة",1,0)</f>
        <v>0</v>
      </c>
      <c r="P42">
        <f>IF(Table1[[#This Row],[وسيلة الدفع]]="تحويل",1,0)</f>
        <v>0</v>
      </c>
      <c r="Q42">
        <f>IF(Table1[[#This Row],[حضر التهيئة]]="نعم",1,0)</f>
        <v>1</v>
      </c>
      <c r="R42">
        <f>IF(Table1[[#This Row],[دورة الفوترة]]="شهري",1,0)</f>
        <v>0</v>
      </c>
    </row>
    <row r="43" spans="1:26" x14ac:dyDescent="0.25">
      <c r="A43" t="s">
        <v>63</v>
      </c>
      <c r="B43" s="1">
        <v>45803</v>
      </c>
      <c r="C43" t="s">
        <v>13</v>
      </c>
      <c r="D43">
        <v>89</v>
      </c>
      <c r="E43" t="s">
        <v>14</v>
      </c>
      <c r="F43">
        <v>23</v>
      </c>
      <c r="G43" t="s">
        <v>15</v>
      </c>
      <c r="H43">
        <v>4</v>
      </c>
      <c r="I43">
        <v>51</v>
      </c>
      <c r="J43">
        <v>0</v>
      </c>
      <c r="K43" t="s">
        <v>17</v>
      </c>
      <c r="L43" t="s">
        <v>17</v>
      </c>
      <c r="M43">
        <f>IF(Table1[[#This Row],[ألغى الاشتراك]]="نعم",1,0)</f>
        <v>0</v>
      </c>
      <c r="N43">
        <f>IF(Table1[[#This Row],[وسيلة الدفع]]="بطاقة",1,0)</f>
        <v>1</v>
      </c>
      <c r="O43">
        <f>IF(Table1[[#This Row],[وسيلة الدفع]]="محفظة",1,0)</f>
        <v>0</v>
      </c>
      <c r="P43">
        <f>IF(Table1[[#This Row],[وسيلة الدفع]]="تحويل",1,0)</f>
        <v>0</v>
      </c>
      <c r="Q43">
        <f>IF(Table1[[#This Row],[حضر التهيئة]]="نعم",1,0)</f>
        <v>0</v>
      </c>
      <c r="R43">
        <f>IF(Table1[[#This Row],[دورة الفوترة]]="شهري",1,0)</f>
        <v>1</v>
      </c>
    </row>
    <row r="44" spans="1:26" x14ac:dyDescent="0.25">
      <c r="A44" t="s">
        <v>64</v>
      </c>
      <c r="B44" s="1">
        <v>45572</v>
      </c>
      <c r="C44" t="s">
        <v>19</v>
      </c>
      <c r="D44">
        <v>189</v>
      </c>
      <c r="E44" t="s">
        <v>14</v>
      </c>
      <c r="F44">
        <v>30</v>
      </c>
      <c r="G44" t="s">
        <v>15</v>
      </c>
      <c r="H44">
        <v>1</v>
      </c>
      <c r="I44">
        <v>36</v>
      </c>
      <c r="J44">
        <v>0</v>
      </c>
      <c r="K44" t="s">
        <v>16</v>
      </c>
      <c r="L44" t="s">
        <v>17</v>
      </c>
      <c r="M44">
        <f>IF(Table1[[#This Row],[ألغى الاشتراك]]="نعم",1,0)</f>
        <v>0</v>
      </c>
      <c r="N44">
        <f>IF(Table1[[#This Row],[وسيلة الدفع]]="بطاقة",1,0)</f>
        <v>1</v>
      </c>
      <c r="O44">
        <f>IF(Table1[[#This Row],[وسيلة الدفع]]="محفظة",1,0)</f>
        <v>0</v>
      </c>
      <c r="P44">
        <f>IF(Table1[[#This Row],[وسيلة الدفع]]="تحويل",1,0)</f>
        <v>0</v>
      </c>
      <c r="Q44">
        <f>IF(Table1[[#This Row],[حضر التهيئة]]="نعم",1,0)</f>
        <v>1</v>
      </c>
      <c r="R44">
        <f>IF(Table1[[#This Row],[دورة الفوترة]]="شهري",1,0)</f>
        <v>1</v>
      </c>
    </row>
    <row r="45" spans="1:26" x14ac:dyDescent="0.25">
      <c r="A45" t="s">
        <v>65</v>
      </c>
      <c r="B45" s="1">
        <v>45866</v>
      </c>
      <c r="C45" t="s">
        <v>13</v>
      </c>
      <c r="D45">
        <v>89</v>
      </c>
      <c r="E45" t="s">
        <v>14</v>
      </c>
      <c r="F45">
        <v>23</v>
      </c>
      <c r="G45" t="s">
        <v>23</v>
      </c>
      <c r="H45">
        <v>2</v>
      </c>
      <c r="I45">
        <v>15</v>
      </c>
      <c r="J45">
        <v>0</v>
      </c>
      <c r="K45" t="s">
        <v>17</v>
      </c>
      <c r="L45" t="s">
        <v>17</v>
      </c>
      <c r="M45">
        <f>IF(Table1[[#This Row],[ألغى الاشتراك]]="نعم",1,0)</f>
        <v>0</v>
      </c>
      <c r="N45">
        <f>IF(Table1[[#This Row],[وسيلة الدفع]]="بطاقة",1,0)</f>
        <v>0</v>
      </c>
      <c r="O45">
        <f>IF(Table1[[#This Row],[وسيلة الدفع]]="محفظة",1,0)</f>
        <v>0</v>
      </c>
      <c r="P45">
        <f>IF(Table1[[#This Row],[وسيلة الدفع]]="تحويل",1,0)</f>
        <v>1</v>
      </c>
      <c r="Q45">
        <f>IF(Table1[[#This Row],[حضر التهيئة]]="نعم",1,0)</f>
        <v>0</v>
      </c>
      <c r="R45">
        <f>IF(Table1[[#This Row],[دورة الفوترة]]="شهري",1,0)</f>
        <v>1</v>
      </c>
    </row>
    <row r="46" spans="1:26" x14ac:dyDescent="0.25">
      <c r="A46" t="s">
        <v>66</v>
      </c>
      <c r="B46" s="1">
        <v>45525</v>
      </c>
      <c r="C46" t="s">
        <v>19</v>
      </c>
      <c r="D46">
        <v>189</v>
      </c>
      <c r="E46" t="s">
        <v>14</v>
      </c>
      <c r="F46">
        <v>10</v>
      </c>
      <c r="G46" t="s">
        <v>23</v>
      </c>
      <c r="H46">
        <v>8</v>
      </c>
      <c r="I46">
        <v>56</v>
      </c>
      <c r="J46">
        <v>0</v>
      </c>
      <c r="K46" t="s">
        <v>16</v>
      </c>
      <c r="L46" t="s">
        <v>17</v>
      </c>
      <c r="M46">
        <f>IF(Table1[[#This Row],[ألغى الاشتراك]]="نعم",1,0)</f>
        <v>0</v>
      </c>
      <c r="N46">
        <f>IF(Table1[[#This Row],[وسيلة الدفع]]="بطاقة",1,0)</f>
        <v>0</v>
      </c>
      <c r="O46">
        <f>IF(Table1[[#This Row],[وسيلة الدفع]]="محفظة",1,0)</f>
        <v>0</v>
      </c>
      <c r="P46">
        <f>IF(Table1[[#This Row],[وسيلة الدفع]]="تحويل",1,0)</f>
        <v>1</v>
      </c>
      <c r="Q46">
        <f>IF(Table1[[#This Row],[حضر التهيئة]]="نعم",1,0)</f>
        <v>1</v>
      </c>
      <c r="R46">
        <f>IF(Table1[[#This Row],[دورة الفوترة]]="شهري",1,0)</f>
        <v>1</v>
      </c>
    </row>
    <row r="47" spans="1:26" x14ac:dyDescent="0.25">
      <c r="A47" t="s">
        <v>67</v>
      </c>
      <c r="B47" s="1">
        <v>45906</v>
      </c>
      <c r="C47" t="s">
        <v>28</v>
      </c>
      <c r="D47">
        <v>39</v>
      </c>
      <c r="E47" t="s">
        <v>14</v>
      </c>
      <c r="F47">
        <v>17</v>
      </c>
      <c r="G47" t="s">
        <v>21</v>
      </c>
      <c r="H47">
        <v>3</v>
      </c>
      <c r="I47">
        <v>43</v>
      </c>
      <c r="J47">
        <v>0</v>
      </c>
      <c r="K47" t="s">
        <v>16</v>
      </c>
      <c r="L47" t="s">
        <v>17</v>
      </c>
      <c r="M47">
        <f>IF(Table1[[#This Row],[ألغى الاشتراك]]="نعم",1,0)</f>
        <v>0</v>
      </c>
      <c r="N47">
        <f>IF(Table1[[#This Row],[وسيلة الدفع]]="بطاقة",1,0)</f>
        <v>0</v>
      </c>
      <c r="O47">
        <f>IF(Table1[[#This Row],[وسيلة الدفع]]="محفظة",1,0)</f>
        <v>1</v>
      </c>
      <c r="P47">
        <f>IF(Table1[[#This Row],[وسيلة الدفع]]="تحويل",1,0)</f>
        <v>0</v>
      </c>
      <c r="Q47">
        <f>IF(Table1[[#This Row],[حضر التهيئة]]="نعم",1,0)</f>
        <v>1</v>
      </c>
      <c r="R47">
        <f>IF(Table1[[#This Row],[دورة الفوترة]]="شهري",1,0)</f>
        <v>1</v>
      </c>
    </row>
    <row r="48" spans="1:26" x14ac:dyDescent="0.25">
      <c r="A48" t="s">
        <v>68</v>
      </c>
      <c r="B48" s="1">
        <v>45576</v>
      </c>
      <c r="C48" t="s">
        <v>19</v>
      </c>
      <c r="D48">
        <v>189</v>
      </c>
      <c r="E48" t="s">
        <v>14</v>
      </c>
      <c r="F48">
        <v>8</v>
      </c>
      <c r="G48" t="s">
        <v>21</v>
      </c>
      <c r="H48">
        <v>2</v>
      </c>
      <c r="I48">
        <v>52</v>
      </c>
      <c r="J48">
        <v>0</v>
      </c>
      <c r="K48" t="s">
        <v>16</v>
      </c>
      <c r="L48" t="s">
        <v>17</v>
      </c>
      <c r="M48">
        <f>IF(Table1[[#This Row],[ألغى الاشتراك]]="نعم",1,0)</f>
        <v>0</v>
      </c>
      <c r="N48">
        <f>IF(Table1[[#This Row],[وسيلة الدفع]]="بطاقة",1,0)</f>
        <v>0</v>
      </c>
      <c r="O48">
        <f>IF(Table1[[#This Row],[وسيلة الدفع]]="محفظة",1,0)</f>
        <v>1</v>
      </c>
      <c r="P48">
        <f>IF(Table1[[#This Row],[وسيلة الدفع]]="تحويل",1,0)</f>
        <v>0</v>
      </c>
      <c r="Q48">
        <f>IF(Table1[[#This Row],[حضر التهيئة]]="نعم",1,0)</f>
        <v>1</v>
      </c>
      <c r="R48">
        <f>IF(Table1[[#This Row],[دورة الفوترة]]="شهري",1,0)</f>
        <v>1</v>
      </c>
    </row>
    <row r="49" spans="1:18" x14ac:dyDescent="0.25">
      <c r="A49" t="s">
        <v>69</v>
      </c>
      <c r="B49" s="1">
        <v>45842</v>
      </c>
      <c r="C49" t="s">
        <v>28</v>
      </c>
      <c r="D49">
        <v>39</v>
      </c>
      <c r="E49" t="s">
        <v>20</v>
      </c>
      <c r="F49">
        <v>7</v>
      </c>
      <c r="G49" t="s">
        <v>23</v>
      </c>
      <c r="H49">
        <v>10</v>
      </c>
      <c r="I49">
        <v>55</v>
      </c>
      <c r="J49">
        <v>0</v>
      </c>
      <c r="K49" t="s">
        <v>16</v>
      </c>
      <c r="L49" t="s">
        <v>17</v>
      </c>
      <c r="M49">
        <f>IF(Table1[[#This Row],[ألغى الاشتراك]]="نعم",1,0)</f>
        <v>0</v>
      </c>
      <c r="N49">
        <f>IF(Table1[[#This Row],[وسيلة الدفع]]="بطاقة",1,0)</f>
        <v>0</v>
      </c>
      <c r="O49">
        <f>IF(Table1[[#This Row],[وسيلة الدفع]]="محفظة",1,0)</f>
        <v>0</v>
      </c>
      <c r="P49">
        <f>IF(Table1[[#This Row],[وسيلة الدفع]]="تحويل",1,0)</f>
        <v>1</v>
      </c>
      <c r="Q49">
        <f>IF(Table1[[#This Row],[حضر التهيئة]]="نعم",1,0)</f>
        <v>1</v>
      </c>
      <c r="R49">
        <f>IF(Table1[[#This Row],[دورة الفوترة]]="شهري",1,0)</f>
        <v>0</v>
      </c>
    </row>
    <row r="50" spans="1:18" x14ac:dyDescent="0.25">
      <c r="A50" t="s">
        <v>70</v>
      </c>
      <c r="B50" s="1">
        <v>45395</v>
      </c>
      <c r="C50" t="s">
        <v>13</v>
      </c>
      <c r="D50">
        <v>89</v>
      </c>
      <c r="E50" t="s">
        <v>14</v>
      </c>
      <c r="F50">
        <v>16</v>
      </c>
      <c r="G50" t="s">
        <v>21</v>
      </c>
      <c r="H50">
        <v>1</v>
      </c>
      <c r="I50">
        <v>18</v>
      </c>
      <c r="J50">
        <v>0</v>
      </c>
      <c r="K50" t="s">
        <v>17</v>
      </c>
      <c r="L50" t="s">
        <v>17</v>
      </c>
      <c r="M50">
        <f>IF(Table1[[#This Row],[ألغى الاشتراك]]="نعم",1,0)</f>
        <v>0</v>
      </c>
      <c r="N50">
        <f>IF(Table1[[#This Row],[وسيلة الدفع]]="بطاقة",1,0)</f>
        <v>0</v>
      </c>
      <c r="O50">
        <f>IF(Table1[[#This Row],[وسيلة الدفع]]="محفظة",1,0)</f>
        <v>1</v>
      </c>
      <c r="P50">
        <f>IF(Table1[[#This Row],[وسيلة الدفع]]="تحويل",1,0)</f>
        <v>0</v>
      </c>
      <c r="Q50">
        <f>IF(Table1[[#This Row],[حضر التهيئة]]="نعم",1,0)</f>
        <v>0</v>
      </c>
      <c r="R50">
        <f>IF(Table1[[#This Row],[دورة الفوترة]]="شهري",1,0)</f>
        <v>1</v>
      </c>
    </row>
    <row r="51" spans="1:18" x14ac:dyDescent="0.25">
      <c r="A51" t="s">
        <v>71</v>
      </c>
      <c r="B51" s="1">
        <v>45906</v>
      </c>
      <c r="C51" t="s">
        <v>13</v>
      </c>
      <c r="D51">
        <v>89</v>
      </c>
      <c r="E51" t="s">
        <v>14</v>
      </c>
      <c r="F51">
        <v>9</v>
      </c>
      <c r="G51" t="s">
        <v>21</v>
      </c>
      <c r="H51">
        <v>2</v>
      </c>
      <c r="I51">
        <v>53</v>
      </c>
      <c r="J51">
        <v>0</v>
      </c>
      <c r="K51" t="s">
        <v>17</v>
      </c>
      <c r="L51" t="s">
        <v>17</v>
      </c>
      <c r="M51">
        <f>IF(Table1[[#This Row],[ألغى الاشتراك]]="نعم",1,0)</f>
        <v>0</v>
      </c>
      <c r="N51">
        <f>IF(Table1[[#This Row],[وسيلة الدفع]]="بطاقة",1,0)</f>
        <v>0</v>
      </c>
      <c r="O51">
        <f>IF(Table1[[#This Row],[وسيلة الدفع]]="محفظة",1,0)</f>
        <v>1</v>
      </c>
      <c r="P51">
        <f>IF(Table1[[#This Row],[وسيلة الدفع]]="تحويل",1,0)</f>
        <v>0</v>
      </c>
      <c r="Q51">
        <f>IF(Table1[[#This Row],[حضر التهيئة]]="نعم",1,0)</f>
        <v>0</v>
      </c>
      <c r="R51">
        <f>IF(Table1[[#This Row],[دورة الفوترة]]="شهري",1,0)</f>
        <v>1</v>
      </c>
    </row>
    <row r="52" spans="1:18" x14ac:dyDescent="0.25">
      <c r="A52" t="s">
        <v>72</v>
      </c>
      <c r="B52" s="1">
        <v>45866</v>
      </c>
      <c r="C52" t="s">
        <v>28</v>
      </c>
      <c r="D52">
        <v>39</v>
      </c>
      <c r="E52" t="s">
        <v>14</v>
      </c>
      <c r="F52">
        <v>28</v>
      </c>
      <c r="G52" t="s">
        <v>21</v>
      </c>
      <c r="H52">
        <v>0</v>
      </c>
      <c r="I52">
        <v>24</v>
      </c>
      <c r="J52">
        <v>15</v>
      </c>
      <c r="K52" t="s">
        <v>16</v>
      </c>
      <c r="L52" t="s">
        <v>17</v>
      </c>
      <c r="M52">
        <f>IF(Table1[[#This Row],[ألغى الاشتراك]]="نعم",1,0)</f>
        <v>0</v>
      </c>
      <c r="N52">
        <f>IF(Table1[[#This Row],[وسيلة الدفع]]="بطاقة",1,0)</f>
        <v>0</v>
      </c>
      <c r="O52">
        <f>IF(Table1[[#This Row],[وسيلة الدفع]]="محفظة",1,0)</f>
        <v>1</v>
      </c>
      <c r="P52">
        <f>IF(Table1[[#This Row],[وسيلة الدفع]]="تحويل",1,0)</f>
        <v>0</v>
      </c>
      <c r="Q52">
        <f>IF(Table1[[#This Row],[حضر التهيئة]]="نعم",1,0)</f>
        <v>1</v>
      </c>
      <c r="R52">
        <f>IF(Table1[[#This Row],[دورة الفوترة]]="شهري",1,0)</f>
        <v>1</v>
      </c>
    </row>
    <row r="53" spans="1:18" x14ac:dyDescent="0.25">
      <c r="A53" t="s">
        <v>73</v>
      </c>
      <c r="B53" s="1">
        <v>45517</v>
      </c>
      <c r="C53" t="s">
        <v>13</v>
      </c>
      <c r="D53">
        <v>89</v>
      </c>
      <c r="E53" t="s">
        <v>14</v>
      </c>
      <c r="F53">
        <v>28</v>
      </c>
      <c r="G53" t="s">
        <v>23</v>
      </c>
      <c r="H53">
        <v>1</v>
      </c>
      <c r="I53">
        <v>44</v>
      </c>
      <c r="J53">
        <v>0</v>
      </c>
      <c r="K53" t="s">
        <v>16</v>
      </c>
      <c r="L53" t="s">
        <v>16</v>
      </c>
      <c r="M53">
        <f>IF(Table1[[#This Row],[ألغى الاشتراك]]="نعم",1,0)</f>
        <v>1</v>
      </c>
      <c r="N53">
        <f>IF(Table1[[#This Row],[وسيلة الدفع]]="بطاقة",1,0)</f>
        <v>0</v>
      </c>
      <c r="O53">
        <f>IF(Table1[[#This Row],[وسيلة الدفع]]="محفظة",1,0)</f>
        <v>0</v>
      </c>
      <c r="P53">
        <f>IF(Table1[[#This Row],[وسيلة الدفع]]="تحويل",1,0)</f>
        <v>1</v>
      </c>
      <c r="Q53">
        <f>IF(Table1[[#This Row],[حضر التهيئة]]="نعم",1,0)</f>
        <v>1</v>
      </c>
      <c r="R53">
        <f>IF(Table1[[#This Row],[دورة الفوترة]]="شهري",1,0)</f>
        <v>1</v>
      </c>
    </row>
    <row r="54" spans="1:18" x14ac:dyDescent="0.25">
      <c r="A54" t="s">
        <v>74</v>
      </c>
      <c r="B54" s="1">
        <v>45667</v>
      </c>
      <c r="C54" t="s">
        <v>13</v>
      </c>
      <c r="D54">
        <v>89</v>
      </c>
      <c r="E54" t="s">
        <v>20</v>
      </c>
      <c r="F54">
        <v>9</v>
      </c>
      <c r="G54" t="s">
        <v>23</v>
      </c>
      <c r="H54">
        <v>2</v>
      </c>
      <c r="I54">
        <v>5</v>
      </c>
      <c r="J54">
        <v>0</v>
      </c>
      <c r="K54" t="s">
        <v>16</v>
      </c>
      <c r="L54" t="s">
        <v>17</v>
      </c>
      <c r="M54">
        <f>IF(Table1[[#This Row],[ألغى الاشتراك]]="نعم",1,0)</f>
        <v>0</v>
      </c>
      <c r="N54">
        <f>IF(Table1[[#This Row],[وسيلة الدفع]]="بطاقة",1,0)</f>
        <v>0</v>
      </c>
      <c r="O54">
        <f>IF(Table1[[#This Row],[وسيلة الدفع]]="محفظة",1,0)</f>
        <v>0</v>
      </c>
      <c r="P54">
        <f>IF(Table1[[#This Row],[وسيلة الدفع]]="تحويل",1,0)</f>
        <v>1</v>
      </c>
      <c r="Q54">
        <f>IF(Table1[[#This Row],[حضر التهيئة]]="نعم",1,0)</f>
        <v>1</v>
      </c>
      <c r="R54">
        <f>IF(Table1[[#This Row],[دورة الفوترة]]="شهري",1,0)</f>
        <v>0</v>
      </c>
    </row>
    <row r="55" spans="1:18" x14ac:dyDescent="0.25">
      <c r="A55" t="s">
        <v>75</v>
      </c>
      <c r="B55" s="1">
        <v>45592</v>
      </c>
      <c r="C55" t="s">
        <v>19</v>
      </c>
      <c r="D55">
        <v>189</v>
      </c>
      <c r="E55" t="s">
        <v>14</v>
      </c>
      <c r="F55">
        <v>20</v>
      </c>
      <c r="G55" t="s">
        <v>21</v>
      </c>
      <c r="H55">
        <v>10</v>
      </c>
      <c r="I55">
        <v>38</v>
      </c>
      <c r="J55">
        <v>0</v>
      </c>
      <c r="K55" t="s">
        <v>16</v>
      </c>
      <c r="L55" t="s">
        <v>17</v>
      </c>
      <c r="M55">
        <f>IF(Table1[[#This Row],[ألغى الاشتراك]]="نعم",1,0)</f>
        <v>0</v>
      </c>
      <c r="N55">
        <f>IF(Table1[[#This Row],[وسيلة الدفع]]="بطاقة",1,0)</f>
        <v>0</v>
      </c>
      <c r="O55">
        <f>IF(Table1[[#This Row],[وسيلة الدفع]]="محفظة",1,0)</f>
        <v>1</v>
      </c>
      <c r="P55">
        <f>IF(Table1[[#This Row],[وسيلة الدفع]]="تحويل",1,0)</f>
        <v>0</v>
      </c>
      <c r="Q55">
        <f>IF(Table1[[#This Row],[حضر التهيئة]]="نعم",1,0)</f>
        <v>1</v>
      </c>
      <c r="R55">
        <f>IF(Table1[[#This Row],[دورة الفوترة]]="شهري",1,0)</f>
        <v>1</v>
      </c>
    </row>
    <row r="56" spans="1:18" x14ac:dyDescent="0.25">
      <c r="A56" t="s">
        <v>76</v>
      </c>
      <c r="B56" s="1">
        <v>45973</v>
      </c>
      <c r="C56" t="s">
        <v>13</v>
      </c>
      <c r="D56">
        <v>89</v>
      </c>
      <c r="E56" t="s">
        <v>20</v>
      </c>
      <c r="F56">
        <v>27</v>
      </c>
      <c r="G56" t="s">
        <v>15</v>
      </c>
      <c r="H56">
        <v>2</v>
      </c>
      <c r="I56">
        <v>49</v>
      </c>
      <c r="J56">
        <v>0</v>
      </c>
      <c r="K56" t="s">
        <v>16</v>
      </c>
      <c r="L56" t="s">
        <v>17</v>
      </c>
      <c r="M56">
        <f>IF(Table1[[#This Row],[ألغى الاشتراك]]="نعم",1,0)</f>
        <v>0</v>
      </c>
      <c r="N56">
        <f>IF(Table1[[#This Row],[وسيلة الدفع]]="بطاقة",1,0)</f>
        <v>1</v>
      </c>
      <c r="O56">
        <f>IF(Table1[[#This Row],[وسيلة الدفع]]="محفظة",1,0)</f>
        <v>0</v>
      </c>
      <c r="P56">
        <f>IF(Table1[[#This Row],[وسيلة الدفع]]="تحويل",1,0)</f>
        <v>0</v>
      </c>
      <c r="Q56">
        <f>IF(Table1[[#This Row],[حضر التهيئة]]="نعم",1,0)</f>
        <v>1</v>
      </c>
      <c r="R56">
        <f>IF(Table1[[#This Row],[دورة الفوترة]]="شهري",1,0)</f>
        <v>0</v>
      </c>
    </row>
    <row r="57" spans="1:18" x14ac:dyDescent="0.25">
      <c r="A57" t="s">
        <v>77</v>
      </c>
      <c r="B57" s="1">
        <v>45659</v>
      </c>
      <c r="C57" t="s">
        <v>19</v>
      </c>
      <c r="D57">
        <v>189</v>
      </c>
      <c r="E57" t="s">
        <v>14</v>
      </c>
      <c r="F57">
        <v>14</v>
      </c>
      <c r="G57" t="s">
        <v>21</v>
      </c>
      <c r="H57">
        <v>2</v>
      </c>
      <c r="I57">
        <v>36</v>
      </c>
      <c r="J57">
        <v>5</v>
      </c>
      <c r="K57" t="s">
        <v>17</v>
      </c>
      <c r="L57" t="s">
        <v>17</v>
      </c>
      <c r="M57">
        <f>IF(Table1[[#This Row],[ألغى الاشتراك]]="نعم",1,0)</f>
        <v>0</v>
      </c>
      <c r="N57">
        <f>IF(Table1[[#This Row],[وسيلة الدفع]]="بطاقة",1,0)</f>
        <v>0</v>
      </c>
      <c r="O57">
        <f>IF(Table1[[#This Row],[وسيلة الدفع]]="محفظة",1,0)</f>
        <v>1</v>
      </c>
      <c r="P57">
        <f>IF(Table1[[#This Row],[وسيلة الدفع]]="تحويل",1,0)</f>
        <v>0</v>
      </c>
      <c r="Q57">
        <f>IF(Table1[[#This Row],[حضر التهيئة]]="نعم",1,0)</f>
        <v>0</v>
      </c>
      <c r="R57">
        <f>IF(Table1[[#This Row],[دورة الفوترة]]="شهري",1,0)</f>
        <v>1</v>
      </c>
    </row>
    <row r="58" spans="1:18" x14ac:dyDescent="0.25">
      <c r="A58" t="s">
        <v>78</v>
      </c>
      <c r="B58" s="1">
        <v>45568</v>
      </c>
      <c r="C58" t="s">
        <v>28</v>
      </c>
      <c r="D58">
        <v>39</v>
      </c>
      <c r="E58" t="s">
        <v>20</v>
      </c>
      <c r="F58">
        <v>6</v>
      </c>
      <c r="G58" t="s">
        <v>15</v>
      </c>
      <c r="H58">
        <v>0</v>
      </c>
      <c r="I58">
        <v>42</v>
      </c>
      <c r="J58">
        <v>0</v>
      </c>
      <c r="K58" t="s">
        <v>16</v>
      </c>
      <c r="L58" t="s">
        <v>17</v>
      </c>
      <c r="M58">
        <f>IF(Table1[[#This Row],[ألغى الاشتراك]]="نعم",1,0)</f>
        <v>0</v>
      </c>
      <c r="N58">
        <f>IF(Table1[[#This Row],[وسيلة الدفع]]="بطاقة",1,0)</f>
        <v>1</v>
      </c>
      <c r="O58">
        <f>IF(Table1[[#This Row],[وسيلة الدفع]]="محفظة",1,0)</f>
        <v>0</v>
      </c>
      <c r="P58">
        <f>IF(Table1[[#This Row],[وسيلة الدفع]]="تحويل",1,0)</f>
        <v>0</v>
      </c>
      <c r="Q58">
        <f>IF(Table1[[#This Row],[حضر التهيئة]]="نعم",1,0)</f>
        <v>1</v>
      </c>
      <c r="R58">
        <f>IF(Table1[[#This Row],[دورة الفوترة]]="شهري",1,0)</f>
        <v>0</v>
      </c>
    </row>
    <row r="59" spans="1:18" x14ac:dyDescent="0.25">
      <c r="A59" t="s">
        <v>79</v>
      </c>
      <c r="B59" s="1">
        <v>45724</v>
      </c>
      <c r="C59" t="s">
        <v>13</v>
      </c>
      <c r="D59">
        <v>89</v>
      </c>
      <c r="E59" t="s">
        <v>20</v>
      </c>
      <c r="F59">
        <v>25</v>
      </c>
      <c r="G59" t="s">
        <v>21</v>
      </c>
      <c r="H59">
        <v>7</v>
      </c>
      <c r="I59">
        <v>29</v>
      </c>
      <c r="J59">
        <v>0</v>
      </c>
      <c r="K59" t="s">
        <v>16</v>
      </c>
      <c r="L59" t="s">
        <v>17</v>
      </c>
      <c r="M59">
        <f>IF(Table1[[#This Row],[ألغى الاشتراك]]="نعم",1,0)</f>
        <v>0</v>
      </c>
      <c r="N59">
        <f>IF(Table1[[#This Row],[وسيلة الدفع]]="بطاقة",1,0)</f>
        <v>0</v>
      </c>
      <c r="O59">
        <f>IF(Table1[[#This Row],[وسيلة الدفع]]="محفظة",1,0)</f>
        <v>1</v>
      </c>
      <c r="P59">
        <f>IF(Table1[[#This Row],[وسيلة الدفع]]="تحويل",1,0)</f>
        <v>0</v>
      </c>
      <c r="Q59">
        <f>IF(Table1[[#This Row],[حضر التهيئة]]="نعم",1,0)</f>
        <v>1</v>
      </c>
      <c r="R59">
        <f>IF(Table1[[#This Row],[دورة الفوترة]]="شهري",1,0)</f>
        <v>0</v>
      </c>
    </row>
    <row r="60" spans="1:18" x14ac:dyDescent="0.25">
      <c r="A60" t="s">
        <v>80</v>
      </c>
      <c r="B60" s="1">
        <v>45902</v>
      </c>
      <c r="C60" t="s">
        <v>13</v>
      </c>
      <c r="D60">
        <v>89</v>
      </c>
      <c r="E60" t="s">
        <v>20</v>
      </c>
      <c r="F60">
        <v>20</v>
      </c>
      <c r="G60" t="s">
        <v>21</v>
      </c>
      <c r="H60">
        <v>1</v>
      </c>
      <c r="I60">
        <v>54</v>
      </c>
      <c r="J60">
        <v>5</v>
      </c>
      <c r="K60" t="s">
        <v>17</v>
      </c>
      <c r="L60" t="s">
        <v>16</v>
      </c>
      <c r="M60">
        <f>IF(Table1[[#This Row],[ألغى الاشتراك]]="نعم",1,0)</f>
        <v>1</v>
      </c>
      <c r="N60">
        <f>IF(Table1[[#This Row],[وسيلة الدفع]]="بطاقة",1,0)</f>
        <v>0</v>
      </c>
      <c r="O60">
        <f>IF(Table1[[#This Row],[وسيلة الدفع]]="محفظة",1,0)</f>
        <v>1</v>
      </c>
      <c r="P60">
        <f>IF(Table1[[#This Row],[وسيلة الدفع]]="تحويل",1,0)</f>
        <v>0</v>
      </c>
      <c r="Q60">
        <f>IF(Table1[[#This Row],[حضر التهيئة]]="نعم",1,0)</f>
        <v>0</v>
      </c>
      <c r="R60">
        <f>IF(Table1[[#This Row],[دورة الفوترة]]="شهري",1,0)</f>
        <v>0</v>
      </c>
    </row>
    <row r="61" spans="1:18" x14ac:dyDescent="0.25">
      <c r="A61" t="s">
        <v>81</v>
      </c>
      <c r="B61" s="1">
        <v>45325</v>
      </c>
      <c r="C61" t="s">
        <v>13</v>
      </c>
      <c r="D61">
        <v>89</v>
      </c>
      <c r="E61" t="s">
        <v>14</v>
      </c>
      <c r="F61">
        <v>14</v>
      </c>
      <c r="G61" t="s">
        <v>15</v>
      </c>
      <c r="H61">
        <v>2</v>
      </c>
      <c r="I61">
        <v>8</v>
      </c>
      <c r="J61">
        <v>0</v>
      </c>
      <c r="K61" t="s">
        <v>17</v>
      </c>
      <c r="L61" t="s">
        <v>17</v>
      </c>
      <c r="M61">
        <f>IF(Table1[[#This Row],[ألغى الاشتراك]]="نعم",1,0)</f>
        <v>0</v>
      </c>
      <c r="N61">
        <f>IF(Table1[[#This Row],[وسيلة الدفع]]="بطاقة",1,0)</f>
        <v>1</v>
      </c>
      <c r="O61">
        <f>IF(Table1[[#This Row],[وسيلة الدفع]]="محفظة",1,0)</f>
        <v>0</v>
      </c>
      <c r="P61">
        <f>IF(Table1[[#This Row],[وسيلة الدفع]]="تحويل",1,0)</f>
        <v>0</v>
      </c>
      <c r="Q61">
        <f>IF(Table1[[#This Row],[حضر التهيئة]]="نعم",1,0)</f>
        <v>0</v>
      </c>
      <c r="R61">
        <f>IF(Table1[[#This Row],[دورة الفوترة]]="شهري",1,0)</f>
        <v>1</v>
      </c>
    </row>
    <row r="62" spans="1:18" x14ac:dyDescent="0.25">
      <c r="A62" t="s">
        <v>82</v>
      </c>
      <c r="B62" s="1">
        <v>45383</v>
      </c>
      <c r="C62" t="s">
        <v>28</v>
      </c>
      <c r="D62">
        <v>39</v>
      </c>
      <c r="E62" t="s">
        <v>14</v>
      </c>
      <c r="F62">
        <v>5</v>
      </c>
      <c r="G62" t="s">
        <v>23</v>
      </c>
      <c r="H62">
        <v>6</v>
      </c>
      <c r="I62">
        <v>21</v>
      </c>
      <c r="J62">
        <v>25</v>
      </c>
      <c r="K62" t="s">
        <v>17</v>
      </c>
      <c r="L62" t="s">
        <v>17</v>
      </c>
      <c r="M62">
        <f>IF(Table1[[#This Row],[ألغى الاشتراك]]="نعم",1,0)</f>
        <v>0</v>
      </c>
      <c r="N62">
        <f>IF(Table1[[#This Row],[وسيلة الدفع]]="بطاقة",1,0)</f>
        <v>0</v>
      </c>
      <c r="O62">
        <f>IF(Table1[[#This Row],[وسيلة الدفع]]="محفظة",1,0)</f>
        <v>0</v>
      </c>
      <c r="P62">
        <f>IF(Table1[[#This Row],[وسيلة الدفع]]="تحويل",1,0)</f>
        <v>1</v>
      </c>
      <c r="Q62">
        <f>IF(Table1[[#This Row],[حضر التهيئة]]="نعم",1,0)</f>
        <v>0</v>
      </c>
      <c r="R62">
        <f>IF(Table1[[#This Row],[دورة الفوترة]]="شهري",1,0)</f>
        <v>1</v>
      </c>
    </row>
    <row r="63" spans="1:18" x14ac:dyDescent="0.25">
      <c r="A63" t="s">
        <v>83</v>
      </c>
      <c r="B63" s="1">
        <v>45787</v>
      </c>
      <c r="C63" t="s">
        <v>13</v>
      </c>
      <c r="D63">
        <v>89</v>
      </c>
      <c r="E63" t="s">
        <v>20</v>
      </c>
      <c r="F63">
        <v>7</v>
      </c>
      <c r="G63" t="s">
        <v>15</v>
      </c>
      <c r="H63">
        <v>1</v>
      </c>
      <c r="I63">
        <v>37</v>
      </c>
      <c r="J63">
        <v>0</v>
      </c>
      <c r="K63" t="s">
        <v>17</v>
      </c>
      <c r="L63" t="s">
        <v>17</v>
      </c>
      <c r="M63">
        <f>IF(Table1[[#This Row],[ألغى الاشتراك]]="نعم",1,0)</f>
        <v>0</v>
      </c>
      <c r="N63">
        <f>IF(Table1[[#This Row],[وسيلة الدفع]]="بطاقة",1,0)</f>
        <v>1</v>
      </c>
      <c r="O63">
        <f>IF(Table1[[#This Row],[وسيلة الدفع]]="محفظة",1,0)</f>
        <v>0</v>
      </c>
      <c r="P63">
        <f>IF(Table1[[#This Row],[وسيلة الدفع]]="تحويل",1,0)</f>
        <v>0</v>
      </c>
      <c r="Q63">
        <f>IF(Table1[[#This Row],[حضر التهيئة]]="نعم",1,0)</f>
        <v>0</v>
      </c>
      <c r="R63">
        <f>IF(Table1[[#This Row],[دورة الفوترة]]="شهري",1,0)</f>
        <v>0</v>
      </c>
    </row>
    <row r="64" spans="1:18" x14ac:dyDescent="0.25">
      <c r="A64" t="s">
        <v>84</v>
      </c>
      <c r="B64" s="1">
        <v>45337</v>
      </c>
      <c r="C64" t="s">
        <v>28</v>
      </c>
      <c r="D64">
        <v>39</v>
      </c>
      <c r="E64" t="s">
        <v>14</v>
      </c>
      <c r="F64">
        <v>18</v>
      </c>
      <c r="G64" t="s">
        <v>15</v>
      </c>
      <c r="H64">
        <v>2</v>
      </c>
      <c r="I64">
        <v>54</v>
      </c>
      <c r="J64">
        <v>0</v>
      </c>
      <c r="K64" t="s">
        <v>16</v>
      </c>
      <c r="L64" t="s">
        <v>17</v>
      </c>
      <c r="M64">
        <f>IF(Table1[[#This Row],[ألغى الاشتراك]]="نعم",1,0)</f>
        <v>0</v>
      </c>
      <c r="N64">
        <f>IF(Table1[[#This Row],[وسيلة الدفع]]="بطاقة",1,0)</f>
        <v>1</v>
      </c>
      <c r="O64">
        <f>IF(Table1[[#This Row],[وسيلة الدفع]]="محفظة",1,0)</f>
        <v>0</v>
      </c>
      <c r="P64">
        <f>IF(Table1[[#This Row],[وسيلة الدفع]]="تحويل",1,0)</f>
        <v>0</v>
      </c>
      <c r="Q64">
        <f>IF(Table1[[#This Row],[حضر التهيئة]]="نعم",1,0)</f>
        <v>1</v>
      </c>
      <c r="R64">
        <f>IF(Table1[[#This Row],[دورة الفوترة]]="شهري",1,0)</f>
        <v>1</v>
      </c>
    </row>
    <row r="65" spans="1:18" x14ac:dyDescent="0.25">
      <c r="A65" t="s">
        <v>85</v>
      </c>
      <c r="B65" s="1">
        <v>45651</v>
      </c>
      <c r="C65" t="s">
        <v>13</v>
      </c>
      <c r="D65">
        <v>89</v>
      </c>
      <c r="E65" t="s">
        <v>14</v>
      </c>
      <c r="F65">
        <v>23</v>
      </c>
      <c r="G65" t="s">
        <v>15</v>
      </c>
      <c r="H65">
        <v>1</v>
      </c>
      <c r="I65">
        <v>15</v>
      </c>
      <c r="J65">
        <v>25</v>
      </c>
      <c r="K65" t="s">
        <v>16</v>
      </c>
      <c r="L65" t="s">
        <v>17</v>
      </c>
      <c r="M65">
        <f>IF(Table1[[#This Row],[ألغى الاشتراك]]="نعم",1,0)</f>
        <v>0</v>
      </c>
      <c r="N65">
        <f>IF(Table1[[#This Row],[وسيلة الدفع]]="بطاقة",1,0)</f>
        <v>1</v>
      </c>
      <c r="O65">
        <f>IF(Table1[[#This Row],[وسيلة الدفع]]="محفظة",1,0)</f>
        <v>0</v>
      </c>
      <c r="P65">
        <f>IF(Table1[[#This Row],[وسيلة الدفع]]="تحويل",1,0)</f>
        <v>0</v>
      </c>
      <c r="Q65">
        <f>IF(Table1[[#This Row],[حضر التهيئة]]="نعم",1,0)</f>
        <v>1</v>
      </c>
      <c r="R65">
        <f>IF(Table1[[#This Row],[دورة الفوترة]]="شهري",1,0)</f>
        <v>1</v>
      </c>
    </row>
    <row r="66" spans="1:18" x14ac:dyDescent="0.25">
      <c r="A66" t="s">
        <v>86</v>
      </c>
      <c r="B66" s="1">
        <v>45659</v>
      </c>
      <c r="C66" t="s">
        <v>28</v>
      </c>
      <c r="D66">
        <v>39</v>
      </c>
      <c r="E66" t="s">
        <v>14</v>
      </c>
      <c r="F66">
        <v>13</v>
      </c>
      <c r="G66" t="s">
        <v>23</v>
      </c>
      <c r="H66">
        <v>1</v>
      </c>
      <c r="I66">
        <v>3</v>
      </c>
      <c r="J66">
        <v>0</v>
      </c>
      <c r="K66" t="s">
        <v>16</v>
      </c>
      <c r="L66" t="s">
        <v>17</v>
      </c>
      <c r="M66">
        <f>IF(Table1[[#This Row],[ألغى الاشتراك]]="نعم",1,0)</f>
        <v>0</v>
      </c>
      <c r="N66">
        <f>IF(Table1[[#This Row],[وسيلة الدفع]]="بطاقة",1,0)</f>
        <v>0</v>
      </c>
      <c r="O66">
        <f>IF(Table1[[#This Row],[وسيلة الدفع]]="محفظة",1,0)</f>
        <v>0</v>
      </c>
      <c r="P66">
        <f>IF(Table1[[#This Row],[وسيلة الدفع]]="تحويل",1,0)</f>
        <v>1</v>
      </c>
      <c r="Q66">
        <f>IF(Table1[[#This Row],[حضر التهيئة]]="نعم",1,0)</f>
        <v>1</v>
      </c>
      <c r="R66">
        <f>IF(Table1[[#This Row],[دورة الفوترة]]="شهري",1,0)</f>
        <v>1</v>
      </c>
    </row>
    <row r="67" spans="1:18" x14ac:dyDescent="0.25">
      <c r="A67" t="s">
        <v>87</v>
      </c>
      <c r="B67" s="1">
        <v>45568</v>
      </c>
      <c r="C67" t="s">
        <v>19</v>
      </c>
      <c r="D67">
        <v>189</v>
      </c>
      <c r="E67" t="s">
        <v>14</v>
      </c>
      <c r="F67">
        <v>12</v>
      </c>
      <c r="G67" t="s">
        <v>23</v>
      </c>
      <c r="H67">
        <v>10</v>
      </c>
      <c r="I67">
        <v>56</v>
      </c>
      <c r="J67">
        <v>0</v>
      </c>
      <c r="K67" t="s">
        <v>16</v>
      </c>
      <c r="L67" t="s">
        <v>17</v>
      </c>
      <c r="M67">
        <f>IF(Table1[[#This Row],[ألغى الاشتراك]]="نعم",1,0)</f>
        <v>0</v>
      </c>
      <c r="N67">
        <f>IF(Table1[[#This Row],[وسيلة الدفع]]="بطاقة",1,0)</f>
        <v>0</v>
      </c>
      <c r="O67">
        <f>IF(Table1[[#This Row],[وسيلة الدفع]]="محفظة",1,0)</f>
        <v>0</v>
      </c>
      <c r="P67">
        <f>IF(Table1[[#This Row],[وسيلة الدفع]]="تحويل",1,0)</f>
        <v>1</v>
      </c>
      <c r="Q67">
        <f>IF(Table1[[#This Row],[حضر التهيئة]]="نعم",1,0)</f>
        <v>1</v>
      </c>
      <c r="R67">
        <f>IF(Table1[[#This Row],[دورة الفوترة]]="شهري",1,0)</f>
        <v>1</v>
      </c>
    </row>
    <row r="68" spans="1:18" x14ac:dyDescent="0.25">
      <c r="A68" t="s">
        <v>88</v>
      </c>
      <c r="B68" s="1">
        <v>45862</v>
      </c>
      <c r="C68" t="s">
        <v>13</v>
      </c>
      <c r="D68">
        <v>89</v>
      </c>
      <c r="E68" t="s">
        <v>14</v>
      </c>
      <c r="F68">
        <v>15</v>
      </c>
      <c r="G68" t="s">
        <v>23</v>
      </c>
      <c r="H68">
        <v>2</v>
      </c>
      <c r="I68">
        <v>53</v>
      </c>
      <c r="J68">
        <v>0</v>
      </c>
      <c r="K68" t="s">
        <v>16</v>
      </c>
      <c r="L68" t="s">
        <v>17</v>
      </c>
      <c r="M68">
        <f>IF(Table1[[#This Row],[ألغى الاشتراك]]="نعم",1,0)</f>
        <v>0</v>
      </c>
      <c r="N68">
        <f>IF(Table1[[#This Row],[وسيلة الدفع]]="بطاقة",1,0)</f>
        <v>0</v>
      </c>
      <c r="O68">
        <f>IF(Table1[[#This Row],[وسيلة الدفع]]="محفظة",1,0)</f>
        <v>0</v>
      </c>
      <c r="P68">
        <f>IF(Table1[[#This Row],[وسيلة الدفع]]="تحويل",1,0)</f>
        <v>1</v>
      </c>
      <c r="Q68">
        <f>IF(Table1[[#This Row],[حضر التهيئة]]="نعم",1,0)</f>
        <v>1</v>
      </c>
      <c r="R68">
        <f>IF(Table1[[#This Row],[دورة الفوترة]]="شهري",1,0)</f>
        <v>1</v>
      </c>
    </row>
    <row r="69" spans="1:18" x14ac:dyDescent="0.25">
      <c r="A69" t="s">
        <v>89</v>
      </c>
      <c r="B69" s="1">
        <v>45639</v>
      </c>
      <c r="C69" t="s">
        <v>19</v>
      </c>
      <c r="D69">
        <v>189</v>
      </c>
      <c r="E69" t="s">
        <v>20</v>
      </c>
      <c r="F69">
        <v>8</v>
      </c>
      <c r="G69" t="s">
        <v>15</v>
      </c>
      <c r="H69">
        <v>1</v>
      </c>
      <c r="I69">
        <v>52</v>
      </c>
      <c r="J69">
        <v>0</v>
      </c>
      <c r="K69" t="s">
        <v>17</v>
      </c>
      <c r="L69" t="s">
        <v>17</v>
      </c>
      <c r="M69">
        <f>IF(Table1[[#This Row],[ألغى الاشتراك]]="نعم",1,0)</f>
        <v>0</v>
      </c>
      <c r="N69">
        <f>IF(Table1[[#This Row],[وسيلة الدفع]]="بطاقة",1,0)</f>
        <v>1</v>
      </c>
      <c r="O69">
        <f>IF(Table1[[#This Row],[وسيلة الدفع]]="محفظة",1,0)</f>
        <v>0</v>
      </c>
      <c r="P69">
        <f>IF(Table1[[#This Row],[وسيلة الدفع]]="تحويل",1,0)</f>
        <v>0</v>
      </c>
      <c r="Q69">
        <f>IF(Table1[[#This Row],[حضر التهيئة]]="نعم",1,0)</f>
        <v>0</v>
      </c>
      <c r="R69">
        <f>IF(Table1[[#This Row],[دورة الفوترة]]="شهري",1,0)</f>
        <v>0</v>
      </c>
    </row>
    <row r="70" spans="1:18" x14ac:dyDescent="0.25">
      <c r="A70" t="s">
        <v>90</v>
      </c>
      <c r="B70" s="1">
        <v>45902</v>
      </c>
      <c r="C70" t="s">
        <v>19</v>
      </c>
      <c r="D70">
        <v>189</v>
      </c>
      <c r="E70" t="s">
        <v>14</v>
      </c>
      <c r="F70">
        <v>19</v>
      </c>
      <c r="G70" t="s">
        <v>15</v>
      </c>
      <c r="H70">
        <v>2</v>
      </c>
      <c r="I70">
        <v>49</v>
      </c>
      <c r="J70">
        <v>0</v>
      </c>
      <c r="K70" t="s">
        <v>17</v>
      </c>
      <c r="L70" t="s">
        <v>17</v>
      </c>
      <c r="M70">
        <f>IF(Table1[[#This Row],[ألغى الاشتراك]]="نعم",1,0)</f>
        <v>0</v>
      </c>
      <c r="N70">
        <f>IF(Table1[[#This Row],[وسيلة الدفع]]="بطاقة",1,0)</f>
        <v>1</v>
      </c>
      <c r="O70">
        <f>IF(Table1[[#This Row],[وسيلة الدفع]]="محفظة",1,0)</f>
        <v>0</v>
      </c>
      <c r="P70">
        <f>IF(Table1[[#This Row],[وسيلة الدفع]]="تحويل",1,0)</f>
        <v>0</v>
      </c>
      <c r="Q70">
        <f>IF(Table1[[#This Row],[حضر التهيئة]]="نعم",1,0)</f>
        <v>0</v>
      </c>
      <c r="R70">
        <f>IF(Table1[[#This Row],[دورة الفوترة]]="شهري",1,0)</f>
        <v>1</v>
      </c>
    </row>
    <row r="71" spans="1:18" x14ac:dyDescent="0.25">
      <c r="A71" t="s">
        <v>91</v>
      </c>
      <c r="B71" s="1">
        <v>45576</v>
      </c>
      <c r="C71" t="s">
        <v>13</v>
      </c>
      <c r="D71">
        <v>89</v>
      </c>
      <c r="E71" t="s">
        <v>20</v>
      </c>
      <c r="F71">
        <v>6</v>
      </c>
      <c r="G71" t="s">
        <v>15</v>
      </c>
      <c r="H71">
        <v>0</v>
      </c>
      <c r="I71">
        <v>8</v>
      </c>
      <c r="J71">
        <v>0</v>
      </c>
      <c r="K71" t="s">
        <v>17</v>
      </c>
      <c r="L71" t="s">
        <v>17</v>
      </c>
      <c r="M71">
        <f>IF(Table1[[#This Row],[ألغى الاشتراك]]="نعم",1,0)</f>
        <v>0</v>
      </c>
      <c r="N71">
        <f>IF(Table1[[#This Row],[وسيلة الدفع]]="بطاقة",1,0)</f>
        <v>1</v>
      </c>
      <c r="O71">
        <f>IF(Table1[[#This Row],[وسيلة الدفع]]="محفظة",1,0)</f>
        <v>0</v>
      </c>
      <c r="P71">
        <f>IF(Table1[[#This Row],[وسيلة الدفع]]="تحويل",1,0)</f>
        <v>0</v>
      </c>
      <c r="Q71">
        <f>IF(Table1[[#This Row],[حضر التهيئة]]="نعم",1,0)</f>
        <v>0</v>
      </c>
      <c r="R71">
        <f>IF(Table1[[#This Row],[دورة الفوترة]]="شهري",1,0)</f>
        <v>0</v>
      </c>
    </row>
    <row r="72" spans="1:18" x14ac:dyDescent="0.25">
      <c r="A72" t="s">
        <v>92</v>
      </c>
      <c r="B72" s="1">
        <v>45724</v>
      </c>
      <c r="C72" t="s">
        <v>19</v>
      </c>
      <c r="D72">
        <v>189</v>
      </c>
      <c r="E72" t="s">
        <v>14</v>
      </c>
      <c r="F72">
        <v>29</v>
      </c>
      <c r="G72" t="s">
        <v>15</v>
      </c>
      <c r="H72">
        <v>2</v>
      </c>
      <c r="I72">
        <v>53</v>
      </c>
      <c r="J72">
        <v>0</v>
      </c>
      <c r="K72" t="s">
        <v>16</v>
      </c>
      <c r="L72" t="s">
        <v>17</v>
      </c>
      <c r="M72">
        <f>IF(Table1[[#This Row],[ألغى الاشتراك]]="نعم",1,0)</f>
        <v>0</v>
      </c>
      <c r="N72">
        <f>IF(Table1[[#This Row],[وسيلة الدفع]]="بطاقة",1,0)</f>
        <v>1</v>
      </c>
      <c r="O72">
        <f>IF(Table1[[#This Row],[وسيلة الدفع]]="محفظة",1,0)</f>
        <v>0</v>
      </c>
      <c r="P72">
        <f>IF(Table1[[#This Row],[وسيلة الدفع]]="تحويل",1,0)</f>
        <v>0</v>
      </c>
      <c r="Q72">
        <f>IF(Table1[[#This Row],[حضر التهيئة]]="نعم",1,0)</f>
        <v>1</v>
      </c>
      <c r="R72">
        <f>IF(Table1[[#This Row],[دورة الفوترة]]="شهري",1,0)</f>
        <v>1</v>
      </c>
    </row>
    <row r="73" spans="1:18" x14ac:dyDescent="0.25">
      <c r="A73" t="s">
        <v>93</v>
      </c>
      <c r="B73" s="1">
        <v>45391</v>
      </c>
      <c r="C73" t="s">
        <v>19</v>
      </c>
      <c r="D73">
        <v>189</v>
      </c>
      <c r="E73" t="s">
        <v>14</v>
      </c>
      <c r="F73">
        <v>14</v>
      </c>
      <c r="G73" t="s">
        <v>21</v>
      </c>
      <c r="H73">
        <v>1</v>
      </c>
      <c r="I73">
        <v>50</v>
      </c>
      <c r="J73">
        <v>0</v>
      </c>
      <c r="K73" t="s">
        <v>16</v>
      </c>
      <c r="L73" t="s">
        <v>17</v>
      </c>
      <c r="M73">
        <f>IF(Table1[[#This Row],[ألغى الاشتراك]]="نعم",1,0)</f>
        <v>0</v>
      </c>
      <c r="N73">
        <f>IF(Table1[[#This Row],[وسيلة الدفع]]="بطاقة",1,0)</f>
        <v>0</v>
      </c>
      <c r="O73">
        <f>IF(Table1[[#This Row],[وسيلة الدفع]]="محفظة",1,0)</f>
        <v>1</v>
      </c>
      <c r="P73">
        <f>IF(Table1[[#This Row],[وسيلة الدفع]]="تحويل",1,0)</f>
        <v>0</v>
      </c>
      <c r="Q73">
        <f>IF(Table1[[#This Row],[حضر التهيئة]]="نعم",1,0)</f>
        <v>1</v>
      </c>
      <c r="R73">
        <f>IF(Table1[[#This Row],[دورة الفوترة]]="شهري",1,0)</f>
        <v>1</v>
      </c>
    </row>
    <row r="74" spans="1:18" x14ac:dyDescent="0.25">
      <c r="A74" t="s">
        <v>94</v>
      </c>
      <c r="B74" s="1">
        <v>45791</v>
      </c>
      <c r="C74" t="s">
        <v>13</v>
      </c>
      <c r="D74">
        <v>89</v>
      </c>
      <c r="E74" t="s">
        <v>20</v>
      </c>
      <c r="F74">
        <v>21</v>
      </c>
      <c r="G74" t="s">
        <v>21</v>
      </c>
      <c r="H74">
        <v>9</v>
      </c>
      <c r="I74">
        <v>37</v>
      </c>
      <c r="J74">
        <v>0</v>
      </c>
      <c r="K74" t="s">
        <v>17</v>
      </c>
      <c r="L74" t="s">
        <v>17</v>
      </c>
      <c r="M74">
        <f>IF(Table1[[#This Row],[ألغى الاشتراك]]="نعم",1,0)</f>
        <v>0</v>
      </c>
      <c r="N74">
        <f>IF(Table1[[#This Row],[وسيلة الدفع]]="بطاقة",1,0)</f>
        <v>0</v>
      </c>
      <c r="O74">
        <f>IF(Table1[[#This Row],[وسيلة الدفع]]="محفظة",1,0)</f>
        <v>1</v>
      </c>
      <c r="P74">
        <f>IF(Table1[[#This Row],[وسيلة الدفع]]="تحويل",1,0)</f>
        <v>0</v>
      </c>
      <c r="Q74">
        <f>IF(Table1[[#This Row],[حضر التهيئة]]="نعم",1,0)</f>
        <v>0</v>
      </c>
      <c r="R74">
        <f>IF(Table1[[#This Row],[دورة الفوترة]]="شهري",1,0)</f>
        <v>0</v>
      </c>
    </row>
    <row r="75" spans="1:18" x14ac:dyDescent="0.25">
      <c r="A75" t="s">
        <v>95</v>
      </c>
      <c r="B75" s="1">
        <v>45333</v>
      </c>
      <c r="C75" t="s">
        <v>13</v>
      </c>
      <c r="D75">
        <v>89</v>
      </c>
      <c r="E75" t="s">
        <v>14</v>
      </c>
      <c r="F75">
        <v>14</v>
      </c>
      <c r="G75" t="s">
        <v>23</v>
      </c>
      <c r="H75">
        <v>1</v>
      </c>
      <c r="I75">
        <v>36</v>
      </c>
      <c r="J75">
        <v>0</v>
      </c>
      <c r="K75" t="s">
        <v>16</v>
      </c>
      <c r="L75" t="s">
        <v>17</v>
      </c>
      <c r="M75">
        <f>IF(Table1[[#This Row],[ألغى الاشتراك]]="نعم",1,0)</f>
        <v>0</v>
      </c>
      <c r="N75">
        <f>IF(Table1[[#This Row],[وسيلة الدفع]]="بطاقة",1,0)</f>
        <v>0</v>
      </c>
      <c r="O75">
        <f>IF(Table1[[#This Row],[وسيلة الدفع]]="محفظة",1,0)</f>
        <v>0</v>
      </c>
      <c r="P75">
        <f>IF(Table1[[#This Row],[وسيلة الدفع]]="تحويل",1,0)</f>
        <v>1</v>
      </c>
      <c r="Q75">
        <f>IF(Table1[[#This Row],[حضر التهيئة]]="نعم",1,0)</f>
        <v>1</v>
      </c>
      <c r="R75">
        <f>IF(Table1[[#This Row],[دورة الفوترة]]="شهري",1,0)</f>
        <v>1</v>
      </c>
    </row>
    <row r="76" spans="1:18" x14ac:dyDescent="0.25">
      <c r="A76" t="s">
        <v>96</v>
      </c>
      <c r="B76" s="1">
        <v>45740</v>
      </c>
      <c r="C76" t="s">
        <v>13</v>
      </c>
      <c r="D76">
        <v>89</v>
      </c>
      <c r="E76" t="s">
        <v>14</v>
      </c>
      <c r="F76">
        <v>27</v>
      </c>
      <c r="G76" t="s">
        <v>15</v>
      </c>
      <c r="H76">
        <v>10</v>
      </c>
      <c r="I76">
        <v>33</v>
      </c>
      <c r="J76">
        <v>0</v>
      </c>
      <c r="K76" t="s">
        <v>17</v>
      </c>
      <c r="L76" t="s">
        <v>17</v>
      </c>
      <c r="M76">
        <f>IF(Table1[[#This Row],[ألغى الاشتراك]]="نعم",1,0)</f>
        <v>0</v>
      </c>
      <c r="N76">
        <f>IF(Table1[[#This Row],[وسيلة الدفع]]="بطاقة",1,0)</f>
        <v>1</v>
      </c>
      <c r="O76">
        <f>IF(Table1[[#This Row],[وسيلة الدفع]]="محفظة",1,0)</f>
        <v>0</v>
      </c>
      <c r="P76">
        <f>IF(Table1[[#This Row],[وسيلة الدفع]]="تحويل",1,0)</f>
        <v>0</v>
      </c>
      <c r="Q76">
        <f>IF(Table1[[#This Row],[حضر التهيئة]]="نعم",1,0)</f>
        <v>0</v>
      </c>
      <c r="R76">
        <f>IF(Table1[[#This Row],[دورة الفوترة]]="شهري",1,0)</f>
        <v>1</v>
      </c>
    </row>
    <row r="77" spans="1:18" x14ac:dyDescent="0.25">
      <c r="A77" t="s">
        <v>97</v>
      </c>
      <c r="B77" s="1">
        <v>45631</v>
      </c>
      <c r="C77" t="s">
        <v>13</v>
      </c>
      <c r="D77">
        <v>89</v>
      </c>
      <c r="E77" t="s">
        <v>14</v>
      </c>
      <c r="F77">
        <v>4</v>
      </c>
      <c r="G77" t="s">
        <v>15</v>
      </c>
      <c r="H77">
        <v>3</v>
      </c>
      <c r="I77">
        <v>46</v>
      </c>
      <c r="J77">
        <v>0</v>
      </c>
      <c r="K77" t="s">
        <v>16</v>
      </c>
      <c r="L77" t="s">
        <v>17</v>
      </c>
      <c r="M77">
        <f>IF(Table1[[#This Row],[ألغى الاشتراك]]="نعم",1,0)</f>
        <v>0</v>
      </c>
      <c r="N77">
        <f>IF(Table1[[#This Row],[وسيلة الدفع]]="بطاقة",1,0)</f>
        <v>1</v>
      </c>
      <c r="O77">
        <f>IF(Table1[[#This Row],[وسيلة الدفع]]="محفظة",1,0)</f>
        <v>0</v>
      </c>
      <c r="P77">
        <f>IF(Table1[[#This Row],[وسيلة الدفع]]="تحويل",1,0)</f>
        <v>0</v>
      </c>
      <c r="Q77">
        <f>IF(Table1[[#This Row],[حضر التهيئة]]="نعم",1,0)</f>
        <v>1</v>
      </c>
      <c r="R77">
        <f>IF(Table1[[#This Row],[دورة الفوترة]]="شهري",1,0)</f>
        <v>1</v>
      </c>
    </row>
    <row r="78" spans="1:18" x14ac:dyDescent="0.25">
      <c r="A78" t="s">
        <v>98</v>
      </c>
      <c r="B78" s="1">
        <v>45787</v>
      </c>
      <c r="C78" t="s">
        <v>13</v>
      </c>
      <c r="D78">
        <v>89</v>
      </c>
      <c r="E78" t="s">
        <v>14</v>
      </c>
      <c r="F78">
        <v>9</v>
      </c>
      <c r="G78" t="s">
        <v>21</v>
      </c>
      <c r="H78">
        <v>0</v>
      </c>
      <c r="I78">
        <v>5</v>
      </c>
      <c r="J78">
        <v>0</v>
      </c>
      <c r="K78" t="s">
        <v>16</v>
      </c>
      <c r="L78" t="s">
        <v>17</v>
      </c>
      <c r="M78">
        <f>IF(Table1[[#This Row],[ألغى الاشتراك]]="نعم",1,0)</f>
        <v>0</v>
      </c>
      <c r="N78">
        <f>IF(Table1[[#This Row],[وسيلة الدفع]]="بطاقة",1,0)</f>
        <v>0</v>
      </c>
      <c r="O78">
        <f>IF(Table1[[#This Row],[وسيلة الدفع]]="محفظة",1,0)</f>
        <v>1</v>
      </c>
      <c r="P78">
        <f>IF(Table1[[#This Row],[وسيلة الدفع]]="تحويل",1,0)</f>
        <v>0</v>
      </c>
      <c r="Q78">
        <f>IF(Table1[[#This Row],[حضر التهيئة]]="نعم",1,0)</f>
        <v>1</v>
      </c>
      <c r="R78">
        <f>IF(Table1[[#This Row],[دورة الفوترة]]="شهري",1,0)</f>
        <v>1</v>
      </c>
    </row>
    <row r="79" spans="1:18" x14ac:dyDescent="0.25">
      <c r="A79" t="s">
        <v>99</v>
      </c>
      <c r="B79" s="1">
        <v>45572</v>
      </c>
      <c r="C79" t="s">
        <v>28</v>
      </c>
      <c r="D79">
        <v>39</v>
      </c>
      <c r="E79" t="s">
        <v>14</v>
      </c>
      <c r="F79">
        <v>6</v>
      </c>
      <c r="G79" t="s">
        <v>21</v>
      </c>
      <c r="H79">
        <v>1</v>
      </c>
      <c r="I79">
        <v>52</v>
      </c>
      <c r="J79">
        <v>0</v>
      </c>
      <c r="K79" t="s">
        <v>17</v>
      </c>
      <c r="L79" t="s">
        <v>17</v>
      </c>
      <c r="M79">
        <f>IF(Table1[[#This Row],[ألغى الاشتراك]]="نعم",1,0)</f>
        <v>0</v>
      </c>
      <c r="N79">
        <f>IF(Table1[[#This Row],[وسيلة الدفع]]="بطاقة",1,0)</f>
        <v>0</v>
      </c>
      <c r="O79">
        <f>IF(Table1[[#This Row],[وسيلة الدفع]]="محفظة",1,0)</f>
        <v>1</v>
      </c>
      <c r="P79">
        <f>IF(Table1[[#This Row],[وسيلة الدفع]]="تحويل",1,0)</f>
        <v>0</v>
      </c>
      <c r="Q79">
        <f>IF(Table1[[#This Row],[حضر التهيئة]]="نعم",1,0)</f>
        <v>0</v>
      </c>
      <c r="R79">
        <f>IF(Table1[[#This Row],[دورة الفوترة]]="شهري",1,0)</f>
        <v>1</v>
      </c>
    </row>
    <row r="80" spans="1:18" x14ac:dyDescent="0.25">
      <c r="A80" t="s">
        <v>100</v>
      </c>
      <c r="B80" s="1">
        <v>45969</v>
      </c>
      <c r="C80" t="s">
        <v>28</v>
      </c>
      <c r="D80">
        <v>39</v>
      </c>
      <c r="E80" t="s">
        <v>20</v>
      </c>
      <c r="F80">
        <v>29</v>
      </c>
      <c r="G80" t="s">
        <v>23</v>
      </c>
      <c r="H80">
        <v>4</v>
      </c>
      <c r="I80">
        <v>47</v>
      </c>
      <c r="J80">
        <v>0</v>
      </c>
      <c r="K80" t="s">
        <v>16</v>
      </c>
      <c r="L80" t="s">
        <v>17</v>
      </c>
      <c r="M80">
        <f>IF(Table1[[#This Row],[ألغى الاشتراك]]="نعم",1,0)</f>
        <v>0</v>
      </c>
      <c r="N80">
        <f>IF(Table1[[#This Row],[وسيلة الدفع]]="بطاقة",1,0)</f>
        <v>0</v>
      </c>
      <c r="O80">
        <f>IF(Table1[[#This Row],[وسيلة الدفع]]="محفظة",1,0)</f>
        <v>0</v>
      </c>
      <c r="P80">
        <f>IF(Table1[[#This Row],[وسيلة الدفع]]="تحويل",1,0)</f>
        <v>1</v>
      </c>
      <c r="Q80">
        <f>IF(Table1[[#This Row],[حضر التهيئة]]="نعم",1,0)</f>
        <v>1</v>
      </c>
      <c r="R80">
        <f>IF(Table1[[#This Row],[دورة الفوترة]]="شهري",1,0)</f>
        <v>0</v>
      </c>
    </row>
    <row r="81" spans="1:18" x14ac:dyDescent="0.25">
      <c r="A81" t="s">
        <v>101</v>
      </c>
      <c r="B81" s="1">
        <v>45529</v>
      </c>
      <c r="C81" t="s">
        <v>28</v>
      </c>
      <c r="D81">
        <v>39</v>
      </c>
      <c r="E81" t="s">
        <v>20</v>
      </c>
      <c r="F81">
        <v>8</v>
      </c>
      <c r="G81" t="s">
        <v>23</v>
      </c>
      <c r="H81">
        <v>0</v>
      </c>
      <c r="I81">
        <v>10</v>
      </c>
      <c r="J81">
        <v>0</v>
      </c>
      <c r="K81" t="s">
        <v>16</v>
      </c>
      <c r="L81" t="s">
        <v>17</v>
      </c>
      <c r="M81">
        <f>IF(Table1[[#This Row],[ألغى الاشتراك]]="نعم",1,0)</f>
        <v>0</v>
      </c>
      <c r="N81">
        <f>IF(Table1[[#This Row],[وسيلة الدفع]]="بطاقة",1,0)</f>
        <v>0</v>
      </c>
      <c r="O81">
        <f>IF(Table1[[#This Row],[وسيلة الدفع]]="محفظة",1,0)</f>
        <v>0</v>
      </c>
      <c r="P81">
        <f>IF(Table1[[#This Row],[وسيلة الدفع]]="تحويل",1,0)</f>
        <v>1</v>
      </c>
      <c r="Q81">
        <f>IF(Table1[[#This Row],[حضر التهيئة]]="نعم",1,0)</f>
        <v>1</v>
      </c>
      <c r="R81">
        <f>IF(Table1[[#This Row],[دورة الفوترة]]="شهري",1,0)</f>
        <v>0</v>
      </c>
    </row>
    <row r="82" spans="1:18" x14ac:dyDescent="0.25">
      <c r="A82" t="s">
        <v>102</v>
      </c>
      <c r="B82" s="1">
        <v>45922</v>
      </c>
      <c r="C82" t="s">
        <v>19</v>
      </c>
      <c r="D82">
        <v>189</v>
      </c>
      <c r="E82" t="s">
        <v>20</v>
      </c>
      <c r="F82">
        <v>1</v>
      </c>
      <c r="G82" t="s">
        <v>21</v>
      </c>
      <c r="H82">
        <v>2</v>
      </c>
      <c r="I82">
        <v>39</v>
      </c>
      <c r="J82">
        <v>0</v>
      </c>
      <c r="K82" t="s">
        <v>16</v>
      </c>
      <c r="L82" t="s">
        <v>17</v>
      </c>
      <c r="M82">
        <f>IF(Table1[[#This Row],[ألغى الاشتراك]]="نعم",1,0)</f>
        <v>0</v>
      </c>
      <c r="N82">
        <f>IF(Table1[[#This Row],[وسيلة الدفع]]="بطاقة",1,0)</f>
        <v>0</v>
      </c>
      <c r="O82">
        <f>IF(Table1[[#This Row],[وسيلة الدفع]]="محفظة",1,0)</f>
        <v>1</v>
      </c>
      <c r="P82">
        <f>IF(Table1[[#This Row],[وسيلة الدفع]]="تحويل",1,0)</f>
        <v>0</v>
      </c>
      <c r="Q82">
        <f>IF(Table1[[#This Row],[حضر التهيئة]]="نعم",1,0)</f>
        <v>1</v>
      </c>
      <c r="R82">
        <f>IF(Table1[[#This Row],[دورة الفوترة]]="شهري",1,0)</f>
        <v>0</v>
      </c>
    </row>
    <row r="83" spans="1:18" x14ac:dyDescent="0.25">
      <c r="A83" t="s">
        <v>103</v>
      </c>
      <c r="B83" s="1">
        <v>45744</v>
      </c>
      <c r="C83" t="s">
        <v>19</v>
      </c>
      <c r="D83">
        <v>189</v>
      </c>
      <c r="E83" t="s">
        <v>14</v>
      </c>
      <c r="F83">
        <v>6</v>
      </c>
      <c r="G83" t="s">
        <v>21</v>
      </c>
      <c r="H83">
        <v>1</v>
      </c>
      <c r="I83">
        <v>20</v>
      </c>
      <c r="J83">
        <v>15</v>
      </c>
      <c r="K83" t="s">
        <v>17</v>
      </c>
      <c r="L83" t="s">
        <v>17</v>
      </c>
      <c r="M83">
        <f>IF(Table1[[#This Row],[ألغى الاشتراك]]="نعم",1,0)</f>
        <v>0</v>
      </c>
      <c r="N83">
        <f>IF(Table1[[#This Row],[وسيلة الدفع]]="بطاقة",1,0)</f>
        <v>0</v>
      </c>
      <c r="O83">
        <f>IF(Table1[[#This Row],[وسيلة الدفع]]="محفظة",1,0)</f>
        <v>1</v>
      </c>
      <c r="P83">
        <f>IF(Table1[[#This Row],[وسيلة الدفع]]="تحويل",1,0)</f>
        <v>0</v>
      </c>
      <c r="Q83">
        <f>IF(Table1[[#This Row],[حضر التهيئة]]="نعم",1,0)</f>
        <v>0</v>
      </c>
      <c r="R83">
        <f>IF(Table1[[#This Row],[دورة الفوترة]]="شهري",1,0)</f>
        <v>1</v>
      </c>
    </row>
    <row r="84" spans="1:18" x14ac:dyDescent="0.25">
      <c r="A84" t="s">
        <v>104</v>
      </c>
      <c r="B84" s="1">
        <v>45627</v>
      </c>
      <c r="C84" t="s">
        <v>13</v>
      </c>
      <c r="D84">
        <v>89</v>
      </c>
      <c r="E84" t="s">
        <v>20</v>
      </c>
      <c r="F84">
        <v>6</v>
      </c>
      <c r="G84" t="s">
        <v>21</v>
      </c>
      <c r="H84">
        <v>2</v>
      </c>
      <c r="I84">
        <v>40</v>
      </c>
      <c r="J84">
        <v>0</v>
      </c>
      <c r="K84" t="s">
        <v>17</v>
      </c>
      <c r="L84" t="s">
        <v>17</v>
      </c>
      <c r="M84">
        <f>IF(Table1[[#This Row],[ألغى الاشتراك]]="نعم",1,0)</f>
        <v>0</v>
      </c>
      <c r="N84">
        <f>IF(Table1[[#This Row],[وسيلة الدفع]]="بطاقة",1,0)</f>
        <v>0</v>
      </c>
      <c r="O84">
        <f>IF(Table1[[#This Row],[وسيلة الدفع]]="محفظة",1,0)</f>
        <v>1</v>
      </c>
      <c r="P84">
        <f>IF(Table1[[#This Row],[وسيلة الدفع]]="تحويل",1,0)</f>
        <v>0</v>
      </c>
      <c r="Q84">
        <f>IF(Table1[[#This Row],[حضر التهيئة]]="نعم",1,0)</f>
        <v>0</v>
      </c>
      <c r="R84">
        <f>IF(Table1[[#This Row],[دورة الفوترة]]="شهري",1,0)</f>
        <v>0</v>
      </c>
    </row>
    <row r="85" spans="1:18" x14ac:dyDescent="0.25">
      <c r="A85" t="s">
        <v>105</v>
      </c>
      <c r="B85" s="1">
        <v>45667</v>
      </c>
      <c r="C85" t="s">
        <v>28</v>
      </c>
      <c r="D85">
        <v>39</v>
      </c>
      <c r="E85" t="s">
        <v>14</v>
      </c>
      <c r="F85">
        <v>15</v>
      </c>
      <c r="G85" t="s">
        <v>15</v>
      </c>
      <c r="H85">
        <v>1</v>
      </c>
      <c r="I85">
        <v>31</v>
      </c>
      <c r="J85">
        <v>0</v>
      </c>
      <c r="K85" t="s">
        <v>17</v>
      </c>
      <c r="L85" t="s">
        <v>17</v>
      </c>
      <c r="M85">
        <f>IF(Table1[[#This Row],[ألغى الاشتراك]]="نعم",1,0)</f>
        <v>0</v>
      </c>
      <c r="N85">
        <f>IF(Table1[[#This Row],[وسيلة الدفع]]="بطاقة",1,0)</f>
        <v>1</v>
      </c>
      <c r="O85">
        <f>IF(Table1[[#This Row],[وسيلة الدفع]]="محفظة",1,0)</f>
        <v>0</v>
      </c>
      <c r="P85">
        <f>IF(Table1[[#This Row],[وسيلة الدفع]]="تحويل",1,0)</f>
        <v>0</v>
      </c>
      <c r="Q85">
        <f>IF(Table1[[#This Row],[حضر التهيئة]]="نعم",1,0)</f>
        <v>0</v>
      </c>
      <c r="R85">
        <f>IF(Table1[[#This Row],[دورة الفوترة]]="شهري",1,0)</f>
        <v>1</v>
      </c>
    </row>
    <row r="86" spans="1:18" x14ac:dyDescent="0.25">
      <c r="A86" t="s">
        <v>106</v>
      </c>
      <c r="B86" s="1">
        <v>45584</v>
      </c>
      <c r="C86" t="s">
        <v>28</v>
      </c>
      <c r="D86">
        <v>39</v>
      </c>
      <c r="E86" t="s">
        <v>20</v>
      </c>
      <c r="F86">
        <v>26</v>
      </c>
      <c r="G86" t="s">
        <v>23</v>
      </c>
      <c r="H86">
        <v>1</v>
      </c>
      <c r="I86">
        <v>28</v>
      </c>
      <c r="J86">
        <v>0</v>
      </c>
      <c r="K86" t="s">
        <v>17</v>
      </c>
      <c r="L86" t="s">
        <v>17</v>
      </c>
      <c r="M86">
        <f>IF(Table1[[#This Row],[ألغى الاشتراك]]="نعم",1,0)</f>
        <v>0</v>
      </c>
      <c r="N86">
        <f>IF(Table1[[#This Row],[وسيلة الدفع]]="بطاقة",1,0)</f>
        <v>0</v>
      </c>
      <c r="O86">
        <f>IF(Table1[[#This Row],[وسيلة الدفع]]="محفظة",1,0)</f>
        <v>0</v>
      </c>
      <c r="P86">
        <f>IF(Table1[[#This Row],[وسيلة الدفع]]="تحويل",1,0)</f>
        <v>1</v>
      </c>
      <c r="Q86">
        <f>IF(Table1[[#This Row],[حضر التهيئة]]="نعم",1,0)</f>
        <v>0</v>
      </c>
      <c r="R86">
        <f>IF(Table1[[#This Row],[دورة الفوترة]]="شهري",1,0)</f>
        <v>0</v>
      </c>
    </row>
    <row r="87" spans="1:18" x14ac:dyDescent="0.25">
      <c r="A87" t="s">
        <v>107</v>
      </c>
      <c r="B87" s="1">
        <v>45973</v>
      </c>
      <c r="C87" t="s">
        <v>13</v>
      </c>
      <c r="D87">
        <v>89</v>
      </c>
      <c r="E87" t="s">
        <v>14</v>
      </c>
      <c r="F87">
        <v>7</v>
      </c>
      <c r="G87" t="s">
        <v>15</v>
      </c>
      <c r="H87">
        <v>1</v>
      </c>
      <c r="I87">
        <v>7</v>
      </c>
      <c r="J87">
        <v>0</v>
      </c>
      <c r="K87" t="s">
        <v>16</v>
      </c>
      <c r="L87" t="s">
        <v>16</v>
      </c>
      <c r="M87">
        <f>IF(Table1[[#This Row],[ألغى الاشتراك]]="نعم",1,0)</f>
        <v>1</v>
      </c>
      <c r="N87">
        <f>IF(Table1[[#This Row],[وسيلة الدفع]]="بطاقة",1,0)</f>
        <v>1</v>
      </c>
      <c r="O87">
        <f>IF(Table1[[#This Row],[وسيلة الدفع]]="محفظة",1,0)</f>
        <v>0</v>
      </c>
      <c r="P87">
        <f>IF(Table1[[#This Row],[وسيلة الدفع]]="تحويل",1,0)</f>
        <v>0</v>
      </c>
      <c r="Q87">
        <f>IF(Table1[[#This Row],[حضر التهيئة]]="نعم",1,0)</f>
        <v>1</v>
      </c>
      <c r="R87">
        <f>IF(Table1[[#This Row],[دورة الفوترة]]="شهري",1,0)</f>
        <v>1</v>
      </c>
    </row>
    <row r="88" spans="1:18" x14ac:dyDescent="0.25">
      <c r="A88" t="s">
        <v>108</v>
      </c>
      <c r="B88" s="1">
        <v>45395</v>
      </c>
      <c r="C88" t="s">
        <v>19</v>
      </c>
      <c r="D88">
        <v>189</v>
      </c>
      <c r="E88" t="s">
        <v>14</v>
      </c>
      <c r="F88">
        <v>26</v>
      </c>
      <c r="G88" t="s">
        <v>21</v>
      </c>
      <c r="H88">
        <v>0</v>
      </c>
      <c r="I88">
        <v>20</v>
      </c>
      <c r="J88">
        <v>0</v>
      </c>
      <c r="K88" t="s">
        <v>17</v>
      </c>
      <c r="L88" t="s">
        <v>17</v>
      </c>
      <c r="M88">
        <f>IF(Table1[[#This Row],[ألغى الاشتراك]]="نعم",1,0)</f>
        <v>0</v>
      </c>
      <c r="N88">
        <f>IF(Table1[[#This Row],[وسيلة الدفع]]="بطاقة",1,0)</f>
        <v>0</v>
      </c>
      <c r="O88">
        <f>IF(Table1[[#This Row],[وسيلة الدفع]]="محفظة",1,0)</f>
        <v>1</v>
      </c>
      <c r="P88">
        <f>IF(Table1[[#This Row],[وسيلة الدفع]]="تحويل",1,0)</f>
        <v>0</v>
      </c>
      <c r="Q88">
        <f>IF(Table1[[#This Row],[حضر التهيئة]]="نعم",1,0)</f>
        <v>0</v>
      </c>
      <c r="R88">
        <f>IF(Table1[[#This Row],[دورة الفوترة]]="شهري",1,0)</f>
        <v>1</v>
      </c>
    </row>
    <row r="89" spans="1:18" x14ac:dyDescent="0.25">
      <c r="A89" t="s">
        <v>109</v>
      </c>
      <c r="B89" s="1">
        <v>45795</v>
      </c>
      <c r="C89" t="s">
        <v>19</v>
      </c>
      <c r="D89">
        <v>189</v>
      </c>
      <c r="E89" t="s">
        <v>14</v>
      </c>
      <c r="F89">
        <v>21</v>
      </c>
      <c r="G89" t="s">
        <v>21</v>
      </c>
      <c r="H89">
        <v>2</v>
      </c>
      <c r="I89">
        <v>13</v>
      </c>
      <c r="J89">
        <v>0</v>
      </c>
      <c r="K89" t="s">
        <v>16</v>
      </c>
      <c r="L89" t="s">
        <v>17</v>
      </c>
      <c r="M89">
        <f>IF(Table1[[#This Row],[ألغى الاشتراك]]="نعم",1,0)</f>
        <v>0</v>
      </c>
      <c r="N89">
        <f>IF(Table1[[#This Row],[وسيلة الدفع]]="بطاقة",1,0)</f>
        <v>0</v>
      </c>
      <c r="O89">
        <f>IF(Table1[[#This Row],[وسيلة الدفع]]="محفظة",1,0)</f>
        <v>1</v>
      </c>
      <c r="P89">
        <f>IF(Table1[[#This Row],[وسيلة الدفع]]="تحويل",1,0)</f>
        <v>0</v>
      </c>
      <c r="Q89">
        <f>IF(Table1[[#This Row],[حضر التهيئة]]="نعم",1,0)</f>
        <v>1</v>
      </c>
      <c r="R89">
        <f>IF(Table1[[#This Row],[دورة الفوترة]]="شهري",1,0)</f>
        <v>1</v>
      </c>
    </row>
    <row r="90" spans="1:18" x14ac:dyDescent="0.25">
      <c r="A90" t="s">
        <v>110</v>
      </c>
      <c r="B90" s="1">
        <v>45584</v>
      </c>
      <c r="C90" t="s">
        <v>13</v>
      </c>
      <c r="D90">
        <v>89</v>
      </c>
      <c r="E90" t="s">
        <v>14</v>
      </c>
      <c r="F90">
        <v>6</v>
      </c>
      <c r="G90" t="s">
        <v>23</v>
      </c>
      <c r="H90">
        <v>3</v>
      </c>
      <c r="I90">
        <v>48</v>
      </c>
      <c r="J90">
        <v>0</v>
      </c>
      <c r="K90" t="s">
        <v>16</v>
      </c>
      <c r="L90" t="s">
        <v>17</v>
      </c>
      <c r="M90">
        <f>IF(Table1[[#This Row],[ألغى الاشتراك]]="نعم",1,0)</f>
        <v>0</v>
      </c>
      <c r="N90">
        <f>IF(Table1[[#This Row],[وسيلة الدفع]]="بطاقة",1,0)</f>
        <v>0</v>
      </c>
      <c r="O90">
        <f>IF(Table1[[#This Row],[وسيلة الدفع]]="محفظة",1,0)</f>
        <v>0</v>
      </c>
      <c r="P90">
        <f>IF(Table1[[#This Row],[وسيلة الدفع]]="تحويل",1,0)</f>
        <v>1</v>
      </c>
      <c r="Q90">
        <f>IF(Table1[[#This Row],[حضر التهيئة]]="نعم",1,0)</f>
        <v>1</v>
      </c>
      <c r="R90">
        <f>IF(Table1[[#This Row],[دورة الفوترة]]="شهري",1,0)</f>
        <v>1</v>
      </c>
    </row>
    <row r="91" spans="1:18" x14ac:dyDescent="0.25">
      <c r="A91" t="s">
        <v>111</v>
      </c>
      <c r="B91" s="1">
        <v>45850</v>
      </c>
      <c r="C91" t="s">
        <v>19</v>
      </c>
      <c r="D91">
        <v>189</v>
      </c>
      <c r="E91" t="s">
        <v>14</v>
      </c>
      <c r="F91">
        <v>19</v>
      </c>
      <c r="G91" t="s">
        <v>23</v>
      </c>
      <c r="H91">
        <v>2</v>
      </c>
      <c r="I91">
        <v>3</v>
      </c>
      <c r="J91">
        <v>0</v>
      </c>
      <c r="K91" t="s">
        <v>16</v>
      </c>
      <c r="L91" t="s">
        <v>17</v>
      </c>
      <c r="M91">
        <f>IF(Table1[[#This Row],[ألغى الاشتراك]]="نعم",1,0)</f>
        <v>0</v>
      </c>
      <c r="N91">
        <f>IF(Table1[[#This Row],[وسيلة الدفع]]="بطاقة",1,0)</f>
        <v>0</v>
      </c>
      <c r="O91">
        <f>IF(Table1[[#This Row],[وسيلة الدفع]]="محفظة",1,0)</f>
        <v>0</v>
      </c>
      <c r="P91">
        <f>IF(Table1[[#This Row],[وسيلة الدفع]]="تحويل",1,0)</f>
        <v>1</v>
      </c>
      <c r="Q91">
        <f>IF(Table1[[#This Row],[حضر التهيئة]]="نعم",1,0)</f>
        <v>1</v>
      </c>
      <c r="R91">
        <f>IF(Table1[[#This Row],[دورة الفوترة]]="شهري",1,0)</f>
        <v>1</v>
      </c>
    </row>
    <row r="92" spans="1:18" x14ac:dyDescent="0.25">
      <c r="A92" t="s">
        <v>112</v>
      </c>
      <c r="B92" s="1">
        <v>45521</v>
      </c>
      <c r="C92" t="s">
        <v>19</v>
      </c>
      <c r="D92">
        <v>189</v>
      </c>
      <c r="E92" t="s">
        <v>14</v>
      </c>
      <c r="F92">
        <v>18</v>
      </c>
      <c r="G92" t="s">
        <v>23</v>
      </c>
      <c r="H92">
        <v>0</v>
      </c>
      <c r="I92">
        <v>46</v>
      </c>
      <c r="J92">
        <v>0</v>
      </c>
      <c r="K92" t="s">
        <v>16</v>
      </c>
      <c r="L92" t="s">
        <v>17</v>
      </c>
      <c r="M92">
        <f>IF(Table1[[#This Row],[ألغى الاشتراك]]="نعم",1,0)</f>
        <v>0</v>
      </c>
      <c r="N92">
        <f>IF(Table1[[#This Row],[وسيلة الدفع]]="بطاقة",1,0)</f>
        <v>0</v>
      </c>
      <c r="O92">
        <f>IF(Table1[[#This Row],[وسيلة الدفع]]="محفظة",1,0)</f>
        <v>0</v>
      </c>
      <c r="P92">
        <f>IF(Table1[[#This Row],[وسيلة الدفع]]="تحويل",1,0)</f>
        <v>1</v>
      </c>
      <c r="Q92">
        <f>IF(Table1[[#This Row],[حضر التهيئة]]="نعم",1,0)</f>
        <v>1</v>
      </c>
      <c r="R92">
        <f>IF(Table1[[#This Row],[دورة الفوترة]]="شهري",1,0)</f>
        <v>1</v>
      </c>
    </row>
    <row r="93" spans="1:18" x14ac:dyDescent="0.25">
      <c r="A93" t="s">
        <v>113</v>
      </c>
      <c r="B93" s="1">
        <v>45787</v>
      </c>
      <c r="C93" t="s">
        <v>13</v>
      </c>
      <c r="D93">
        <v>89</v>
      </c>
      <c r="E93" t="s">
        <v>20</v>
      </c>
      <c r="F93">
        <v>29</v>
      </c>
      <c r="G93" t="s">
        <v>23</v>
      </c>
      <c r="H93">
        <v>9</v>
      </c>
      <c r="I93">
        <v>21</v>
      </c>
      <c r="J93">
        <v>0</v>
      </c>
      <c r="K93" t="s">
        <v>17</v>
      </c>
      <c r="L93" t="s">
        <v>17</v>
      </c>
      <c r="M93">
        <f>IF(Table1[[#This Row],[ألغى الاشتراك]]="نعم",1,0)</f>
        <v>0</v>
      </c>
      <c r="N93">
        <f>IF(Table1[[#This Row],[وسيلة الدفع]]="بطاقة",1,0)</f>
        <v>0</v>
      </c>
      <c r="O93">
        <f>IF(Table1[[#This Row],[وسيلة الدفع]]="محفظة",1,0)</f>
        <v>0</v>
      </c>
      <c r="P93">
        <f>IF(Table1[[#This Row],[وسيلة الدفع]]="تحويل",1,0)</f>
        <v>1</v>
      </c>
      <c r="Q93">
        <f>IF(Table1[[#This Row],[حضر التهيئة]]="نعم",1,0)</f>
        <v>0</v>
      </c>
      <c r="R93">
        <f>IF(Table1[[#This Row],[دورة الفوترة]]="شهري",1,0)</f>
        <v>0</v>
      </c>
    </row>
    <row r="94" spans="1:18" x14ac:dyDescent="0.25">
      <c r="A94" t="s">
        <v>114</v>
      </c>
      <c r="B94" s="1">
        <v>45450</v>
      </c>
      <c r="C94" t="s">
        <v>28</v>
      </c>
      <c r="D94">
        <v>39</v>
      </c>
      <c r="E94" t="s">
        <v>14</v>
      </c>
      <c r="F94">
        <v>20</v>
      </c>
      <c r="G94" t="s">
        <v>23</v>
      </c>
      <c r="H94">
        <v>9</v>
      </c>
      <c r="I94">
        <v>20</v>
      </c>
      <c r="J94">
        <v>0</v>
      </c>
      <c r="K94" t="s">
        <v>17</v>
      </c>
      <c r="L94" t="s">
        <v>17</v>
      </c>
      <c r="M94">
        <f>IF(Table1[[#This Row],[ألغى الاشتراك]]="نعم",1,0)</f>
        <v>0</v>
      </c>
      <c r="N94">
        <f>IF(Table1[[#This Row],[وسيلة الدفع]]="بطاقة",1,0)</f>
        <v>0</v>
      </c>
      <c r="O94">
        <f>IF(Table1[[#This Row],[وسيلة الدفع]]="محفظة",1,0)</f>
        <v>0</v>
      </c>
      <c r="P94">
        <f>IF(Table1[[#This Row],[وسيلة الدفع]]="تحويل",1,0)</f>
        <v>1</v>
      </c>
      <c r="Q94">
        <f>IF(Table1[[#This Row],[حضر التهيئة]]="نعم",1,0)</f>
        <v>0</v>
      </c>
      <c r="R94">
        <f>IF(Table1[[#This Row],[دورة الفوترة]]="شهري",1,0)</f>
        <v>1</v>
      </c>
    </row>
    <row r="95" spans="1:18" x14ac:dyDescent="0.25">
      <c r="A95" t="s">
        <v>115</v>
      </c>
      <c r="B95" s="1">
        <v>45740</v>
      </c>
      <c r="C95" t="s">
        <v>19</v>
      </c>
      <c r="D95">
        <v>189</v>
      </c>
      <c r="E95" t="s">
        <v>20</v>
      </c>
      <c r="F95">
        <v>17</v>
      </c>
      <c r="G95" t="s">
        <v>15</v>
      </c>
      <c r="H95">
        <v>8</v>
      </c>
      <c r="I95">
        <v>53</v>
      </c>
      <c r="J95">
        <v>0</v>
      </c>
      <c r="K95" t="s">
        <v>16</v>
      </c>
      <c r="L95" t="s">
        <v>16</v>
      </c>
      <c r="M95">
        <f>IF(Table1[[#This Row],[ألغى الاشتراك]]="نعم",1,0)</f>
        <v>1</v>
      </c>
      <c r="N95">
        <f>IF(Table1[[#This Row],[وسيلة الدفع]]="بطاقة",1,0)</f>
        <v>1</v>
      </c>
      <c r="O95">
        <f>IF(Table1[[#This Row],[وسيلة الدفع]]="محفظة",1,0)</f>
        <v>0</v>
      </c>
      <c r="P95">
        <f>IF(Table1[[#This Row],[وسيلة الدفع]]="تحويل",1,0)</f>
        <v>0</v>
      </c>
      <c r="Q95">
        <f>IF(Table1[[#This Row],[حضر التهيئة]]="نعم",1,0)</f>
        <v>1</v>
      </c>
      <c r="R95">
        <f>IF(Table1[[#This Row],[دورة الفوترة]]="شهري",1,0)</f>
        <v>0</v>
      </c>
    </row>
    <row r="96" spans="1:18" x14ac:dyDescent="0.25">
      <c r="A96" t="s">
        <v>116</v>
      </c>
      <c r="B96" s="1">
        <v>45639</v>
      </c>
      <c r="C96" t="s">
        <v>13</v>
      </c>
      <c r="D96">
        <v>89</v>
      </c>
      <c r="E96" t="s">
        <v>14</v>
      </c>
      <c r="F96">
        <v>12</v>
      </c>
      <c r="G96" t="s">
        <v>15</v>
      </c>
      <c r="H96">
        <v>1</v>
      </c>
      <c r="I96">
        <v>10</v>
      </c>
      <c r="J96">
        <v>0</v>
      </c>
      <c r="K96" t="s">
        <v>17</v>
      </c>
      <c r="L96" t="s">
        <v>17</v>
      </c>
      <c r="M96">
        <f>IF(Table1[[#This Row],[ألغى الاشتراك]]="نعم",1,0)</f>
        <v>0</v>
      </c>
      <c r="N96">
        <f>IF(Table1[[#This Row],[وسيلة الدفع]]="بطاقة",1,0)</f>
        <v>1</v>
      </c>
      <c r="O96">
        <f>IF(Table1[[#This Row],[وسيلة الدفع]]="محفظة",1,0)</f>
        <v>0</v>
      </c>
      <c r="P96">
        <f>IF(Table1[[#This Row],[وسيلة الدفع]]="تحويل",1,0)</f>
        <v>0</v>
      </c>
      <c r="Q96">
        <f>IF(Table1[[#This Row],[حضر التهيئة]]="نعم",1,0)</f>
        <v>0</v>
      </c>
      <c r="R96">
        <f>IF(Table1[[#This Row],[دورة الفوترة]]="شهري",1,0)</f>
        <v>1</v>
      </c>
    </row>
    <row r="97" spans="1:18" x14ac:dyDescent="0.25">
      <c r="A97" t="s">
        <v>117</v>
      </c>
      <c r="B97" s="1">
        <v>45588</v>
      </c>
      <c r="C97" t="s">
        <v>28</v>
      </c>
      <c r="D97">
        <v>39</v>
      </c>
      <c r="E97" t="s">
        <v>20</v>
      </c>
      <c r="F97">
        <v>21</v>
      </c>
      <c r="G97" t="s">
        <v>21</v>
      </c>
      <c r="H97">
        <v>2</v>
      </c>
      <c r="I97">
        <v>37</v>
      </c>
      <c r="J97">
        <v>10</v>
      </c>
      <c r="K97" t="s">
        <v>17</v>
      </c>
      <c r="L97" t="s">
        <v>17</v>
      </c>
      <c r="M97">
        <f>IF(Table1[[#This Row],[ألغى الاشتراك]]="نعم",1,0)</f>
        <v>0</v>
      </c>
      <c r="N97">
        <f>IF(Table1[[#This Row],[وسيلة الدفع]]="بطاقة",1,0)</f>
        <v>0</v>
      </c>
      <c r="O97">
        <f>IF(Table1[[#This Row],[وسيلة الدفع]]="محفظة",1,0)</f>
        <v>1</v>
      </c>
      <c r="P97">
        <f>IF(Table1[[#This Row],[وسيلة الدفع]]="تحويل",1,0)</f>
        <v>0</v>
      </c>
      <c r="Q97">
        <f>IF(Table1[[#This Row],[حضر التهيئة]]="نعم",1,0)</f>
        <v>0</v>
      </c>
      <c r="R97">
        <f>IF(Table1[[#This Row],[دورة الفوترة]]="شهري",1,0)</f>
        <v>0</v>
      </c>
    </row>
    <row r="98" spans="1:18" x14ac:dyDescent="0.25">
      <c r="A98" t="s">
        <v>118</v>
      </c>
      <c r="B98" s="1">
        <v>45866</v>
      </c>
      <c r="C98" t="s">
        <v>19</v>
      </c>
      <c r="D98">
        <v>189</v>
      </c>
      <c r="E98" t="s">
        <v>14</v>
      </c>
      <c r="F98">
        <v>25</v>
      </c>
      <c r="G98" t="s">
        <v>21</v>
      </c>
      <c r="H98">
        <v>1</v>
      </c>
      <c r="I98">
        <v>15</v>
      </c>
      <c r="J98">
        <v>0</v>
      </c>
      <c r="K98" t="s">
        <v>16</v>
      </c>
      <c r="L98" t="s">
        <v>16</v>
      </c>
      <c r="M98">
        <f>IF(Table1[[#This Row],[ألغى الاشتراك]]="نعم",1,0)</f>
        <v>1</v>
      </c>
      <c r="N98">
        <f>IF(Table1[[#This Row],[وسيلة الدفع]]="بطاقة",1,0)</f>
        <v>0</v>
      </c>
      <c r="O98">
        <f>IF(Table1[[#This Row],[وسيلة الدفع]]="محفظة",1,0)</f>
        <v>1</v>
      </c>
      <c r="P98">
        <f>IF(Table1[[#This Row],[وسيلة الدفع]]="تحويل",1,0)</f>
        <v>0</v>
      </c>
      <c r="Q98">
        <f>IF(Table1[[#This Row],[حضر التهيئة]]="نعم",1,0)</f>
        <v>1</v>
      </c>
      <c r="R98">
        <f>IF(Table1[[#This Row],[دورة الفوترة]]="شهري",1,0)</f>
        <v>1</v>
      </c>
    </row>
    <row r="99" spans="1:18" x14ac:dyDescent="0.25">
      <c r="A99" t="s">
        <v>119</v>
      </c>
      <c r="B99" s="1">
        <v>45517</v>
      </c>
      <c r="C99" t="s">
        <v>28</v>
      </c>
      <c r="D99">
        <v>39</v>
      </c>
      <c r="E99" t="s">
        <v>20</v>
      </c>
      <c r="F99">
        <v>10</v>
      </c>
      <c r="G99" t="s">
        <v>23</v>
      </c>
      <c r="H99">
        <v>1</v>
      </c>
      <c r="I99">
        <v>44</v>
      </c>
      <c r="J99">
        <v>0</v>
      </c>
      <c r="K99" t="s">
        <v>17</v>
      </c>
      <c r="L99" t="s">
        <v>17</v>
      </c>
      <c r="M99">
        <f>IF(Table1[[#This Row],[ألغى الاشتراك]]="نعم",1,0)</f>
        <v>0</v>
      </c>
      <c r="N99">
        <f>IF(Table1[[#This Row],[وسيلة الدفع]]="بطاقة",1,0)</f>
        <v>0</v>
      </c>
      <c r="O99">
        <f>IF(Table1[[#This Row],[وسيلة الدفع]]="محفظة",1,0)</f>
        <v>0</v>
      </c>
      <c r="P99">
        <f>IF(Table1[[#This Row],[وسيلة الدفع]]="تحويل",1,0)</f>
        <v>1</v>
      </c>
      <c r="Q99">
        <f>IF(Table1[[#This Row],[حضر التهيئة]]="نعم",1,0)</f>
        <v>0</v>
      </c>
      <c r="R99">
        <f>IF(Table1[[#This Row],[دورة الفوترة]]="شهري",1,0)</f>
        <v>0</v>
      </c>
    </row>
    <row r="100" spans="1:18" x14ac:dyDescent="0.25">
      <c r="A100" t="s">
        <v>120</v>
      </c>
      <c r="B100" s="1">
        <v>45803</v>
      </c>
      <c r="C100" t="s">
        <v>19</v>
      </c>
      <c r="D100">
        <v>189</v>
      </c>
      <c r="E100" t="s">
        <v>14</v>
      </c>
      <c r="F100">
        <v>19</v>
      </c>
      <c r="G100" t="s">
        <v>23</v>
      </c>
      <c r="H100">
        <v>0</v>
      </c>
      <c r="I100">
        <v>57</v>
      </c>
      <c r="J100">
        <v>0</v>
      </c>
      <c r="K100" t="s">
        <v>16</v>
      </c>
      <c r="L100" t="s">
        <v>17</v>
      </c>
      <c r="M100">
        <f>IF(Table1[[#This Row],[ألغى الاشتراك]]="نعم",1,0)</f>
        <v>0</v>
      </c>
      <c r="N100">
        <f>IF(Table1[[#This Row],[وسيلة الدفع]]="بطاقة",1,0)</f>
        <v>0</v>
      </c>
      <c r="O100">
        <f>IF(Table1[[#This Row],[وسيلة الدفع]]="محفظة",1,0)</f>
        <v>0</v>
      </c>
      <c r="P100">
        <f>IF(Table1[[#This Row],[وسيلة الدفع]]="تحويل",1,0)</f>
        <v>1</v>
      </c>
      <c r="Q100">
        <f>IF(Table1[[#This Row],[حضر التهيئة]]="نعم",1,0)</f>
        <v>1</v>
      </c>
      <c r="R100">
        <f>IF(Table1[[#This Row],[دورة الفوترة]]="شهري",1,0)</f>
        <v>1</v>
      </c>
    </row>
    <row r="101" spans="1:18" x14ac:dyDescent="0.25">
      <c r="A101" t="s">
        <v>121</v>
      </c>
      <c r="B101" s="1">
        <v>45470</v>
      </c>
      <c r="C101" t="s">
        <v>13</v>
      </c>
      <c r="D101">
        <v>89</v>
      </c>
      <c r="E101" t="s">
        <v>14</v>
      </c>
      <c r="F101">
        <v>24</v>
      </c>
      <c r="G101" t="s">
        <v>21</v>
      </c>
      <c r="H101">
        <v>8</v>
      </c>
      <c r="I101">
        <v>30</v>
      </c>
      <c r="J101">
        <v>0</v>
      </c>
      <c r="K101" t="s">
        <v>17</v>
      </c>
      <c r="L101" t="s">
        <v>17</v>
      </c>
      <c r="M101">
        <f>IF(Table1[[#This Row],[ألغى الاشتراك]]="نعم",1,0)</f>
        <v>0</v>
      </c>
      <c r="N101">
        <f>IF(Table1[[#This Row],[وسيلة الدفع]]="بطاقة",1,0)</f>
        <v>0</v>
      </c>
      <c r="O101">
        <f>IF(Table1[[#This Row],[وسيلة الدفع]]="محفظة",1,0)</f>
        <v>1</v>
      </c>
      <c r="P101">
        <f>IF(Table1[[#This Row],[وسيلة الدفع]]="تحويل",1,0)</f>
        <v>0</v>
      </c>
      <c r="Q101">
        <f>IF(Table1[[#This Row],[حضر التهيئة]]="نعم",1,0)</f>
        <v>0</v>
      </c>
      <c r="R101">
        <f>IF(Table1[[#This Row],[دورة الفوترة]]="شهري",1,0)</f>
        <v>1</v>
      </c>
    </row>
    <row r="102" spans="1:18" x14ac:dyDescent="0.25">
      <c r="A102" t="s">
        <v>122</v>
      </c>
      <c r="B102" s="1">
        <v>45965</v>
      </c>
      <c r="C102" t="s">
        <v>28</v>
      </c>
      <c r="D102">
        <v>39</v>
      </c>
      <c r="E102" t="s">
        <v>20</v>
      </c>
      <c r="F102">
        <v>25</v>
      </c>
      <c r="G102" t="s">
        <v>21</v>
      </c>
      <c r="H102">
        <v>2</v>
      </c>
      <c r="I102">
        <v>43</v>
      </c>
      <c r="J102">
        <v>0</v>
      </c>
      <c r="K102" t="s">
        <v>17</v>
      </c>
      <c r="L102" t="s">
        <v>17</v>
      </c>
      <c r="M102">
        <f>IF(Table1[[#This Row],[ألغى الاشتراك]]="نعم",1,0)</f>
        <v>0</v>
      </c>
      <c r="N102">
        <f>IF(Table1[[#This Row],[وسيلة الدفع]]="بطاقة",1,0)</f>
        <v>0</v>
      </c>
      <c r="O102">
        <f>IF(Table1[[#This Row],[وسيلة الدفع]]="محفظة",1,0)</f>
        <v>1</v>
      </c>
      <c r="P102">
        <f>IF(Table1[[#This Row],[وسيلة الدفع]]="تحويل",1,0)</f>
        <v>0</v>
      </c>
      <c r="Q102">
        <f>IF(Table1[[#This Row],[حضر التهيئة]]="نعم",1,0)</f>
        <v>0</v>
      </c>
      <c r="R102">
        <f>IF(Table1[[#This Row],[دورة الفوترة]]="شهري",1,0)</f>
        <v>0</v>
      </c>
    </row>
    <row r="103" spans="1:18" x14ac:dyDescent="0.25">
      <c r="A103" t="s">
        <v>123</v>
      </c>
      <c r="B103" s="1">
        <v>45407</v>
      </c>
      <c r="C103" t="s">
        <v>13</v>
      </c>
      <c r="D103">
        <v>89</v>
      </c>
      <c r="E103" t="s">
        <v>14</v>
      </c>
      <c r="F103">
        <v>16</v>
      </c>
      <c r="G103" t="s">
        <v>15</v>
      </c>
      <c r="H103">
        <v>1</v>
      </c>
      <c r="I103">
        <v>30</v>
      </c>
      <c r="J103">
        <v>0</v>
      </c>
      <c r="K103" t="s">
        <v>17</v>
      </c>
      <c r="L103" t="s">
        <v>17</v>
      </c>
      <c r="M103">
        <f>IF(Table1[[#This Row],[ألغى الاشتراك]]="نعم",1,0)</f>
        <v>0</v>
      </c>
      <c r="N103">
        <f>IF(Table1[[#This Row],[وسيلة الدفع]]="بطاقة",1,0)</f>
        <v>1</v>
      </c>
      <c r="O103">
        <f>IF(Table1[[#This Row],[وسيلة الدفع]]="محفظة",1,0)</f>
        <v>0</v>
      </c>
      <c r="P103">
        <f>IF(Table1[[#This Row],[وسيلة الدفع]]="تحويل",1,0)</f>
        <v>0</v>
      </c>
      <c r="Q103">
        <f>IF(Table1[[#This Row],[حضر التهيئة]]="نعم",1,0)</f>
        <v>0</v>
      </c>
      <c r="R103">
        <f>IF(Table1[[#This Row],[دورة الفوترة]]="شهري",1,0)</f>
        <v>1</v>
      </c>
    </row>
    <row r="104" spans="1:18" x14ac:dyDescent="0.25">
      <c r="A104" t="s">
        <v>124</v>
      </c>
      <c r="B104" s="1">
        <v>45683</v>
      </c>
      <c r="C104" t="s">
        <v>13</v>
      </c>
      <c r="D104">
        <v>89</v>
      </c>
      <c r="E104" t="s">
        <v>14</v>
      </c>
      <c r="F104">
        <v>25</v>
      </c>
      <c r="G104" t="s">
        <v>21</v>
      </c>
      <c r="H104">
        <v>1</v>
      </c>
      <c r="I104">
        <v>23</v>
      </c>
      <c r="J104">
        <v>0</v>
      </c>
      <c r="K104" t="s">
        <v>17</v>
      </c>
      <c r="L104" t="s">
        <v>17</v>
      </c>
      <c r="M104">
        <f>IF(Table1[[#This Row],[ألغى الاشتراك]]="نعم",1,0)</f>
        <v>0</v>
      </c>
      <c r="N104">
        <f>IF(Table1[[#This Row],[وسيلة الدفع]]="بطاقة",1,0)</f>
        <v>0</v>
      </c>
      <c r="O104">
        <f>IF(Table1[[#This Row],[وسيلة الدفع]]="محفظة",1,0)</f>
        <v>1</v>
      </c>
      <c r="P104">
        <f>IF(Table1[[#This Row],[وسيلة الدفع]]="تحويل",1,0)</f>
        <v>0</v>
      </c>
      <c r="Q104">
        <f>IF(Table1[[#This Row],[حضر التهيئة]]="نعم",1,0)</f>
        <v>0</v>
      </c>
      <c r="R104">
        <f>IF(Table1[[#This Row],[دورة الفوترة]]="شهري",1,0)</f>
        <v>1</v>
      </c>
    </row>
    <row r="105" spans="1:18" x14ac:dyDescent="0.25">
      <c r="A105" t="s">
        <v>125</v>
      </c>
      <c r="B105" s="1">
        <v>45744</v>
      </c>
      <c r="C105" t="s">
        <v>19</v>
      </c>
      <c r="D105">
        <v>189</v>
      </c>
      <c r="E105" t="s">
        <v>14</v>
      </c>
      <c r="F105">
        <v>22</v>
      </c>
      <c r="G105" t="s">
        <v>23</v>
      </c>
      <c r="H105">
        <v>3</v>
      </c>
      <c r="I105">
        <v>44</v>
      </c>
      <c r="J105">
        <v>15</v>
      </c>
      <c r="K105" t="s">
        <v>17</v>
      </c>
      <c r="L105" t="s">
        <v>17</v>
      </c>
      <c r="M105">
        <f>IF(Table1[[#This Row],[ألغى الاشتراك]]="نعم",1,0)</f>
        <v>0</v>
      </c>
      <c r="N105">
        <f>IF(Table1[[#This Row],[وسيلة الدفع]]="بطاقة",1,0)</f>
        <v>0</v>
      </c>
      <c r="O105">
        <f>IF(Table1[[#This Row],[وسيلة الدفع]]="محفظة",1,0)</f>
        <v>0</v>
      </c>
      <c r="P105">
        <f>IF(Table1[[#This Row],[وسيلة الدفع]]="تحويل",1,0)</f>
        <v>1</v>
      </c>
      <c r="Q105">
        <f>IF(Table1[[#This Row],[حضر التهيئة]]="نعم",1,0)</f>
        <v>0</v>
      </c>
      <c r="R105">
        <f>IF(Table1[[#This Row],[دورة الفوترة]]="شهري",1,0)</f>
        <v>1</v>
      </c>
    </row>
    <row r="106" spans="1:18" x14ac:dyDescent="0.25">
      <c r="A106" t="s">
        <v>126</v>
      </c>
      <c r="B106" s="1">
        <v>45902</v>
      </c>
      <c r="C106" t="s">
        <v>28</v>
      </c>
      <c r="D106">
        <v>39</v>
      </c>
      <c r="E106" t="s">
        <v>20</v>
      </c>
      <c r="F106">
        <v>16</v>
      </c>
      <c r="G106" t="s">
        <v>15</v>
      </c>
      <c r="H106">
        <v>0</v>
      </c>
      <c r="I106">
        <v>50</v>
      </c>
      <c r="J106">
        <v>5</v>
      </c>
      <c r="K106" t="s">
        <v>16</v>
      </c>
      <c r="L106" t="s">
        <v>17</v>
      </c>
      <c r="M106">
        <f>IF(Table1[[#This Row],[ألغى الاشتراك]]="نعم",1,0)</f>
        <v>0</v>
      </c>
      <c r="N106">
        <f>IF(Table1[[#This Row],[وسيلة الدفع]]="بطاقة",1,0)</f>
        <v>1</v>
      </c>
      <c r="O106">
        <f>IF(Table1[[#This Row],[وسيلة الدفع]]="محفظة",1,0)</f>
        <v>0</v>
      </c>
      <c r="P106">
        <f>IF(Table1[[#This Row],[وسيلة الدفع]]="تحويل",1,0)</f>
        <v>0</v>
      </c>
      <c r="Q106">
        <f>IF(Table1[[#This Row],[حضر التهيئة]]="نعم",1,0)</f>
        <v>1</v>
      </c>
      <c r="R106">
        <f>IF(Table1[[#This Row],[دورة الفوترة]]="شهري",1,0)</f>
        <v>0</v>
      </c>
    </row>
    <row r="107" spans="1:18" x14ac:dyDescent="0.25">
      <c r="A107" t="s">
        <v>127</v>
      </c>
      <c r="B107" s="1">
        <v>45325</v>
      </c>
      <c r="C107" t="s">
        <v>28</v>
      </c>
      <c r="D107">
        <v>39</v>
      </c>
      <c r="E107" t="s">
        <v>14</v>
      </c>
      <c r="F107">
        <v>28</v>
      </c>
      <c r="G107" t="s">
        <v>15</v>
      </c>
      <c r="H107">
        <v>2</v>
      </c>
      <c r="I107">
        <v>10</v>
      </c>
      <c r="J107">
        <v>0</v>
      </c>
      <c r="K107" t="s">
        <v>17</v>
      </c>
      <c r="L107" t="s">
        <v>16</v>
      </c>
      <c r="M107">
        <f>IF(Table1[[#This Row],[ألغى الاشتراك]]="نعم",1,0)</f>
        <v>1</v>
      </c>
      <c r="N107">
        <f>IF(Table1[[#This Row],[وسيلة الدفع]]="بطاقة",1,0)</f>
        <v>1</v>
      </c>
      <c r="O107">
        <f>IF(Table1[[#This Row],[وسيلة الدفع]]="محفظة",1,0)</f>
        <v>0</v>
      </c>
      <c r="P107">
        <f>IF(Table1[[#This Row],[وسيلة الدفع]]="تحويل",1,0)</f>
        <v>0</v>
      </c>
      <c r="Q107">
        <f>IF(Table1[[#This Row],[حضر التهيئة]]="نعم",1,0)</f>
        <v>0</v>
      </c>
      <c r="R107">
        <f>IF(Table1[[#This Row],[دورة الفوترة]]="شهري",1,0)</f>
        <v>1</v>
      </c>
    </row>
    <row r="108" spans="1:18" x14ac:dyDescent="0.25">
      <c r="A108" t="s">
        <v>128</v>
      </c>
      <c r="B108" s="1">
        <v>45517</v>
      </c>
      <c r="C108" t="s">
        <v>19</v>
      </c>
      <c r="D108">
        <v>189</v>
      </c>
      <c r="E108" t="s">
        <v>20</v>
      </c>
      <c r="F108">
        <v>19</v>
      </c>
      <c r="G108" t="s">
        <v>23</v>
      </c>
      <c r="H108">
        <v>0</v>
      </c>
      <c r="I108">
        <v>51</v>
      </c>
      <c r="J108">
        <v>25</v>
      </c>
      <c r="K108" t="s">
        <v>17</v>
      </c>
      <c r="L108" t="s">
        <v>17</v>
      </c>
      <c r="M108">
        <f>IF(Table1[[#This Row],[ألغى الاشتراك]]="نعم",1,0)</f>
        <v>0</v>
      </c>
      <c r="N108">
        <f>IF(Table1[[#This Row],[وسيلة الدفع]]="بطاقة",1,0)</f>
        <v>0</v>
      </c>
      <c r="O108">
        <f>IF(Table1[[#This Row],[وسيلة الدفع]]="محفظة",1,0)</f>
        <v>0</v>
      </c>
      <c r="P108">
        <f>IF(Table1[[#This Row],[وسيلة الدفع]]="تحويل",1,0)</f>
        <v>1</v>
      </c>
      <c r="Q108">
        <f>IF(Table1[[#This Row],[حضر التهيئة]]="نعم",1,0)</f>
        <v>0</v>
      </c>
      <c r="R108">
        <f>IF(Table1[[#This Row],[دورة الفوترة]]="شهري",1,0)</f>
        <v>0</v>
      </c>
    </row>
    <row r="109" spans="1:18" x14ac:dyDescent="0.25">
      <c r="A109" t="s">
        <v>129</v>
      </c>
      <c r="B109" s="1">
        <v>45341</v>
      </c>
      <c r="C109" t="s">
        <v>13</v>
      </c>
      <c r="D109">
        <v>89</v>
      </c>
      <c r="E109" t="s">
        <v>14</v>
      </c>
      <c r="F109">
        <v>15</v>
      </c>
      <c r="G109" t="s">
        <v>15</v>
      </c>
      <c r="H109">
        <v>0</v>
      </c>
      <c r="I109">
        <v>7</v>
      </c>
      <c r="J109">
        <v>10</v>
      </c>
      <c r="K109" t="s">
        <v>16</v>
      </c>
      <c r="L109" t="s">
        <v>17</v>
      </c>
      <c r="M109">
        <f>IF(Table1[[#This Row],[ألغى الاشتراك]]="نعم",1,0)</f>
        <v>0</v>
      </c>
      <c r="N109">
        <f>IF(Table1[[#This Row],[وسيلة الدفع]]="بطاقة",1,0)</f>
        <v>1</v>
      </c>
      <c r="O109">
        <f>IF(Table1[[#This Row],[وسيلة الدفع]]="محفظة",1,0)</f>
        <v>0</v>
      </c>
      <c r="P109">
        <f>IF(Table1[[#This Row],[وسيلة الدفع]]="تحويل",1,0)</f>
        <v>0</v>
      </c>
      <c r="Q109">
        <f>IF(Table1[[#This Row],[حضر التهيئة]]="نعم",1,0)</f>
        <v>1</v>
      </c>
      <c r="R109">
        <f>IF(Table1[[#This Row],[دورة الفوترة]]="شهري",1,0)</f>
        <v>1</v>
      </c>
    </row>
    <row r="110" spans="1:18" x14ac:dyDescent="0.25">
      <c r="A110" t="s">
        <v>130</v>
      </c>
      <c r="B110" s="1">
        <v>45858</v>
      </c>
      <c r="C110" t="s">
        <v>13</v>
      </c>
      <c r="D110">
        <v>89</v>
      </c>
      <c r="E110" t="s">
        <v>14</v>
      </c>
      <c r="F110">
        <v>27</v>
      </c>
      <c r="G110" t="s">
        <v>15</v>
      </c>
      <c r="H110">
        <v>6</v>
      </c>
      <c r="I110">
        <v>49</v>
      </c>
      <c r="J110">
        <v>0</v>
      </c>
      <c r="K110" t="s">
        <v>17</v>
      </c>
      <c r="L110" t="s">
        <v>17</v>
      </c>
      <c r="M110">
        <f>IF(Table1[[#This Row],[ألغى الاشتراك]]="نعم",1,0)</f>
        <v>0</v>
      </c>
      <c r="N110">
        <f>IF(Table1[[#This Row],[وسيلة الدفع]]="بطاقة",1,0)</f>
        <v>1</v>
      </c>
      <c r="O110">
        <f>IF(Table1[[#This Row],[وسيلة الدفع]]="محفظة",1,0)</f>
        <v>0</v>
      </c>
      <c r="P110">
        <f>IF(Table1[[#This Row],[وسيلة الدفع]]="تحويل",1,0)</f>
        <v>0</v>
      </c>
      <c r="Q110">
        <f>IF(Table1[[#This Row],[حضر التهيئة]]="نعم",1,0)</f>
        <v>0</v>
      </c>
      <c r="R110">
        <f>IF(Table1[[#This Row],[دورة الفوترة]]="شهري",1,0)</f>
        <v>1</v>
      </c>
    </row>
    <row r="111" spans="1:18" x14ac:dyDescent="0.25">
      <c r="A111" t="s">
        <v>131</v>
      </c>
      <c r="B111" s="1">
        <v>45918</v>
      </c>
      <c r="C111" t="s">
        <v>28</v>
      </c>
      <c r="D111">
        <v>39</v>
      </c>
      <c r="E111" t="s">
        <v>14</v>
      </c>
      <c r="F111">
        <v>22</v>
      </c>
      <c r="G111" t="s">
        <v>21</v>
      </c>
      <c r="H111">
        <v>2</v>
      </c>
      <c r="I111">
        <v>32</v>
      </c>
      <c r="J111">
        <v>5</v>
      </c>
      <c r="K111" t="s">
        <v>17</v>
      </c>
      <c r="L111" t="s">
        <v>16</v>
      </c>
      <c r="M111">
        <f>IF(Table1[[#This Row],[ألغى الاشتراك]]="نعم",1,0)</f>
        <v>1</v>
      </c>
      <c r="N111">
        <f>IF(Table1[[#This Row],[وسيلة الدفع]]="بطاقة",1,0)</f>
        <v>0</v>
      </c>
      <c r="O111">
        <f>IF(Table1[[#This Row],[وسيلة الدفع]]="محفظة",1,0)</f>
        <v>1</v>
      </c>
      <c r="P111">
        <f>IF(Table1[[#This Row],[وسيلة الدفع]]="تحويل",1,0)</f>
        <v>0</v>
      </c>
      <c r="Q111">
        <f>IF(Table1[[#This Row],[حضر التهيئة]]="نعم",1,0)</f>
        <v>0</v>
      </c>
      <c r="R111">
        <f>IF(Table1[[#This Row],[دورة الفوترة]]="شهري",1,0)</f>
        <v>1</v>
      </c>
    </row>
    <row r="112" spans="1:18" x14ac:dyDescent="0.25">
      <c r="A112" t="s">
        <v>132</v>
      </c>
      <c r="B112" s="1">
        <v>45329</v>
      </c>
      <c r="C112" t="s">
        <v>13</v>
      </c>
      <c r="D112">
        <v>89</v>
      </c>
      <c r="E112" t="s">
        <v>14</v>
      </c>
      <c r="F112">
        <v>12</v>
      </c>
      <c r="G112" t="s">
        <v>15</v>
      </c>
      <c r="H112">
        <v>2</v>
      </c>
      <c r="I112">
        <v>50</v>
      </c>
      <c r="J112">
        <v>0</v>
      </c>
      <c r="K112" t="s">
        <v>16</v>
      </c>
      <c r="L112" t="s">
        <v>17</v>
      </c>
      <c r="M112">
        <f>IF(Table1[[#This Row],[ألغى الاشتراك]]="نعم",1,0)</f>
        <v>0</v>
      </c>
      <c r="N112">
        <f>IF(Table1[[#This Row],[وسيلة الدفع]]="بطاقة",1,0)</f>
        <v>1</v>
      </c>
      <c r="O112">
        <f>IF(Table1[[#This Row],[وسيلة الدفع]]="محفظة",1,0)</f>
        <v>0</v>
      </c>
      <c r="P112">
        <f>IF(Table1[[#This Row],[وسيلة الدفع]]="تحويل",1,0)</f>
        <v>0</v>
      </c>
      <c r="Q112">
        <f>IF(Table1[[#This Row],[حضر التهيئة]]="نعم",1,0)</f>
        <v>1</v>
      </c>
      <c r="R112">
        <f>IF(Table1[[#This Row],[دورة الفوترة]]="شهري",1,0)</f>
        <v>1</v>
      </c>
    </row>
    <row r="113" spans="1:18" x14ac:dyDescent="0.25">
      <c r="A113" t="s">
        <v>133</v>
      </c>
      <c r="B113" s="1">
        <v>45635</v>
      </c>
      <c r="C113" t="s">
        <v>28</v>
      </c>
      <c r="D113">
        <v>39</v>
      </c>
      <c r="E113" t="s">
        <v>20</v>
      </c>
      <c r="F113">
        <v>19</v>
      </c>
      <c r="G113" t="s">
        <v>15</v>
      </c>
      <c r="H113">
        <v>2</v>
      </c>
      <c r="I113">
        <v>9</v>
      </c>
      <c r="J113">
        <v>25</v>
      </c>
      <c r="K113" t="s">
        <v>16</v>
      </c>
      <c r="L113" t="s">
        <v>17</v>
      </c>
      <c r="M113">
        <f>IF(Table1[[#This Row],[ألغى الاشتراك]]="نعم",1,0)</f>
        <v>0</v>
      </c>
      <c r="N113">
        <f>IF(Table1[[#This Row],[وسيلة الدفع]]="بطاقة",1,0)</f>
        <v>1</v>
      </c>
      <c r="O113">
        <f>IF(Table1[[#This Row],[وسيلة الدفع]]="محفظة",1,0)</f>
        <v>0</v>
      </c>
      <c r="P113">
        <f>IF(Table1[[#This Row],[وسيلة الدفع]]="تحويل",1,0)</f>
        <v>0</v>
      </c>
      <c r="Q113">
        <f>IF(Table1[[#This Row],[حضر التهيئة]]="نعم",1,0)</f>
        <v>1</v>
      </c>
      <c r="R113">
        <f>IF(Table1[[#This Row],[دورة الفوترة]]="شهري",1,0)</f>
        <v>0</v>
      </c>
    </row>
    <row r="114" spans="1:18" x14ac:dyDescent="0.25">
      <c r="A114" t="s">
        <v>134</v>
      </c>
      <c r="B114" s="1">
        <v>45333</v>
      </c>
      <c r="C114" t="s">
        <v>13</v>
      </c>
      <c r="D114">
        <v>89</v>
      </c>
      <c r="E114" t="s">
        <v>14</v>
      </c>
      <c r="F114">
        <v>3</v>
      </c>
      <c r="G114" t="s">
        <v>21</v>
      </c>
      <c r="H114">
        <v>0</v>
      </c>
      <c r="I114">
        <v>57</v>
      </c>
      <c r="J114">
        <v>10</v>
      </c>
      <c r="K114" t="s">
        <v>16</v>
      </c>
      <c r="L114" t="s">
        <v>16</v>
      </c>
      <c r="M114">
        <f>IF(Table1[[#This Row],[ألغى الاشتراك]]="نعم",1,0)</f>
        <v>1</v>
      </c>
      <c r="N114">
        <f>IF(Table1[[#This Row],[وسيلة الدفع]]="بطاقة",1,0)</f>
        <v>0</v>
      </c>
      <c r="O114">
        <f>IF(Table1[[#This Row],[وسيلة الدفع]]="محفظة",1,0)</f>
        <v>1</v>
      </c>
      <c r="P114">
        <f>IF(Table1[[#This Row],[وسيلة الدفع]]="تحويل",1,0)</f>
        <v>0</v>
      </c>
      <c r="Q114">
        <f>IF(Table1[[#This Row],[حضر التهيئة]]="نعم",1,0)</f>
        <v>1</v>
      </c>
      <c r="R114">
        <f>IF(Table1[[#This Row],[دورة الفوترة]]="شهري",1,0)</f>
        <v>1</v>
      </c>
    </row>
    <row r="115" spans="1:18" x14ac:dyDescent="0.25">
      <c r="A115" t="s">
        <v>135</v>
      </c>
      <c r="B115" s="1">
        <v>45740</v>
      </c>
      <c r="C115" t="s">
        <v>19</v>
      </c>
      <c r="D115">
        <v>189</v>
      </c>
      <c r="E115" t="s">
        <v>20</v>
      </c>
      <c r="F115">
        <v>29</v>
      </c>
      <c r="G115" t="s">
        <v>15</v>
      </c>
      <c r="H115">
        <v>9</v>
      </c>
      <c r="I115">
        <v>11</v>
      </c>
      <c r="J115">
        <v>0</v>
      </c>
      <c r="K115" t="s">
        <v>16</v>
      </c>
      <c r="L115" t="s">
        <v>17</v>
      </c>
      <c r="M115">
        <f>IF(Table1[[#This Row],[ألغى الاشتراك]]="نعم",1,0)</f>
        <v>0</v>
      </c>
      <c r="N115">
        <f>IF(Table1[[#This Row],[وسيلة الدفع]]="بطاقة",1,0)</f>
        <v>1</v>
      </c>
      <c r="O115">
        <f>IF(Table1[[#This Row],[وسيلة الدفع]]="محفظة",1,0)</f>
        <v>0</v>
      </c>
      <c r="P115">
        <f>IF(Table1[[#This Row],[وسيلة الدفع]]="تحويل",1,0)</f>
        <v>0</v>
      </c>
      <c r="Q115">
        <f>IF(Table1[[#This Row],[حضر التهيئة]]="نعم",1,0)</f>
        <v>1</v>
      </c>
      <c r="R115">
        <f>IF(Table1[[#This Row],[دورة الفوترة]]="شهري",1,0)</f>
        <v>0</v>
      </c>
    </row>
    <row r="116" spans="1:18" x14ac:dyDescent="0.25">
      <c r="A116" t="s">
        <v>136</v>
      </c>
      <c r="B116" s="1">
        <v>45643</v>
      </c>
      <c r="C116" t="s">
        <v>19</v>
      </c>
      <c r="D116">
        <v>189</v>
      </c>
      <c r="E116" t="s">
        <v>20</v>
      </c>
      <c r="F116">
        <v>16</v>
      </c>
      <c r="G116" t="s">
        <v>23</v>
      </c>
      <c r="H116">
        <v>0</v>
      </c>
      <c r="I116">
        <v>30</v>
      </c>
      <c r="J116">
        <v>0</v>
      </c>
      <c r="K116" t="s">
        <v>16</v>
      </c>
      <c r="L116" t="s">
        <v>17</v>
      </c>
      <c r="M116">
        <f>IF(Table1[[#This Row],[ألغى الاشتراك]]="نعم",1,0)</f>
        <v>0</v>
      </c>
      <c r="N116">
        <f>IF(Table1[[#This Row],[وسيلة الدفع]]="بطاقة",1,0)</f>
        <v>0</v>
      </c>
      <c r="O116">
        <f>IF(Table1[[#This Row],[وسيلة الدفع]]="محفظة",1,0)</f>
        <v>0</v>
      </c>
      <c r="P116">
        <f>IF(Table1[[#This Row],[وسيلة الدفع]]="تحويل",1,0)</f>
        <v>1</v>
      </c>
      <c r="Q116">
        <f>IF(Table1[[#This Row],[حضر التهيئة]]="نعم",1,0)</f>
        <v>1</v>
      </c>
      <c r="R116">
        <f>IF(Table1[[#This Row],[دورة الفوترة]]="شهري",1,0)</f>
        <v>0</v>
      </c>
    </row>
    <row r="117" spans="1:18" x14ac:dyDescent="0.25">
      <c r="A117" t="s">
        <v>137</v>
      </c>
      <c r="B117" s="1">
        <v>45902</v>
      </c>
      <c r="C117" t="s">
        <v>19</v>
      </c>
      <c r="D117">
        <v>189</v>
      </c>
      <c r="E117" t="s">
        <v>14</v>
      </c>
      <c r="F117">
        <v>17</v>
      </c>
      <c r="G117" t="s">
        <v>21</v>
      </c>
      <c r="H117">
        <v>1</v>
      </c>
      <c r="I117">
        <v>59</v>
      </c>
      <c r="J117">
        <v>0</v>
      </c>
      <c r="K117" t="s">
        <v>16</v>
      </c>
      <c r="L117" t="s">
        <v>17</v>
      </c>
      <c r="M117">
        <f>IF(Table1[[#This Row],[ألغى الاشتراك]]="نعم",1,0)</f>
        <v>0</v>
      </c>
      <c r="N117">
        <f>IF(Table1[[#This Row],[وسيلة الدفع]]="بطاقة",1,0)</f>
        <v>0</v>
      </c>
      <c r="O117">
        <f>IF(Table1[[#This Row],[وسيلة الدفع]]="محفظة",1,0)</f>
        <v>1</v>
      </c>
      <c r="P117">
        <f>IF(Table1[[#This Row],[وسيلة الدفع]]="تحويل",1,0)</f>
        <v>0</v>
      </c>
      <c r="Q117">
        <f>IF(Table1[[#This Row],[حضر التهيئة]]="نعم",1,0)</f>
        <v>1</v>
      </c>
      <c r="R117">
        <f>IF(Table1[[#This Row],[دورة الفوترة]]="شهري",1,0)</f>
        <v>1</v>
      </c>
    </row>
    <row r="118" spans="1:18" x14ac:dyDescent="0.25">
      <c r="A118" t="s">
        <v>138</v>
      </c>
      <c r="B118" s="1">
        <v>45584</v>
      </c>
      <c r="C118" t="s">
        <v>19</v>
      </c>
      <c r="D118">
        <v>189</v>
      </c>
      <c r="E118" t="s">
        <v>20</v>
      </c>
      <c r="F118">
        <v>6</v>
      </c>
      <c r="G118" t="s">
        <v>23</v>
      </c>
      <c r="H118">
        <v>1</v>
      </c>
      <c r="I118">
        <v>30</v>
      </c>
      <c r="J118">
        <v>0</v>
      </c>
      <c r="K118" t="s">
        <v>16</v>
      </c>
      <c r="L118" t="s">
        <v>17</v>
      </c>
      <c r="M118">
        <f>IF(Table1[[#This Row],[ألغى الاشتراك]]="نعم",1,0)</f>
        <v>0</v>
      </c>
      <c r="N118">
        <f>IF(Table1[[#This Row],[وسيلة الدفع]]="بطاقة",1,0)</f>
        <v>0</v>
      </c>
      <c r="O118">
        <f>IF(Table1[[#This Row],[وسيلة الدفع]]="محفظة",1,0)</f>
        <v>0</v>
      </c>
      <c r="P118">
        <f>IF(Table1[[#This Row],[وسيلة الدفع]]="تحويل",1,0)</f>
        <v>1</v>
      </c>
      <c r="Q118">
        <f>IF(Table1[[#This Row],[حضر التهيئة]]="نعم",1,0)</f>
        <v>1</v>
      </c>
      <c r="R118">
        <f>IF(Table1[[#This Row],[دورة الفوترة]]="شهري",1,0)</f>
        <v>0</v>
      </c>
    </row>
    <row r="119" spans="1:18" x14ac:dyDescent="0.25">
      <c r="A119" t="s">
        <v>139</v>
      </c>
      <c r="B119" s="1">
        <v>45850</v>
      </c>
      <c r="C119" t="s">
        <v>19</v>
      </c>
      <c r="D119">
        <v>189</v>
      </c>
      <c r="E119" t="s">
        <v>14</v>
      </c>
      <c r="F119">
        <v>1</v>
      </c>
      <c r="G119" t="s">
        <v>15</v>
      </c>
      <c r="H119">
        <v>1</v>
      </c>
      <c r="I119">
        <v>31</v>
      </c>
      <c r="J119">
        <v>0</v>
      </c>
      <c r="K119" t="s">
        <v>17</v>
      </c>
      <c r="L119" t="s">
        <v>17</v>
      </c>
      <c r="M119">
        <f>IF(Table1[[#This Row],[ألغى الاشتراك]]="نعم",1,0)</f>
        <v>0</v>
      </c>
      <c r="N119">
        <f>IF(Table1[[#This Row],[وسيلة الدفع]]="بطاقة",1,0)</f>
        <v>1</v>
      </c>
      <c r="O119">
        <f>IF(Table1[[#This Row],[وسيلة الدفع]]="محفظة",1,0)</f>
        <v>0</v>
      </c>
      <c r="P119">
        <f>IF(Table1[[#This Row],[وسيلة الدفع]]="تحويل",1,0)</f>
        <v>0</v>
      </c>
      <c r="Q119">
        <f>IF(Table1[[#This Row],[حضر التهيئة]]="نعم",1,0)</f>
        <v>0</v>
      </c>
      <c r="R119">
        <f>IF(Table1[[#This Row],[دورة الفوترة]]="شهري",1,0)</f>
        <v>1</v>
      </c>
    </row>
    <row r="120" spans="1:18" x14ac:dyDescent="0.25">
      <c r="A120" t="s">
        <v>140</v>
      </c>
      <c r="B120" s="1">
        <v>45399</v>
      </c>
      <c r="C120" t="s">
        <v>28</v>
      </c>
      <c r="D120">
        <v>39</v>
      </c>
      <c r="E120" t="s">
        <v>20</v>
      </c>
      <c r="F120">
        <v>18</v>
      </c>
      <c r="G120" t="s">
        <v>15</v>
      </c>
      <c r="H120">
        <v>1</v>
      </c>
      <c r="I120">
        <v>14</v>
      </c>
      <c r="J120">
        <v>0</v>
      </c>
      <c r="K120" t="s">
        <v>16</v>
      </c>
      <c r="L120" t="s">
        <v>17</v>
      </c>
      <c r="M120">
        <f>IF(Table1[[#This Row],[ألغى الاشتراك]]="نعم",1,0)</f>
        <v>0</v>
      </c>
      <c r="N120">
        <f>IF(Table1[[#This Row],[وسيلة الدفع]]="بطاقة",1,0)</f>
        <v>1</v>
      </c>
      <c r="O120">
        <f>IF(Table1[[#This Row],[وسيلة الدفع]]="محفظة",1,0)</f>
        <v>0</v>
      </c>
      <c r="P120">
        <f>IF(Table1[[#This Row],[وسيلة الدفع]]="تحويل",1,0)</f>
        <v>0</v>
      </c>
      <c r="Q120">
        <f>IF(Table1[[#This Row],[حضر التهيئة]]="نعم",1,0)</f>
        <v>1</v>
      </c>
      <c r="R120">
        <f>IF(Table1[[#This Row],[دورة الفوترة]]="شهري",1,0)</f>
        <v>0</v>
      </c>
    </row>
    <row r="121" spans="1:18" x14ac:dyDescent="0.25">
      <c r="A121" t="s">
        <v>141</v>
      </c>
      <c r="B121" s="1">
        <v>45446</v>
      </c>
      <c r="C121" t="s">
        <v>19</v>
      </c>
      <c r="D121">
        <v>189</v>
      </c>
      <c r="E121" t="s">
        <v>20</v>
      </c>
      <c r="F121">
        <v>13</v>
      </c>
      <c r="G121" t="s">
        <v>15</v>
      </c>
      <c r="H121">
        <v>1</v>
      </c>
      <c r="I121">
        <v>43</v>
      </c>
      <c r="J121">
        <v>10</v>
      </c>
      <c r="K121" t="s">
        <v>16</v>
      </c>
      <c r="L121" t="s">
        <v>17</v>
      </c>
      <c r="M121">
        <f>IF(Table1[[#This Row],[ألغى الاشتراك]]="نعم",1,0)</f>
        <v>0</v>
      </c>
      <c r="N121">
        <f>IF(Table1[[#This Row],[وسيلة الدفع]]="بطاقة",1,0)</f>
        <v>1</v>
      </c>
      <c r="O121">
        <f>IF(Table1[[#This Row],[وسيلة الدفع]]="محفظة",1,0)</f>
        <v>0</v>
      </c>
      <c r="P121">
        <f>IF(Table1[[#This Row],[وسيلة الدفع]]="تحويل",1,0)</f>
        <v>0</v>
      </c>
      <c r="Q121">
        <f>IF(Table1[[#This Row],[حضر التهيئة]]="نعم",1,0)</f>
        <v>1</v>
      </c>
      <c r="R121">
        <f>IF(Table1[[#This Row],[دورة الفوترة]]="شهري",1,0)</f>
        <v>0</v>
      </c>
    </row>
    <row r="122" spans="1:18" x14ac:dyDescent="0.25">
      <c r="A122" t="s">
        <v>142</v>
      </c>
      <c r="B122" s="1">
        <v>45862</v>
      </c>
      <c r="C122" t="s">
        <v>19</v>
      </c>
      <c r="D122">
        <v>189</v>
      </c>
      <c r="E122" t="s">
        <v>14</v>
      </c>
      <c r="F122">
        <v>21</v>
      </c>
      <c r="G122" t="s">
        <v>23</v>
      </c>
      <c r="H122">
        <v>1</v>
      </c>
      <c r="I122">
        <v>27</v>
      </c>
      <c r="J122">
        <v>0</v>
      </c>
      <c r="K122" t="s">
        <v>17</v>
      </c>
      <c r="L122" t="s">
        <v>16</v>
      </c>
      <c r="M122">
        <f>IF(Table1[[#This Row],[ألغى الاشتراك]]="نعم",1,0)</f>
        <v>1</v>
      </c>
      <c r="N122">
        <f>IF(Table1[[#This Row],[وسيلة الدفع]]="بطاقة",1,0)</f>
        <v>0</v>
      </c>
      <c r="O122">
        <f>IF(Table1[[#This Row],[وسيلة الدفع]]="محفظة",1,0)</f>
        <v>0</v>
      </c>
      <c r="P122">
        <f>IF(Table1[[#This Row],[وسيلة الدفع]]="تحويل",1,0)</f>
        <v>1</v>
      </c>
      <c r="Q122">
        <f>IF(Table1[[#This Row],[حضر التهيئة]]="نعم",1,0)</f>
        <v>0</v>
      </c>
      <c r="R122">
        <f>IF(Table1[[#This Row],[دورة الفوترة]]="شهري",1,0)</f>
        <v>1</v>
      </c>
    </row>
    <row r="123" spans="1:18" x14ac:dyDescent="0.25">
      <c r="A123" t="s">
        <v>143</v>
      </c>
      <c r="B123" s="1">
        <v>45787</v>
      </c>
      <c r="C123" t="s">
        <v>13</v>
      </c>
      <c r="D123">
        <v>89</v>
      </c>
      <c r="E123" t="s">
        <v>20</v>
      </c>
      <c r="F123">
        <v>26</v>
      </c>
      <c r="G123" t="s">
        <v>21</v>
      </c>
      <c r="H123">
        <v>2</v>
      </c>
      <c r="I123">
        <v>34</v>
      </c>
      <c r="J123">
        <v>5</v>
      </c>
      <c r="K123" t="s">
        <v>16</v>
      </c>
      <c r="L123" t="s">
        <v>17</v>
      </c>
      <c r="M123">
        <f>IF(Table1[[#This Row],[ألغى الاشتراك]]="نعم",1,0)</f>
        <v>0</v>
      </c>
      <c r="N123">
        <f>IF(Table1[[#This Row],[وسيلة الدفع]]="بطاقة",1,0)</f>
        <v>0</v>
      </c>
      <c r="O123">
        <f>IF(Table1[[#This Row],[وسيلة الدفع]]="محفظة",1,0)</f>
        <v>1</v>
      </c>
      <c r="P123">
        <f>IF(Table1[[#This Row],[وسيلة الدفع]]="تحويل",1,0)</f>
        <v>0</v>
      </c>
      <c r="Q123">
        <f>IF(Table1[[#This Row],[حضر التهيئة]]="نعم",1,0)</f>
        <v>1</v>
      </c>
      <c r="R123">
        <f>IF(Table1[[#This Row],[دورة الفوترة]]="شهري",1,0)</f>
        <v>0</v>
      </c>
    </row>
    <row r="124" spans="1:18" x14ac:dyDescent="0.25">
      <c r="A124" t="s">
        <v>144</v>
      </c>
      <c r="B124" s="1">
        <v>45446</v>
      </c>
      <c r="C124" t="s">
        <v>13</v>
      </c>
      <c r="D124">
        <v>89</v>
      </c>
      <c r="E124" t="s">
        <v>20</v>
      </c>
      <c r="F124">
        <v>2</v>
      </c>
      <c r="G124" t="s">
        <v>15</v>
      </c>
      <c r="H124">
        <v>5</v>
      </c>
      <c r="I124">
        <v>22</v>
      </c>
      <c r="J124">
        <v>0</v>
      </c>
      <c r="K124" t="s">
        <v>17</v>
      </c>
      <c r="L124" t="s">
        <v>17</v>
      </c>
      <c r="M124">
        <f>IF(Table1[[#This Row],[ألغى الاشتراك]]="نعم",1,0)</f>
        <v>0</v>
      </c>
      <c r="N124">
        <f>IF(Table1[[#This Row],[وسيلة الدفع]]="بطاقة",1,0)</f>
        <v>1</v>
      </c>
      <c r="O124">
        <f>IF(Table1[[#This Row],[وسيلة الدفع]]="محفظة",1,0)</f>
        <v>0</v>
      </c>
      <c r="P124">
        <f>IF(Table1[[#This Row],[وسيلة الدفع]]="تحويل",1,0)</f>
        <v>0</v>
      </c>
      <c r="Q124">
        <f>IF(Table1[[#This Row],[حضر التهيئة]]="نعم",1,0)</f>
        <v>0</v>
      </c>
      <c r="R124">
        <f>IF(Table1[[#This Row],[دورة الفوترة]]="شهري",1,0)</f>
        <v>0</v>
      </c>
    </row>
    <row r="125" spans="1:18" x14ac:dyDescent="0.25">
      <c r="A125" t="s">
        <v>145</v>
      </c>
      <c r="B125" s="1">
        <v>45627</v>
      </c>
      <c r="C125" t="s">
        <v>28</v>
      </c>
      <c r="D125">
        <v>39</v>
      </c>
      <c r="E125" t="s">
        <v>14</v>
      </c>
      <c r="F125">
        <v>9</v>
      </c>
      <c r="G125" t="s">
        <v>21</v>
      </c>
      <c r="H125">
        <v>1</v>
      </c>
      <c r="I125">
        <v>7</v>
      </c>
      <c r="J125">
        <v>25</v>
      </c>
      <c r="K125" t="s">
        <v>16</v>
      </c>
      <c r="L125" t="s">
        <v>16</v>
      </c>
      <c r="M125">
        <f>IF(Table1[[#This Row],[ألغى الاشتراك]]="نعم",1,0)</f>
        <v>1</v>
      </c>
      <c r="N125">
        <f>IF(Table1[[#This Row],[وسيلة الدفع]]="بطاقة",1,0)</f>
        <v>0</v>
      </c>
      <c r="O125">
        <f>IF(Table1[[#This Row],[وسيلة الدفع]]="محفظة",1,0)</f>
        <v>1</v>
      </c>
      <c r="P125">
        <f>IF(Table1[[#This Row],[وسيلة الدفع]]="تحويل",1,0)</f>
        <v>0</v>
      </c>
      <c r="Q125">
        <f>IF(Table1[[#This Row],[حضر التهيئة]]="نعم",1,0)</f>
        <v>1</v>
      </c>
      <c r="R125">
        <f>IF(Table1[[#This Row],[دورة الفوترة]]="شهري",1,0)</f>
        <v>1</v>
      </c>
    </row>
    <row r="126" spans="1:18" x14ac:dyDescent="0.25">
      <c r="A126" t="s">
        <v>146</v>
      </c>
      <c r="B126" s="1">
        <v>45906</v>
      </c>
      <c r="C126" t="s">
        <v>19</v>
      </c>
      <c r="D126">
        <v>189</v>
      </c>
      <c r="E126" t="s">
        <v>14</v>
      </c>
      <c r="F126">
        <v>13</v>
      </c>
      <c r="G126" t="s">
        <v>21</v>
      </c>
      <c r="H126">
        <v>2</v>
      </c>
      <c r="I126">
        <v>35</v>
      </c>
      <c r="J126">
        <v>0</v>
      </c>
      <c r="K126" t="s">
        <v>17</v>
      </c>
      <c r="L126" t="s">
        <v>17</v>
      </c>
      <c r="M126">
        <f>IF(Table1[[#This Row],[ألغى الاشتراك]]="نعم",1,0)</f>
        <v>0</v>
      </c>
      <c r="N126">
        <f>IF(Table1[[#This Row],[وسيلة الدفع]]="بطاقة",1,0)</f>
        <v>0</v>
      </c>
      <c r="O126">
        <f>IF(Table1[[#This Row],[وسيلة الدفع]]="محفظة",1,0)</f>
        <v>1</v>
      </c>
      <c r="P126">
        <f>IF(Table1[[#This Row],[وسيلة الدفع]]="تحويل",1,0)</f>
        <v>0</v>
      </c>
      <c r="Q126">
        <f>IF(Table1[[#This Row],[حضر التهيئة]]="نعم",1,0)</f>
        <v>0</v>
      </c>
      <c r="R126">
        <f>IF(Table1[[#This Row],[دورة الفوترة]]="شهري",1,0)</f>
        <v>1</v>
      </c>
    </row>
    <row r="127" spans="1:18" x14ac:dyDescent="0.25">
      <c r="A127" t="s">
        <v>147</v>
      </c>
      <c r="B127" s="1">
        <v>45454</v>
      </c>
      <c r="C127" t="s">
        <v>19</v>
      </c>
      <c r="D127">
        <v>189</v>
      </c>
      <c r="E127" t="s">
        <v>20</v>
      </c>
      <c r="F127">
        <v>30</v>
      </c>
      <c r="G127" t="s">
        <v>21</v>
      </c>
      <c r="H127">
        <v>1</v>
      </c>
      <c r="I127">
        <v>10</v>
      </c>
      <c r="J127">
        <v>0</v>
      </c>
      <c r="K127" t="s">
        <v>17</v>
      </c>
      <c r="L127" t="s">
        <v>16</v>
      </c>
      <c r="M127">
        <f>IF(Table1[[#This Row],[ألغى الاشتراك]]="نعم",1,0)</f>
        <v>1</v>
      </c>
      <c r="N127">
        <f>IF(Table1[[#This Row],[وسيلة الدفع]]="بطاقة",1,0)</f>
        <v>0</v>
      </c>
      <c r="O127">
        <f>IF(Table1[[#This Row],[وسيلة الدفع]]="محفظة",1,0)</f>
        <v>1</v>
      </c>
      <c r="P127">
        <f>IF(Table1[[#This Row],[وسيلة الدفع]]="تحويل",1,0)</f>
        <v>0</v>
      </c>
      <c r="Q127">
        <f>IF(Table1[[#This Row],[حضر التهيئة]]="نعم",1,0)</f>
        <v>0</v>
      </c>
      <c r="R127">
        <f>IF(Table1[[#This Row],[دورة الفوترة]]="شهري",1,0)</f>
        <v>0</v>
      </c>
    </row>
    <row r="128" spans="1:18" x14ac:dyDescent="0.25">
      <c r="A128" t="s">
        <v>148</v>
      </c>
      <c r="B128" s="1">
        <v>45965</v>
      </c>
      <c r="C128" t="s">
        <v>28</v>
      </c>
      <c r="D128">
        <v>39</v>
      </c>
      <c r="E128" t="s">
        <v>14</v>
      </c>
      <c r="F128">
        <v>19</v>
      </c>
      <c r="G128" t="s">
        <v>21</v>
      </c>
      <c r="H128">
        <v>2</v>
      </c>
      <c r="I128">
        <v>21</v>
      </c>
      <c r="J128">
        <v>0</v>
      </c>
      <c r="K128" t="s">
        <v>17</v>
      </c>
      <c r="L128" t="s">
        <v>17</v>
      </c>
      <c r="M128">
        <f>IF(Table1[[#This Row],[ألغى الاشتراك]]="نعم",1,0)</f>
        <v>0</v>
      </c>
      <c r="N128">
        <f>IF(Table1[[#This Row],[وسيلة الدفع]]="بطاقة",1,0)</f>
        <v>0</v>
      </c>
      <c r="O128">
        <f>IF(Table1[[#This Row],[وسيلة الدفع]]="محفظة",1,0)</f>
        <v>1</v>
      </c>
      <c r="P128">
        <f>IF(Table1[[#This Row],[وسيلة الدفع]]="تحويل",1,0)</f>
        <v>0</v>
      </c>
      <c r="Q128">
        <f>IF(Table1[[#This Row],[حضر التهيئة]]="نعم",1,0)</f>
        <v>0</v>
      </c>
      <c r="R128">
        <f>IF(Table1[[#This Row],[دورة الفوترة]]="شهري",1,0)</f>
        <v>1</v>
      </c>
    </row>
    <row r="129" spans="1:18" x14ac:dyDescent="0.25">
      <c r="A129" t="s">
        <v>149</v>
      </c>
      <c r="B129" s="1">
        <v>45509</v>
      </c>
      <c r="C129" t="s">
        <v>28</v>
      </c>
      <c r="D129">
        <v>39</v>
      </c>
      <c r="E129" t="s">
        <v>14</v>
      </c>
      <c r="F129">
        <v>24</v>
      </c>
      <c r="G129" t="s">
        <v>15</v>
      </c>
      <c r="H129">
        <v>2</v>
      </c>
      <c r="I129">
        <v>10</v>
      </c>
      <c r="J129">
        <v>0</v>
      </c>
      <c r="K129" t="s">
        <v>16</v>
      </c>
      <c r="L129" t="s">
        <v>17</v>
      </c>
      <c r="M129">
        <f>IF(Table1[[#This Row],[ألغى الاشتراك]]="نعم",1,0)</f>
        <v>0</v>
      </c>
      <c r="N129">
        <f>IF(Table1[[#This Row],[وسيلة الدفع]]="بطاقة",1,0)</f>
        <v>1</v>
      </c>
      <c r="O129">
        <f>IF(Table1[[#This Row],[وسيلة الدفع]]="محفظة",1,0)</f>
        <v>0</v>
      </c>
      <c r="P129">
        <f>IF(Table1[[#This Row],[وسيلة الدفع]]="تحويل",1,0)</f>
        <v>0</v>
      </c>
      <c r="Q129">
        <f>IF(Table1[[#This Row],[حضر التهيئة]]="نعم",1,0)</f>
        <v>1</v>
      </c>
      <c r="R129">
        <f>IF(Table1[[#This Row],[دورة الفوترة]]="شهري",1,0)</f>
        <v>1</v>
      </c>
    </row>
    <row r="130" spans="1:18" x14ac:dyDescent="0.25">
      <c r="A130" t="s">
        <v>150</v>
      </c>
      <c r="B130" s="1">
        <v>45787</v>
      </c>
      <c r="C130" t="s">
        <v>19</v>
      </c>
      <c r="D130">
        <v>189</v>
      </c>
      <c r="E130" t="s">
        <v>14</v>
      </c>
      <c r="F130">
        <v>7</v>
      </c>
      <c r="G130" t="s">
        <v>21</v>
      </c>
      <c r="H130">
        <v>7</v>
      </c>
      <c r="I130">
        <v>9</v>
      </c>
      <c r="J130">
        <v>0</v>
      </c>
      <c r="K130" t="s">
        <v>16</v>
      </c>
      <c r="L130" t="s">
        <v>17</v>
      </c>
      <c r="M130">
        <f>IF(Table1[[#This Row],[ألغى الاشتراك]]="نعم",1,0)</f>
        <v>0</v>
      </c>
      <c r="N130">
        <f>IF(Table1[[#This Row],[وسيلة الدفع]]="بطاقة",1,0)</f>
        <v>0</v>
      </c>
      <c r="O130">
        <f>IF(Table1[[#This Row],[وسيلة الدفع]]="محفظة",1,0)</f>
        <v>1</v>
      </c>
      <c r="P130">
        <f>IF(Table1[[#This Row],[وسيلة الدفع]]="تحويل",1,0)</f>
        <v>0</v>
      </c>
      <c r="Q130">
        <f>IF(Table1[[#This Row],[حضر التهيئة]]="نعم",1,0)</f>
        <v>1</v>
      </c>
      <c r="R130">
        <f>IF(Table1[[#This Row],[دورة الفوترة]]="شهري",1,0)</f>
        <v>1</v>
      </c>
    </row>
    <row r="131" spans="1:18" x14ac:dyDescent="0.25">
      <c r="A131" t="s">
        <v>151</v>
      </c>
      <c r="B131" s="1">
        <v>45969</v>
      </c>
      <c r="C131" t="s">
        <v>19</v>
      </c>
      <c r="D131">
        <v>189</v>
      </c>
      <c r="E131" t="s">
        <v>14</v>
      </c>
      <c r="F131">
        <v>14</v>
      </c>
      <c r="G131" t="s">
        <v>23</v>
      </c>
      <c r="H131">
        <v>2</v>
      </c>
      <c r="I131">
        <v>38</v>
      </c>
      <c r="J131">
        <v>15</v>
      </c>
      <c r="K131" t="s">
        <v>17</v>
      </c>
      <c r="L131" t="s">
        <v>17</v>
      </c>
      <c r="M131">
        <f>IF(Table1[[#This Row],[ألغى الاشتراك]]="نعم",1,0)</f>
        <v>0</v>
      </c>
      <c r="N131">
        <f>IF(Table1[[#This Row],[وسيلة الدفع]]="بطاقة",1,0)</f>
        <v>0</v>
      </c>
      <c r="O131">
        <f>IF(Table1[[#This Row],[وسيلة الدفع]]="محفظة",1,0)</f>
        <v>0</v>
      </c>
      <c r="P131">
        <f>IF(Table1[[#This Row],[وسيلة الدفع]]="تحويل",1,0)</f>
        <v>1</v>
      </c>
      <c r="Q131">
        <f>IF(Table1[[#This Row],[حضر التهيئة]]="نعم",1,0)</f>
        <v>0</v>
      </c>
      <c r="R131">
        <f>IF(Table1[[#This Row],[دورة الفوترة]]="شهري",1,0)</f>
        <v>1</v>
      </c>
    </row>
    <row r="132" spans="1:18" x14ac:dyDescent="0.25">
      <c r="A132" t="s">
        <v>152</v>
      </c>
      <c r="B132" s="1">
        <v>45525</v>
      </c>
      <c r="C132" t="s">
        <v>19</v>
      </c>
      <c r="D132">
        <v>189</v>
      </c>
      <c r="E132" t="s">
        <v>20</v>
      </c>
      <c r="F132">
        <v>18</v>
      </c>
      <c r="G132" t="s">
        <v>23</v>
      </c>
      <c r="H132">
        <v>0</v>
      </c>
      <c r="I132">
        <v>8</v>
      </c>
      <c r="J132">
        <v>0</v>
      </c>
      <c r="K132" t="s">
        <v>17</v>
      </c>
      <c r="L132" t="s">
        <v>17</v>
      </c>
      <c r="M132">
        <f>IF(Table1[[#This Row],[ألغى الاشتراك]]="نعم",1,0)</f>
        <v>0</v>
      </c>
      <c r="N132">
        <f>IF(Table1[[#This Row],[وسيلة الدفع]]="بطاقة",1,0)</f>
        <v>0</v>
      </c>
      <c r="O132">
        <f>IF(Table1[[#This Row],[وسيلة الدفع]]="محفظة",1,0)</f>
        <v>0</v>
      </c>
      <c r="P132">
        <f>IF(Table1[[#This Row],[وسيلة الدفع]]="تحويل",1,0)</f>
        <v>1</v>
      </c>
      <c r="Q132">
        <f>IF(Table1[[#This Row],[حضر التهيئة]]="نعم",1,0)</f>
        <v>0</v>
      </c>
      <c r="R132">
        <f>IF(Table1[[#This Row],[دورة الفوترة]]="شهري",1,0)</f>
        <v>0</v>
      </c>
    </row>
    <row r="133" spans="1:18" x14ac:dyDescent="0.25">
      <c r="A133" t="s">
        <v>153</v>
      </c>
      <c r="B133" s="1">
        <v>45450</v>
      </c>
      <c r="C133" t="s">
        <v>28</v>
      </c>
      <c r="D133">
        <v>39</v>
      </c>
      <c r="E133" t="s">
        <v>14</v>
      </c>
      <c r="F133">
        <v>19</v>
      </c>
      <c r="G133" t="s">
        <v>15</v>
      </c>
      <c r="H133">
        <v>1</v>
      </c>
      <c r="I133">
        <v>11</v>
      </c>
      <c r="J133">
        <v>10</v>
      </c>
      <c r="K133" t="s">
        <v>17</v>
      </c>
      <c r="L133" t="s">
        <v>16</v>
      </c>
      <c r="M133">
        <f>IF(Table1[[#This Row],[ألغى الاشتراك]]="نعم",1,0)</f>
        <v>1</v>
      </c>
      <c r="N133">
        <f>IF(Table1[[#This Row],[وسيلة الدفع]]="بطاقة",1,0)</f>
        <v>1</v>
      </c>
      <c r="O133">
        <f>IF(Table1[[#This Row],[وسيلة الدفع]]="محفظة",1,0)</f>
        <v>0</v>
      </c>
      <c r="P133">
        <f>IF(Table1[[#This Row],[وسيلة الدفع]]="تحويل",1,0)</f>
        <v>0</v>
      </c>
      <c r="Q133">
        <f>IF(Table1[[#This Row],[حضر التهيئة]]="نعم",1,0)</f>
        <v>0</v>
      </c>
      <c r="R133">
        <f>IF(Table1[[#This Row],[دورة الفوترة]]="شهري",1,0)</f>
        <v>1</v>
      </c>
    </row>
    <row r="134" spans="1:18" x14ac:dyDescent="0.25">
      <c r="A134" t="s">
        <v>154</v>
      </c>
      <c r="B134" s="1">
        <v>45635</v>
      </c>
      <c r="C134" t="s">
        <v>28</v>
      </c>
      <c r="D134">
        <v>39</v>
      </c>
      <c r="E134" t="s">
        <v>14</v>
      </c>
      <c r="F134">
        <v>13</v>
      </c>
      <c r="G134" t="s">
        <v>15</v>
      </c>
      <c r="H134">
        <v>0</v>
      </c>
      <c r="I134">
        <v>11</v>
      </c>
      <c r="J134">
        <v>25</v>
      </c>
      <c r="K134" t="s">
        <v>16</v>
      </c>
      <c r="L134" t="s">
        <v>17</v>
      </c>
      <c r="M134">
        <f>IF(Table1[[#This Row],[ألغى الاشتراك]]="نعم",1,0)</f>
        <v>0</v>
      </c>
      <c r="N134">
        <f>IF(Table1[[#This Row],[وسيلة الدفع]]="بطاقة",1,0)</f>
        <v>1</v>
      </c>
      <c r="O134">
        <f>IF(Table1[[#This Row],[وسيلة الدفع]]="محفظة",1,0)</f>
        <v>0</v>
      </c>
      <c r="P134">
        <f>IF(Table1[[#This Row],[وسيلة الدفع]]="تحويل",1,0)</f>
        <v>0</v>
      </c>
      <c r="Q134">
        <f>IF(Table1[[#This Row],[حضر التهيئة]]="نعم",1,0)</f>
        <v>1</v>
      </c>
      <c r="R134">
        <f>IF(Table1[[#This Row],[دورة الفوترة]]="شهري",1,0)</f>
        <v>1</v>
      </c>
    </row>
    <row r="135" spans="1:18" x14ac:dyDescent="0.25">
      <c r="A135" t="s">
        <v>155</v>
      </c>
      <c r="B135" s="1">
        <v>45791</v>
      </c>
      <c r="C135" t="s">
        <v>19</v>
      </c>
      <c r="D135">
        <v>189</v>
      </c>
      <c r="E135" t="s">
        <v>20</v>
      </c>
      <c r="F135">
        <v>27</v>
      </c>
      <c r="G135" t="s">
        <v>21</v>
      </c>
      <c r="H135">
        <v>1</v>
      </c>
      <c r="I135">
        <v>37</v>
      </c>
      <c r="J135">
        <v>0</v>
      </c>
      <c r="K135" t="s">
        <v>16</v>
      </c>
      <c r="L135" t="s">
        <v>17</v>
      </c>
      <c r="M135">
        <f>IF(Table1[[#This Row],[ألغى الاشتراك]]="نعم",1,0)</f>
        <v>0</v>
      </c>
      <c r="N135">
        <f>IF(Table1[[#This Row],[وسيلة الدفع]]="بطاقة",1,0)</f>
        <v>0</v>
      </c>
      <c r="O135">
        <f>IF(Table1[[#This Row],[وسيلة الدفع]]="محفظة",1,0)</f>
        <v>1</v>
      </c>
      <c r="P135">
        <f>IF(Table1[[#This Row],[وسيلة الدفع]]="تحويل",1,0)</f>
        <v>0</v>
      </c>
      <c r="Q135">
        <f>IF(Table1[[#This Row],[حضر التهيئة]]="نعم",1,0)</f>
        <v>1</v>
      </c>
      <c r="R135">
        <f>IF(Table1[[#This Row],[دورة الفوترة]]="شهري",1,0)</f>
        <v>0</v>
      </c>
    </row>
    <row r="136" spans="1:18" x14ac:dyDescent="0.25">
      <c r="A136" t="s">
        <v>156</v>
      </c>
      <c r="B136" s="1">
        <v>45744</v>
      </c>
      <c r="C136" t="s">
        <v>19</v>
      </c>
      <c r="D136">
        <v>189</v>
      </c>
      <c r="E136" t="s">
        <v>14</v>
      </c>
      <c r="F136">
        <v>16</v>
      </c>
      <c r="G136" t="s">
        <v>21</v>
      </c>
      <c r="H136">
        <v>2</v>
      </c>
      <c r="I136">
        <v>26</v>
      </c>
      <c r="J136">
        <v>15</v>
      </c>
      <c r="K136" t="s">
        <v>16</v>
      </c>
      <c r="L136" t="s">
        <v>17</v>
      </c>
      <c r="M136">
        <f>IF(Table1[[#This Row],[ألغى الاشتراك]]="نعم",1,0)</f>
        <v>0</v>
      </c>
      <c r="N136">
        <f>IF(Table1[[#This Row],[وسيلة الدفع]]="بطاقة",1,0)</f>
        <v>0</v>
      </c>
      <c r="O136">
        <f>IF(Table1[[#This Row],[وسيلة الدفع]]="محفظة",1,0)</f>
        <v>1</v>
      </c>
      <c r="P136">
        <f>IF(Table1[[#This Row],[وسيلة الدفع]]="تحويل",1,0)</f>
        <v>0</v>
      </c>
      <c r="Q136">
        <f>IF(Table1[[#This Row],[حضر التهيئة]]="نعم",1,0)</f>
        <v>1</v>
      </c>
      <c r="R136">
        <f>IF(Table1[[#This Row],[دورة الفوترة]]="شهري",1,0)</f>
        <v>1</v>
      </c>
    </row>
    <row r="137" spans="1:18" x14ac:dyDescent="0.25">
      <c r="A137" t="s">
        <v>157</v>
      </c>
      <c r="B137" s="1">
        <v>45643</v>
      </c>
      <c r="C137" t="s">
        <v>28</v>
      </c>
      <c r="D137">
        <v>39</v>
      </c>
      <c r="E137" t="s">
        <v>14</v>
      </c>
      <c r="F137">
        <v>12</v>
      </c>
      <c r="G137" t="s">
        <v>21</v>
      </c>
      <c r="H137">
        <v>6</v>
      </c>
      <c r="I137">
        <v>34</v>
      </c>
      <c r="J137">
        <v>0</v>
      </c>
      <c r="K137" t="s">
        <v>17</v>
      </c>
      <c r="L137" t="s">
        <v>17</v>
      </c>
      <c r="M137">
        <f>IF(Table1[[#This Row],[ألغى الاشتراك]]="نعم",1,0)</f>
        <v>0</v>
      </c>
      <c r="N137">
        <f>IF(Table1[[#This Row],[وسيلة الدفع]]="بطاقة",1,0)</f>
        <v>0</v>
      </c>
      <c r="O137">
        <f>IF(Table1[[#This Row],[وسيلة الدفع]]="محفظة",1,0)</f>
        <v>1</v>
      </c>
      <c r="P137">
        <f>IF(Table1[[#This Row],[وسيلة الدفع]]="تحويل",1,0)</f>
        <v>0</v>
      </c>
      <c r="Q137">
        <f>IF(Table1[[#This Row],[حضر التهيئة]]="نعم",1,0)</f>
        <v>0</v>
      </c>
      <c r="R137">
        <f>IF(Table1[[#This Row],[دورة الفوترة]]="شهري",1,0)</f>
        <v>1</v>
      </c>
    </row>
    <row r="138" spans="1:18" x14ac:dyDescent="0.25">
      <c r="A138" t="s">
        <v>158</v>
      </c>
      <c r="B138" s="1">
        <v>45683</v>
      </c>
      <c r="C138" t="s">
        <v>13</v>
      </c>
      <c r="D138">
        <v>89</v>
      </c>
      <c r="E138" t="s">
        <v>14</v>
      </c>
      <c r="F138">
        <v>15</v>
      </c>
      <c r="G138" t="s">
        <v>21</v>
      </c>
      <c r="H138">
        <v>2</v>
      </c>
      <c r="I138">
        <v>19</v>
      </c>
      <c r="J138">
        <v>0</v>
      </c>
      <c r="K138" t="s">
        <v>17</v>
      </c>
      <c r="L138" t="s">
        <v>17</v>
      </c>
      <c r="M138">
        <f>IF(Table1[[#This Row],[ألغى الاشتراك]]="نعم",1,0)</f>
        <v>0</v>
      </c>
      <c r="N138">
        <f>IF(Table1[[#This Row],[وسيلة الدفع]]="بطاقة",1,0)</f>
        <v>0</v>
      </c>
      <c r="O138">
        <f>IF(Table1[[#This Row],[وسيلة الدفع]]="محفظة",1,0)</f>
        <v>1</v>
      </c>
      <c r="P138">
        <f>IF(Table1[[#This Row],[وسيلة الدفع]]="تحويل",1,0)</f>
        <v>0</v>
      </c>
      <c r="Q138">
        <f>IF(Table1[[#This Row],[حضر التهيئة]]="نعم",1,0)</f>
        <v>0</v>
      </c>
      <c r="R138">
        <f>IF(Table1[[#This Row],[دورة الفوترة]]="شهري",1,0)</f>
        <v>1</v>
      </c>
    </row>
    <row r="139" spans="1:18" x14ac:dyDescent="0.25">
      <c r="A139" t="s">
        <v>159</v>
      </c>
      <c r="B139" s="1">
        <v>45450</v>
      </c>
      <c r="C139" t="s">
        <v>13</v>
      </c>
      <c r="D139">
        <v>89</v>
      </c>
      <c r="E139" t="s">
        <v>14</v>
      </c>
      <c r="F139">
        <v>30</v>
      </c>
      <c r="G139" t="s">
        <v>21</v>
      </c>
      <c r="H139">
        <v>2</v>
      </c>
      <c r="I139">
        <v>52</v>
      </c>
      <c r="J139">
        <v>0</v>
      </c>
      <c r="K139" t="s">
        <v>16</v>
      </c>
      <c r="L139" t="s">
        <v>17</v>
      </c>
      <c r="M139">
        <f>IF(Table1[[#This Row],[ألغى الاشتراك]]="نعم",1,0)</f>
        <v>0</v>
      </c>
      <c r="N139">
        <f>IF(Table1[[#This Row],[وسيلة الدفع]]="بطاقة",1,0)</f>
        <v>0</v>
      </c>
      <c r="O139">
        <f>IF(Table1[[#This Row],[وسيلة الدفع]]="محفظة",1,0)</f>
        <v>1</v>
      </c>
      <c r="P139">
        <f>IF(Table1[[#This Row],[وسيلة الدفع]]="تحويل",1,0)</f>
        <v>0</v>
      </c>
      <c r="Q139">
        <f>IF(Table1[[#This Row],[حضر التهيئة]]="نعم",1,0)</f>
        <v>1</v>
      </c>
      <c r="R139">
        <f>IF(Table1[[#This Row],[دورة الفوترة]]="شهري",1,0)</f>
        <v>1</v>
      </c>
    </row>
    <row r="140" spans="1:18" x14ac:dyDescent="0.25">
      <c r="A140" t="s">
        <v>160</v>
      </c>
      <c r="B140" s="1">
        <v>45973</v>
      </c>
      <c r="C140" t="s">
        <v>28</v>
      </c>
      <c r="D140">
        <v>39</v>
      </c>
      <c r="E140" t="s">
        <v>20</v>
      </c>
      <c r="F140">
        <v>19</v>
      </c>
      <c r="G140" t="s">
        <v>23</v>
      </c>
      <c r="H140">
        <v>1</v>
      </c>
      <c r="I140">
        <v>15</v>
      </c>
      <c r="J140">
        <v>0</v>
      </c>
      <c r="K140" t="s">
        <v>17</v>
      </c>
      <c r="L140" t="s">
        <v>17</v>
      </c>
      <c r="M140">
        <f>IF(Table1[[#This Row],[ألغى الاشتراك]]="نعم",1,0)</f>
        <v>0</v>
      </c>
      <c r="N140">
        <f>IF(Table1[[#This Row],[وسيلة الدفع]]="بطاقة",1,0)</f>
        <v>0</v>
      </c>
      <c r="O140">
        <f>IF(Table1[[#This Row],[وسيلة الدفع]]="محفظة",1,0)</f>
        <v>0</v>
      </c>
      <c r="P140">
        <f>IF(Table1[[#This Row],[وسيلة الدفع]]="تحويل",1,0)</f>
        <v>1</v>
      </c>
      <c r="Q140">
        <f>IF(Table1[[#This Row],[حضر التهيئة]]="نعم",1,0)</f>
        <v>0</v>
      </c>
      <c r="R140">
        <f>IF(Table1[[#This Row],[دورة الفوترة]]="شهري",1,0)</f>
        <v>0</v>
      </c>
    </row>
    <row r="141" spans="1:18" x14ac:dyDescent="0.25">
      <c r="A141" t="s">
        <v>161</v>
      </c>
      <c r="B141" s="1">
        <v>45627</v>
      </c>
      <c r="C141" t="s">
        <v>13</v>
      </c>
      <c r="D141">
        <v>89</v>
      </c>
      <c r="E141" t="s">
        <v>14</v>
      </c>
      <c r="F141">
        <v>16</v>
      </c>
      <c r="G141" t="s">
        <v>21</v>
      </c>
      <c r="H141">
        <v>1</v>
      </c>
      <c r="I141">
        <v>54</v>
      </c>
      <c r="J141">
        <v>0</v>
      </c>
      <c r="K141" t="s">
        <v>17</v>
      </c>
      <c r="L141" t="s">
        <v>16</v>
      </c>
      <c r="M141">
        <f>IF(Table1[[#This Row],[ألغى الاشتراك]]="نعم",1,0)</f>
        <v>1</v>
      </c>
      <c r="N141">
        <f>IF(Table1[[#This Row],[وسيلة الدفع]]="بطاقة",1,0)</f>
        <v>0</v>
      </c>
      <c r="O141">
        <f>IF(Table1[[#This Row],[وسيلة الدفع]]="محفظة",1,0)</f>
        <v>1</v>
      </c>
      <c r="P141">
        <f>IF(Table1[[#This Row],[وسيلة الدفع]]="تحويل",1,0)</f>
        <v>0</v>
      </c>
      <c r="Q141">
        <f>IF(Table1[[#This Row],[حضر التهيئة]]="نعم",1,0)</f>
        <v>0</v>
      </c>
      <c r="R141">
        <f>IF(Table1[[#This Row],[دورة الفوترة]]="شهري",1,0)</f>
        <v>1</v>
      </c>
    </row>
    <row r="142" spans="1:18" x14ac:dyDescent="0.25">
      <c r="A142" t="s">
        <v>162</v>
      </c>
      <c r="B142" s="1">
        <v>45659</v>
      </c>
      <c r="C142" t="s">
        <v>13</v>
      </c>
      <c r="D142">
        <v>89</v>
      </c>
      <c r="E142" t="s">
        <v>20</v>
      </c>
      <c r="F142">
        <v>5</v>
      </c>
      <c r="G142" t="s">
        <v>23</v>
      </c>
      <c r="H142">
        <v>2</v>
      </c>
      <c r="I142">
        <v>7</v>
      </c>
      <c r="J142">
        <v>0</v>
      </c>
      <c r="K142" t="s">
        <v>17</v>
      </c>
      <c r="L142" t="s">
        <v>17</v>
      </c>
      <c r="M142">
        <f>IF(Table1[[#This Row],[ألغى الاشتراك]]="نعم",1,0)</f>
        <v>0</v>
      </c>
      <c r="N142">
        <f>IF(Table1[[#This Row],[وسيلة الدفع]]="بطاقة",1,0)</f>
        <v>0</v>
      </c>
      <c r="O142">
        <f>IF(Table1[[#This Row],[وسيلة الدفع]]="محفظة",1,0)</f>
        <v>0</v>
      </c>
      <c r="P142">
        <f>IF(Table1[[#This Row],[وسيلة الدفع]]="تحويل",1,0)</f>
        <v>1</v>
      </c>
      <c r="Q142">
        <f>IF(Table1[[#This Row],[حضر التهيئة]]="نعم",1,0)</f>
        <v>0</v>
      </c>
      <c r="R142">
        <f>IF(Table1[[#This Row],[دورة الفوترة]]="شهري",1,0)</f>
        <v>0</v>
      </c>
    </row>
    <row r="143" spans="1:18" x14ac:dyDescent="0.25">
      <c r="A143" t="s">
        <v>163</v>
      </c>
      <c r="B143" s="1">
        <v>45724</v>
      </c>
      <c r="C143" t="s">
        <v>19</v>
      </c>
      <c r="D143">
        <v>189</v>
      </c>
      <c r="E143" t="s">
        <v>14</v>
      </c>
      <c r="F143">
        <v>10</v>
      </c>
      <c r="G143" t="s">
        <v>21</v>
      </c>
      <c r="H143">
        <v>6</v>
      </c>
      <c r="I143">
        <v>56</v>
      </c>
      <c r="J143">
        <v>15</v>
      </c>
      <c r="K143" t="s">
        <v>16</v>
      </c>
      <c r="L143" t="s">
        <v>16</v>
      </c>
      <c r="M143">
        <f>IF(Table1[[#This Row],[ألغى الاشتراك]]="نعم",1,0)</f>
        <v>1</v>
      </c>
      <c r="N143">
        <f>IF(Table1[[#This Row],[وسيلة الدفع]]="بطاقة",1,0)</f>
        <v>0</v>
      </c>
      <c r="O143">
        <f>IF(Table1[[#This Row],[وسيلة الدفع]]="محفظة",1,0)</f>
        <v>1</v>
      </c>
      <c r="P143">
        <f>IF(Table1[[#This Row],[وسيلة الدفع]]="تحويل",1,0)</f>
        <v>0</v>
      </c>
      <c r="Q143">
        <f>IF(Table1[[#This Row],[حضر التهيئة]]="نعم",1,0)</f>
        <v>1</v>
      </c>
      <c r="R143">
        <f>IF(Table1[[#This Row],[دورة الفوترة]]="شهري",1,0)</f>
        <v>1</v>
      </c>
    </row>
    <row r="144" spans="1:18" x14ac:dyDescent="0.25">
      <c r="A144" t="s">
        <v>164</v>
      </c>
      <c r="B144" s="1">
        <v>45391</v>
      </c>
      <c r="C144" t="s">
        <v>13</v>
      </c>
      <c r="D144">
        <v>89</v>
      </c>
      <c r="E144" t="s">
        <v>20</v>
      </c>
      <c r="F144">
        <v>4</v>
      </c>
      <c r="G144" t="s">
        <v>23</v>
      </c>
      <c r="H144">
        <v>2</v>
      </c>
      <c r="I144">
        <v>56</v>
      </c>
      <c r="J144">
        <v>0</v>
      </c>
      <c r="K144" t="s">
        <v>17</v>
      </c>
      <c r="L144" t="s">
        <v>17</v>
      </c>
      <c r="M144">
        <f>IF(Table1[[#This Row],[ألغى الاشتراك]]="نعم",1,0)</f>
        <v>0</v>
      </c>
      <c r="N144">
        <f>IF(Table1[[#This Row],[وسيلة الدفع]]="بطاقة",1,0)</f>
        <v>0</v>
      </c>
      <c r="O144">
        <f>IF(Table1[[#This Row],[وسيلة الدفع]]="محفظة",1,0)</f>
        <v>0</v>
      </c>
      <c r="P144">
        <f>IF(Table1[[#This Row],[وسيلة الدفع]]="تحويل",1,0)</f>
        <v>1</v>
      </c>
      <c r="Q144">
        <f>IF(Table1[[#This Row],[حضر التهيئة]]="نعم",1,0)</f>
        <v>0</v>
      </c>
      <c r="R144">
        <f>IF(Table1[[#This Row],[دورة الفوترة]]="شهري",1,0)</f>
        <v>0</v>
      </c>
    </row>
    <row r="145" spans="1:18" x14ac:dyDescent="0.25">
      <c r="A145" t="s">
        <v>165</v>
      </c>
      <c r="B145" s="1">
        <v>45787</v>
      </c>
      <c r="C145" t="s">
        <v>19</v>
      </c>
      <c r="D145">
        <v>189</v>
      </c>
      <c r="E145" t="s">
        <v>20</v>
      </c>
      <c r="F145">
        <v>15</v>
      </c>
      <c r="G145" t="s">
        <v>15</v>
      </c>
      <c r="H145">
        <v>1</v>
      </c>
      <c r="I145">
        <v>51</v>
      </c>
      <c r="J145">
        <v>0</v>
      </c>
      <c r="K145" t="s">
        <v>16</v>
      </c>
      <c r="L145" t="s">
        <v>17</v>
      </c>
      <c r="M145">
        <f>IF(Table1[[#This Row],[ألغى الاشتراك]]="نعم",1,0)</f>
        <v>0</v>
      </c>
      <c r="N145">
        <f>IF(Table1[[#This Row],[وسيلة الدفع]]="بطاقة",1,0)</f>
        <v>1</v>
      </c>
      <c r="O145">
        <f>IF(Table1[[#This Row],[وسيلة الدفع]]="محفظة",1,0)</f>
        <v>0</v>
      </c>
      <c r="P145">
        <f>IF(Table1[[#This Row],[وسيلة الدفع]]="تحويل",1,0)</f>
        <v>0</v>
      </c>
      <c r="Q145">
        <f>IF(Table1[[#This Row],[حضر التهيئة]]="نعم",1,0)</f>
        <v>1</v>
      </c>
      <c r="R145">
        <f>IF(Table1[[#This Row],[دورة الفوترة]]="شهري",1,0)</f>
        <v>0</v>
      </c>
    </row>
    <row r="146" spans="1:18" x14ac:dyDescent="0.25">
      <c r="A146" t="s">
        <v>166</v>
      </c>
      <c r="B146" s="1">
        <v>45458</v>
      </c>
      <c r="C146" t="s">
        <v>19</v>
      </c>
      <c r="D146">
        <v>189</v>
      </c>
      <c r="E146" t="s">
        <v>20</v>
      </c>
      <c r="F146">
        <v>14</v>
      </c>
      <c r="G146" t="s">
        <v>15</v>
      </c>
      <c r="H146">
        <v>1</v>
      </c>
      <c r="I146">
        <v>24</v>
      </c>
      <c r="J146">
        <v>0</v>
      </c>
      <c r="K146" t="s">
        <v>16</v>
      </c>
      <c r="L146" t="s">
        <v>17</v>
      </c>
      <c r="M146">
        <f>IF(Table1[[#This Row],[ألغى الاشتراك]]="نعم",1,0)</f>
        <v>0</v>
      </c>
      <c r="N146">
        <f>IF(Table1[[#This Row],[وسيلة الدفع]]="بطاقة",1,0)</f>
        <v>1</v>
      </c>
      <c r="O146">
        <f>IF(Table1[[#This Row],[وسيلة الدفع]]="محفظة",1,0)</f>
        <v>0</v>
      </c>
      <c r="P146">
        <f>IF(Table1[[#This Row],[وسيلة الدفع]]="تحويل",1,0)</f>
        <v>0</v>
      </c>
      <c r="Q146">
        <f>IF(Table1[[#This Row],[حضر التهيئة]]="نعم",1,0)</f>
        <v>1</v>
      </c>
      <c r="R146">
        <f>IF(Table1[[#This Row],[دورة الفوترة]]="شهري",1,0)</f>
        <v>0</v>
      </c>
    </row>
    <row r="147" spans="1:18" x14ac:dyDescent="0.25">
      <c r="A147" t="s">
        <v>167</v>
      </c>
      <c r="B147" s="1">
        <v>45724</v>
      </c>
      <c r="C147" t="s">
        <v>13</v>
      </c>
      <c r="D147">
        <v>89</v>
      </c>
      <c r="E147" t="s">
        <v>14</v>
      </c>
      <c r="F147">
        <v>19</v>
      </c>
      <c r="G147" t="s">
        <v>23</v>
      </c>
      <c r="H147">
        <v>0</v>
      </c>
      <c r="I147">
        <v>3</v>
      </c>
      <c r="J147">
        <v>0</v>
      </c>
      <c r="K147" t="s">
        <v>16</v>
      </c>
      <c r="L147" t="s">
        <v>17</v>
      </c>
      <c r="M147">
        <f>IF(Table1[[#This Row],[ألغى الاشتراك]]="نعم",1,0)</f>
        <v>0</v>
      </c>
      <c r="N147">
        <f>IF(Table1[[#This Row],[وسيلة الدفع]]="بطاقة",1,0)</f>
        <v>0</v>
      </c>
      <c r="O147">
        <f>IF(Table1[[#This Row],[وسيلة الدفع]]="محفظة",1,0)</f>
        <v>0</v>
      </c>
      <c r="P147">
        <f>IF(Table1[[#This Row],[وسيلة الدفع]]="تحويل",1,0)</f>
        <v>1</v>
      </c>
      <c r="Q147">
        <f>IF(Table1[[#This Row],[حضر التهيئة]]="نعم",1,0)</f>
        <v>1</v>
      </c>
      <c r="R147">
        <f>IF(Table1[[#This Row],[دورة الفوترة]]="شهري",1,0)</f>
        <v>1</v>
      </c>
    </row>
    <row r="148" spans="1:18" x14ac:dyDescent="0.25">
      <c r="A148" t="s">
        <v>168</v>
      </c>
      <c r="B148" s="1">
        <v>45387</v>
      </c>
      <c r="C148" t="s">
        <v>13</v>
      </c>
      <c r="D148">
        <v>89</v>
      </c>
      <c r="E148" t="s">
        <v>14</v>
      </c>
      <c r="F148">
        <v>22</v>
      </c>
      <c r="G148" t="s">
        <v>21</v>
      </c>
      <c r="H148">
        <v>2</v>
      </c>
      <c r="I148">
        <v>18</v>
      </c>
      <c r="J148">
        <v>0</v>
      </c>
      <c r="K148" t="s">
        <v>17</v>
      </c>
      <c r="L148" t="s">
        <v>17</v>
      </c>
      <c r="M148">
        <f>IF(Table1[[#This Row],[ألغى الاشتراك]]="نعم",1,0)</f>
        <v>0</v>
      </c>
      <c r="N148">
        <f>IF(Table1[[#This Row],[وسيلة الدفع]]="بطاقة",1,0)</f>
        <v>0</v>
      </c>
      <c r="O148">
        <f>IF(Table1[[#This Row],[وسيلة الدفع]]="محفظة",1,0)</f>
        <v>1</v>
      </c>
      <c r="P148">
        <f>IF(Table1[[#This Row],[وسيلة الدفع]]="تحويل",1,0)</f>
        <v>0</v>
      </c>
      <c r="Q148">
        <f>IF(Table1[[#This Row],[حضر التهيئة]]="نعم",1,0)</f>
        <v>0</v>
      </c>
      <c r="R148">
        <f>IF(Table1[[#This Row],[دورة الفوترة]]="شهري",1,0)</f>
        <v>1</v>
      </c>
    </row>
    <row r="149" spans="1:18" x14ac:dyDescent="0.25">
      <c r="A149" t="s">
        <v>169</v>
      </c>
      <c r="B149" s="1">
        <v>45470</v>
      </c>
      <c r="C149" t="s">
        <v>28</v>
      </c>
      <c r="D149">
        <v>39</v>
      </c>
      <c r="E149" t="s">
        <v>14</v>
      </c>
      <c r="F149">
        <v>9</v>
      </c>
      <c r="G149" t="s">
        <v>21</v>
      </c>
      <c r="H149">
        <v>0</v>
      </c>
      <c r="I149">
        <v>55</v>
      </c>
      <c r="J149">
        <v>10</v>
      </c>
      <c r="K149" t="s">
        <v>17</v>
      </c>
      <c r="L149" t="s">
        <v>16</v>
      </c>
      <c r="M149">
        <f>IF(Table1[[#This Row],[ألغى الاشتراك]]="نعم",1,0)</f>
        <v>1</v>
      </c>
      <c r="N149">
        <f>IF(Table1[[#This Row],[وسيلة الدفع]]="بطاقة",1,0)</f>
        <v>0</v>
      </c>
      <c r="O149">
        <f>IF(Table1[[#This Row],[وسيلة الدفع]]="محفظة",1,0)</f>
        <v>1</v>
      </c>
      <c r="P149">
        <f>IF(Table1[[#This Row],[وسيلة الدفع]]="تحويل",1,0)</f>
        <v>0</v>
      </c>
      <c r="Q149">
        <f>IF(Table1[[#This Row],[حضر التهيئة]]="نعم",1,0)</f>
        <v>0</v>
      </c>
      <c r="R149">
        <f>IF(Table1[[#This Row],[دورة الفوترة]]="شهري",1,0)</f>
        <v>1</v>
      </c>
    </row>
    <row r="150" spans="1:18" x14ac:dyDescent="0.25">
      <c r="A150" t="s">
        <v>170</v>
      </c>
      <c r="B150" s="1">
        <v>45740</v>
      </c>
      <c r="C150" t="s">
        <v>19</v>
      </c>
      <c r="D150">
        <v>189</v>
      </c>
      <c r="E150" t="s">
        <v>20</v>
      </c>
      <c r="F150">
        <v>13</v>
      </c>
      <c r="G150" t="s">
        <v>23</v>
      </c>
      <c r="H150">
        <v>2</v>
      </c>
      <c r="I150">
        <v>5</v>
      </c>
      <c r="J150">
        <v>0</v>
      </c>
      <c r="K150" t="s">
        <v>17</v>
      </c>
      <c r="L150" t="s">
        <v>17</v>
      </c>
      <c r="M150">
        <f>IF(Table1[[#This Row],[ألغى الاشتراك]]="نعم",1,0)</f>
        <v>0</v>
      </c>
      <c r="N150">
        <f>IF(Table1[[#This Row],[وسيلة الدفع]]="بطاقة",1,0)</f>
        <v>0</v>
      </c>
      <c r="O150">
        <f>IF(Table1[[#This Row],[وسيلة الدفع]]="محفظة",1,0)</f>
        <v>0</v>
      </c>
      <c r="P150">
        <f>IF(Table1[[#This Row],[وسيلة الدفع]]="تحويل",1,0)</f>
        <v>1</v>
      </c>
      <c r="Q150">
        <f>IF(Table1[[#This Row],[حضر التهيئة]]="نعم",1,0)</f>
        <v>0</v>
      </c>
      <c r="R150">
        <f>IF(Table1[[#This Row],[دورة الفوترة]]="شهري",1,0)</f>
        <v>0</v>
      </c>
    </row>
    <row r="151" spans="1:18" x14ac:dyDescent="0.25">
      <c r="A151" t="s">
        <v>171</v>
      </c>
      <c r="B151" s="1">
        <v>45391</v>
      </c>
      <c r="C151" t="s">
        <v>13</v>
      </c>
      <c r="D151">
        <v>89</v>
      </c>
      <c r="E151" t="s">
        <v>14</v>
      </c>
      <c r="F151">
        <v>4</v>
      </c>
      <c r="G151" t="s">
        <v>23</v>
      </c>
      <c r="H151">
        <v>0</v>
      </c>
      <c r="I151">
        <v>6</v>
      </c>
      <c r="J151">
        <v>0</v>
      </c>
      <c r="K151" t="s">
        <v>16</v>
      </c>
      <c r="L151" t="s">
        <v>17</v>
      </c>
      <c r="M151">
        <f>IF(Table1[[#This Row],[ألغى الاشتراك]]="نعم",1,0)</f>
        <v>0</v>
      </c>
      <c r="N151">
        <f>IF(Table1[[#This Row],[وسيلة الدفع]]="بطاقة",1,0)</f>
        <v>0</v>
      </c>
      <c r="O151">
        <f>IF(Table1[[#This Row],[وسيلة الدفع]]="محفظة",1,0)</f>
        <v>0</v>
      </c>
      <c r="P151">
        <f>IF(Table1[[#This Row],[وسيلة الدفع]]="تحويل",1,0)</f>
        <v>1</v>
      </c>
      <c r="Q151">
        <f>IF(Table1[[#This Row],[حضر التهيئة]]="نعم",1,0)</f>
        <v>1</v>
      </c>
      <c r="R151">
        <f>IF(Table1[[#This Row],[دورة الفوترة]]="شهري",1,0)</f>
        <v>1</v>
      </c>
    </row>
    <row r="152" spans="1:18" x14ac:dyDescent="0.25">
      <c r="A152" t="s">
        <v>172</v>
      </c>
      <c r="B152" s="1">
        <v>45659</v>
      </c>
      <c r="C152" t="s">
        <v>28</v>
      </c>
      <c r="D152">
        <v>39</v>
      </c>
      <c r="E152" t="s">
        <v>14</v>
      </c>
      <c r="F152">
        <v>11</v>
      </c>
      <c r="G152" t="s">
        <v>23</v>
      </c>
      <c r="H152">
        <v>0</v>
      </c>
      <c r="I152">
        <v>35</v>
      </c>
      <c r="J152">
        <v>0</v>
      </c>
      <c r="K152" t="s">
        <v>16</v>
      </c>
      <c r="L152" t="s">
        <v>17</v>
      </c>
      <c r="M152">
        <f>IF(Table1[[#This Row],[ألغى الاشتراك]]="نعم",1,0)</f>
        <v>0</v>
      </c>
      <c r="N152">
        <f>IF(Table1[[#This Row],[وسيلة الدفع]]="بطاقة",1,0)</f>
        <v>0</v>
      </c>
      <c r="O152">
        <f>IF(Table1[[#This Row],[وسيلة الدفع]]="محفظة",1,0)</f>
        <v>0</v>
      </c>
      <c r="P152">
        <f>IF(Table1[[#This Row],[وسيلة الدفع]]="تحويل",1,0)</f>
        <v>1</v>
      </c>
      <c r="Q152">
        <f>IF(Table1[[#This Row],[حضر التهيئة]]="نعم",1,0)</f>
        <v>1</v>
      </c>
      <c r="R152">
        <f>IF(Table1[[#This Row],[دورة الفوترة]]="شهري",1,0)</f>
        <v>1</v>
      </c>
    </row>
    <row r="153" spans="1:18" x14ac:dyDescent="0.25">
      <c r="A153" t="s">
        <v>173</v>
      </c>
      <c r="B153" s="1">
        <v>45985</v>
      </c>
      <c r="C153" t="s">
        <v>13</v>
      </c>
      <c r="D153">
        <v>89</v>
      </c>
      <c r="E153" t="s">
        <v>14</v>
      </c>
      <c r="F153">
        <v>6</v>
      </c>
      <c r="G153" t="s">
        <v>23</v>
      </c>
      <c r="H153">
        <v>1</v>
      </c>
      <c r="I153">
        <v>10</v>
      </c>
      <c r="J153">
        <v>15</v>
      </c>
      <c r="K153" t="s">
        <v>17</v>
      </c>
      <c r="L153" t="s">
        <v>17</v>
      </c>
      <c r="M153">
        <f>IF(Table1[[#This Row],[ألغى الاشتراك]]="نعم",1,0)</f>
        <v>0</v>
      </c>
      <c r="N153">
        <f>IF(Table1[[#This Row],[وسيلة الدفع]]="بطاقة",1,0)</f>
        <v>0</v>
      </c>
      <c r="O153">
        <f>IF(Table1[[#This Row],[وسيلة الدفع]]="محفظة",1,0)</f>
        <v>0</v>
      </c>
      <c r="P153">
        <f>IF(Table1[[#This Row],[وسيلة الدفع]]="تحويل",1,0)</f>
        <v>1</v>
      </c>
      <c r="Q153">
        <f>IF(Table1[[#This Row],[حضر التهيئة]]="نعم",1,0)</f>
        <v>0</v>
      </c>
      <c r="R153">
        <f>IF(Table1[[#This Row],[دورة الفوترة]]="شهري",1,0)</f>
        <v>1</v>
      </c>
    </row>
    <row r="154" spans="1:18" x14ac:dyDescent="0.25">
      <c r="A154" t="s">
        <v>174</v>
      </c>
      <c r="B154" s="1">
        <v>45391</v>
      </c>
      <c r="C154" t="s">
        <v>19</v>
      </c>
      <c r="D154">
        <v>189</v>
      </c>
      <c r="E154" t="s">
        <v>14</v>
      </c>
      <c r="F154">
        <v>10</v>
      </c>
      <c r="G154" t="s">
        <v>15</v>
      </c>
      <c r="H154">
        <v>10</v>
      </c>
      <c r="I154">
        <v>32</v>
      </c>
      <c r="J154">
        <v>0</v>
      </c>
      <c r="K154" t="s">
        <v>16</v>
      </c>
      <c r="L154" t="s">
        <v>17</v>
      </c>
      <c r="M154">
        <f>IF(Table1[[#This Row],[ألغى الاشتراك]]="نعم",1,0)</f>
        <v>0</v>
      </c>
      <c r="N154">
        <f>IF(Table1[[#This Row],[وسيلة الدفع]]="بطاقة",1,0)</f>
        <v>1</v>
      </c>
      <c r="O154">
        <f>IF(Table1[[#This Row],[وسيلة الدفع]]="محفظة",1,0)</f>
        <v>0</v>
      </c>
      <c r="P154">
        <f>IF(Table1[[#This Row],[وسيلة الدفع]]="تحويل",1,0)</f>
        <v>0</v>
      </c>
      <c r="Q154">
        <f>IF(Table1[[#This Row],[حضر التهيئة]]="نعم",1,0)</f>
        <v>1</v>
      </c>
      <c r="R154">
        <f>IF(Table1[[#This Row],[دورة الفوترة]]="شهري",1,0)</f>
        <v>1</v>
      </c>
    </row>
    <row r="155" spans="1:18" x14ac:dyDescent="0.25">
      <c r="A155" t="s">
        <v>175</v>
      </c>
      <c r="B155" s="1">
        <v>45799</v>
      </c>
      <c r="C155" t="s">
        <v>28</v>
      </c>
      <c r="D155">
        <v>39</v>
      </c>
      <c r="E155" t="s">
        <v>14</v>
      </c>
      <c r="F155">
        <v>17</v>
      </c>
      <c r="G155" t="s">
        <v>23</v>
      </c>
      <c r="H155">
        <v>1</v>
      </c>
      <c r="I155">
        <v>51</v>
      </c>
      <c r="J155">
        <v>0</v>
      </c>
      <c r="K155" t="s">
        <v>16</v>
      </c>
      <c r="L155" t="s">
        <v>17</v>
      </c>
      <c r="M155">
        <f>IF(Table1[[#This Row],[ألغى الاشتراك]]="نعم",1,0)</f>
        <v>0</v>
      </c>
      <c r="N155">
        <f>IF(Table1[[#This Row],[وسيلة الدفع]]="بطاقة",1,0)</f>
        <v>0</v>
      </c>
      <c r="O155">
        <f>IF(Table1[[#This Row],[وسيلة الدفع]]="محفظة",1,0)</f>
        <v>0</v>
      </c>
      <c r="P155">
        <f>IF(Table1[[#This Row],[وسيلة الدفع]]="تحويل",1,0)</f>
        <v>1</v>
      </c>
      <c r="Q155">
        <f>IF(Table1[[#This Row],[حضر التهيئة]]="نعم",1,0)</f>
        <v>1</v>
      </c>
      <c r="R155">
        <f>IF(Table1[[#This Row],[دورة الفوترة]]="شهري",1,0)</f>
        <v>1</v>
      </c>
    </row>
    <row r="156" spans="1:18" x14ac:dyDescent="0.25">
      <c r="A156" t="s">
        <v>176</v>
      </c>
      <c r="B156" s="1">
        <v>45584</v>
      </c>
      <c r="C156" t="s">
        <v>19</v>
      </c>
      <c r="D156">
        <v>189</v>
      </c>
      <c r="E156" t="s">
        <v>14</v>
      </c>
      <c r="F156">
        <v>24</v>
      </c>
      <c r="G156" t="s">
        <v>15</v>
      </c>
      <c r="H156">
        <v>7</v>
      </c>
      <c r="I156">
        <v>40</v>
      </c>
      <c r="J156">
        <v>0</v>
      </c>
      <c r="K156" t="s">
        <v>17</v>
      </c>
      <c r="L156" t="s">
        <v>17</v>
      </c>
      <c r="M156">
        <f>IF(Table1[[#This Row],[ألغى الاشتراك]]="نعم",1,0)</f>
        <v>0</v>
      </c>
      <c r="N156">
        <f>IF(Table1[[#This Row],[وسيلة الدفع]]="بطاقة",1,0)</f>
        <v>1</v>
      </c>
      <c r="O156">
        <f>IF(Table1[[#This Row],[وسيلة الدفع]]="محفظة",1,0)</f>
        <v>0</v>
      </c>
      <c r="P156">
        <f>IF(Table1[[#This Row],[وسيلة الدفع]]="تحويل",1,0)</f>
        <v>0</v>
      </c>
      <c r="Q156">
        <f>IF(Table1[[#This Row],[حضر التهيئة]]="نعم",1,0)</f>
        <v>0</v>
      </c>
      <c r="R156">
        <f>IF(Table1[[#This Row],[دورة الفوترة]]="شهري",1,0)</f>
        <v>1</v>
      </c>
    </row>
    <row r="157" spans="1:18" x14ac:dyDescent="0.25">
      <c r="A157" t="s">
        <v>177</v>
      </c>
      <c r="B157" s="1">
        <v>45850</v>
      </c>
      <c r="C157" t="s">
        <v>19</v>
      </c>
      <c r="D157">
        <v>189</v>
      </c>
      <c r="E157" t="s">
        <v>14</v>
      </c>
      <c r="F157">
        <v>21</v>
      </c>
      <c r="G157" t="s">
        <v>21</v>
      </c>
      <c r="H157">
        <v>10</v>
      </c>
      <c r="I157">
        <v>3</v>
      </c>
      <c r="J157">
        <v>0</v>
      </c>
      <c r="K157" t="s">
        <v>16</v>
      </c>
      <c r="L157" t="s">
        <v>17</v>
      </c>
      <c r="M157">
        <f>IF(Table1[[#This Row],[ألغى الاشتراك]]="نعم",1,0)</f>
        <v>0</v>
      </c>
      <c r="N157">
        <f>IF(Table1[[#This Row],[وسيلة الدفع]]="بطاقة",1,0)</f>
        <v>0</v>
      </c>
      <c r="O157">
        <f>IF(Table1[[#This Row],[وسيلة الدفع]]="محفظة",1,0)</f>
        <v>1</v>
      </c>
      <c r="P157">
        <f>IF(Table1[[#This Row],[وسيلة الدفع]]="تحويل",1,0)</f>
        <v>0</v>
      </c>
      <c r="Q157">
        <f>IF(Table1[[#This Row],[حضر التهيئة]]="نعم",1,0)</f>
        <v>1</v>
      </c>
      <c r="R157">
        <f>IF(Table1[[#This Row],[دورة الفوترة]]="شهري",1,0)</f>
        <v>1</v>
      </c>
    </row>
    <row r="158" spans="1:18" x14ac:dyDescent="0.25">
      <c r="A158" t="s">
        <v>178</v>
      </c>
      <c r="B158" s="1">
        <v>45631</v>
      </c>
      <c r="C158" t="s">
        <v>28</v>
      </c>
      <c r="D158">
        <v>39</v>
      </c>
      <c r="E158" t="s">
        <v>14</v>
      </c>
      <c r="F158">
        <v>16</v>
      </c>
      <c r="G158" t="s">
        <v>15</v>
      </c>
      <c r="H158">
        <v>1</v>
      </c>
      <c r="I158">
        <v>26</v>
      </c>
      <c r="J158">
        <v>0</v>
      </c>
      <c r="K158" t="s">
        <v>17</v>
      </c>
      <c r="L158" t="s">
        <v>17</v>
      </c>
      <c r="M158">
        <f>IF(Table1[[#This Row],[ألغى الاشتراك]]="نعم",1,0)</f>
        <v>0</v>
      </c>
      <c r="N158">
        <f>IF(Table1[[#This Row],[وسيلة الدفع]]="بطاقة",1,0)</f>
        <v>1</v>
      </c>
      <c r="O158">
        <f>IF(Table1[[#This Row],[وسيلة الدفع]]="محفظة",1,0)</f>
        <v>0</v>
      </c>
      <c r="P158">
        <f>IF(Table1[[#This Row],[وسيلة الدفع]]="تحويل",1,0)</f>
        <v>0</v>
      </c>
      <c r="Q158">
        <f>IF(Table1[[#This Row],[حضر التهيئة]]="نعم",1,0)</f>
        <v>0</v>
      </c>
      <c r="R158">
        <f>IF(Table1[[#This Row],[دورة الفوترة]]="شهري",1,0)</f>
        <v>1</v>
      </c>
    </row>
    <row r="159" spans="1:18" x14ac:dyDescent="0.25">
      <c r="A159" t="s">
        <v>179</v>
      </c>
      <c r="B159" s="1">
        <v>45470</v>
      </c>
      <c r="C159" t="s">
        <v>19</v>
      </c>
      <c r="D159">
        <v>189</v>
      </c>
      <c r="E159" t="s">
        <v>20</v>
      </c>
      <c r="F159">
        <v>19</v>
      </c>
      <c r="G159" t="s">
        <v>15</v>
      </c>
      <c r="H159">
        <v>2</v>
      </c>
      <c r="I159">
        <v>13</v>
      </c>
      <c r="J159">
        <v>10</v>
      </c>
      <c r="K159" t="s">
        <v>16</v>
      </c>
      <c r="L159" t="s">
        <v>17</v>
      </c>
      <c r="M159">
        <f>IF(Table1[[#This Row],[ألغى الاشتراك]]="نعم",1,0)</f>
        <v>0</v>
      </c>
      <c r="N159">
        <f>IF(Table1[[#This Row],[وسيلة الدفع]]="بطاقة",1,0)</f>
        <v>1</v>
      </c>
      <c r="O159">
        <f>IF(Table1[[#This Row],[وسيلة الدفع]]="محفظة",1,0)</f>
        <v>0</v>
      </c>
      <c r="P159">
        <f>IF(Table1[[#This Row],[وسيلة الدفع]]="تحويل",1,0)</f>
        <v>0</v>
      </c>
      <c r="Q159">
        <f>IF(Table1[[#This Row],[حضر التهيئة]]="نعم",1,0)</f>
        <v>1</v>
      </c>
      <c r="R159">
        <f>IF(Table1[[#This Row],[دورة الفوترة]]="شهري",1,0)</f>
        <v>0</v>
      </c>
    </row>
    <row r="160" spans="1:18" x14ac:dyDescent="0.25">
      <c r="A160" t="s">
        <v>180</v>
      </c>
      <c r="B160" s="1">
        <v>45391</v>
      </c>
      <c r="C160" t="s">
        <v>19</v>
      </c>
      <c r="D160">
        <v>189</v>
      </c>
      <c r="E160" t="s">
        <v>14</v>
      </c>
      <c r="F160">
        <v>9</v>
      </c>
      <c r="G160" t="s">
        <v>15</v>
      </c>
      <c r="H160">
        <v>0</v>
      </c>
      <c r="I160">
        <v>3</v>
      </c>
      <c r="J160">
        <v>25</v>
      </c>
      <c r="K160" t="s">
        <v>16</v>
      </c>
      <c r="L160" t="s">
        <v>16</v>
      </c>
      <c r="M160">
        <f>IF(Table1[[#This Row],[ألغى الاشتراك]]="نعم",1,0)</f>
        <v>1</v>
      </c>
      <c r="N160">
        <f>IF(Table1[[#This Row],[وسيلة الدفع]]="بطاقة",1,0)</f>
        <v>1</v>
      </c>
      <c r="O160">
        <f>IF(Table1[[#This Row],[وسيلة الدفع]]="محفظة",1,0)</f>
        <v>0</v>
      </c>
      <c r="P160">
        <f>IF(Table1[[#This Row],[وسيلة الدفع]]="تحويل",1,0)</f>
        <v>0</v>
      </c>
      <c r="Q160">
        <f>IF(Table1[[#This Row],[حضر التهيئة]]="نعم",1,0)</f>
        <v>1</v>
      </c>
      <c r="R160">
        <f>IF(Table1[[#This Row],[دورة الفوترة]]="شهري",1,0)</f>
        <v>1</v>
      </c>
    </row>
    <row r="161" spans="1:18" x14ac:dyDescent="0.25">
      <c r="A161" t="s">
        <v>181</v>
      </c>
      <c r="B161" s="1">
        <v>45675</v>
      </c>
      <c r="C161" t="s">
        <v>19</v>
      </c>
      <c r="D161">
        <v>189</v>
      </c>
      <c r="E161" t="s">
        <v>14</v>
      </c>
      <c r="F161">
        <v>17</v>
      </c>
      <c r="G161" t="s">
        <v>21</v>
      </c>
      <c r="H161">
        <v>1</v>
      </c>
      <c r="I161">
        <v>5</v>
      </c>
      <c r="J161">
        <v>0</v>
      </c>
      <c r="K161" t="s">
        <v>17</v>
      </c>
      <c r="L161" t="s">
        <v>16</v>
      </c>
      <c r="M161">
        <f>IF(Table1[[#This Row],[ألغى الاشتراك]]="نعم",1,0)</f>
        <v>1</v>
      </c>
      <c r="N161">
        <f>IF(Table1[[#This Row],[وسيلة الدفع]]="بطاقة",1,0)</f>
        <v>0</v>
      </c>
      <c r="O161">
        <f>IF(Table1[[#This Row],[وسيلة الدفع]]="محفظة",1,0)</f>
        <v>1</v>
      </c>
      <c r="P161">
        <f>IF(Table1[[#This Row],[وسيلة الدفع]]="تحويل",1,0)</f>
        <v>0</v>
      </c>
      <c r="Q161">
        <f>IF(Table1[[#This Row],[حضر التهيئة]]="نعم",1,0)</f>
        <v>0</v>
      </c>
      <c r="R161">
        <f>IF(Table1[[#This Row],[دورة الفوترة]]="شهري",1,0)</f>
        <v>1</v>
      </c>
    </row>
    <row r="162" spans="1:18" x14ac:dyDescent="0.25">
      <c r="A162" t="s">
        <v>182</v>
      </c>
      <c r="B162" s="1">
        <v>45466</v>
      </c>
      <c r="C162" t="s">
        <v>19</v>
      </c>
      <c r="D162">
        <v>189</v>
      </c>
      <c r="E162" t="s">
        <v>14</v>
      </c>
      <c r="F162">
        <v>28</v>
      </c>
      <c r="G162" t="s">
        <v>21</v>
      </c>
      <c r="H162">
        <v>1</v>
      </c>
      <c r="I162">
        <v>34</v>
      </c>
      <c r="J162">
        <v>0</v>
      </c>
      <c r="K162" t="s">
        <v>16</v>
      </c>
      <c r="L162" t="s">
        <v>17</v>
      </c>
      <c r="M162">
        <f>IF(Table1[[#This Row],[ألغى الاشتراك]]="نعم",1,0)</f>
        <v>0</v>
      </c>
      <c r="N162">
        <f>IF(Table1[[#This Row],[وسيلة الدفع]]="بطاقة",1,0)</f>
        <v>0</v>
      </c>
      <c r="O162">
        <f>IF(Table1[[#This Row],[وسيلة الدفع]]="محفظة",1,0)</f>
        <v>1</v>
      </c>
      <c r="P162">
        <f>IF(Table1[[#This Row],[وسيلة الدفع]]="تحويل",1,0)</f>
        <v>0</v>
      </c>
      <c r="Q162">
        <f>IF(Table1[[#This Row],[حضر التهيئة]]="نعم",1,0)</f>
        <v>1</v>
      </c>
      <c r="R162">
        <f>IF(Table1[[#This Row],[دورة الفوترة]]="شهري",1,0)</f>
        <v>1</v>
      </c>
    </row>
    <row r="163" spans="1:18" x14ac:dyDescent="0.25">
      <c r="A163" t="s">
        <v>183</v>
      </c>
      <c r="B163" s="1">
        <v>45732</v>
      </c>
      <c r="C163" t="s">
        <v>19</v>
      </c>
      <c r="D163">
        <v>189</v>
      </c>
      <c r="E163" t="s">
        <v>20</v>
      </c>
      <c r="F163">
        <v>27</v>
      </c>
      <c r="G163" t="s">
        <v>23</v>
      </c>
      <c r="H163">
        <v>0</v>
      </c>
      <c r="I163">
        <v>39</v>
      </c>
      <c r="J163">
        <v>0</v>
      </c>
      <c r="K163" t="s">
        <v>16</v>
      </c>
      <c r="L163" t="s">
        <v>16</v>
      </c>
      <c r="M163">
        <f>IF(Table1[[#This Row],[ألغى الاشتراك]]="نعم",1,0)</f>
        <v>1</v>
      </c>
      <c r="N163">
        <f>IF(Table1[[#This Row],[وسيلة الدفع]]="بطاقة",1,0)</f>
        <v>0</v>
      </c>
      <c r="O163">
        <f>IF(Table1[[#This Row],[وسيلة الدفع]]="محفظة",1,0)</f>
        <v>0</v>
      </c>
      <c r="P163">
        <f>IF(Table1[[#This Row],[وسيلة الدفع]]="تحويل",1,0)</f>
        <v>1</v>
      </c>
      <c r="Q163">
        <f>IF(Table1[[#This Row],[حضر التهيئة]]="نعم",1,0)</f>
        <v>1</v>
      </c>
      <c r="R163">
        <f>IF(Table1[[#This Row],[دورة الفوترة]]="شهري",1,0)</f>
        <v>0</v>
      </c>
    </row>
    <row r="164" spans="1:18" x14ac:dyDescent="0.25">
      <c r="A164" t="s">
        <v>184</v>
      </c>
      <c r="B164" s="1">
        <v>45631</v>
      </c>
      <c r="C164" t="s">
        <v>28</v>
      </c>
      <c r="D164">
        <v>39</v>
      </c>
      <c r="E164" t="s">
        <v>14</v>
      </c>
      <c r="F164">
        <v>4</v>
      </c>
      <c r="G164" t="s">
        <v>15</v>
      </c>
      <c r="H164">
        <v>2</v>
      </c>
      <c r="I164">
        <v>46</v>
      </c>
      <c r="J164">
        <v>0</v>
      </c>
      <c r="K164" t="s">
        <v>16</v>
      </c>
      <c r="L164" t="s">
        <v>16</v>
      </c>
      <c r="M164">
        <f>IF(Table1[[#This Row],[ألغى الاشتراك]]="نعم",1,0)</f>
        <v>1</v>
      </c>
      <c r="N164">
        <f>IF(Table1[[#This Row],[وسيلة الدفع]]="بطاقة",1,0)</f>
        <v>1</v>
      </c>
      <c r="O164">
        <f>IF(Table1[[#This Row],[وسيلة الدفع]]="محفظة",1,0)</f>
        <v>0</v>
      </c>
      <c r="P164">
        <f>IF(Table1[[#This Row],[وسيلة الدفع]]="تحويل",1,0)</f>
        <v>0</v>
      </c>
      <c r="Q164">
        <f>IF(Table1[[#This Row],[حضر التهيئة]]="نعم",1,0)</f>
        <v>1</v>
      </c>
      <c r="R164">
        <f>IF(Table1[[#This Row],[دورة الفوترة]]="شهري",1,0)</f>
        <v>1</v>
      </c>
    </row>
    <row r="165" spans="1:18" x14ac:dyDescent="0.25">
      <c r="A165" t="s">
        <v>185</v>
      </c>
      <c r="B165" s="1">
        <v>45783</v>
      </c>
      <c r="C165" t="s">
        <v>13</v>
      </c>
      <c r="D165">
        <v>89</v>
      </c>
      <c r="E165" t="s">
        <v>14</v>
      </c>
      <c r="F165">
        <v>25</v>
      </c>
      <c r="G165" t="s">
        <v>15</v>
      </c>
      <c r="H165">
        <v>0</v>
      </c>
      <c r="I165">
        <v>23</v>
      </c>
      <c r="J165">
        <v>0</v>
      </c>
      <c r="K165" t="s">
        <v>17</v>
      </c>
      <c r="L165" t="s">
        <v>17</v>
      </c>
      <c r="M165">
        <f>IF(Table1[[#This Row],[ألغى الاشتراك]]="نعم",1,0)</f>
        <v>0</v>
      </c>
      <c r="N165">
        <f>IF(Table1[[#This Row],[وسيلة الدفع]]="بطاقة",1,0)</f>
        <v>1</v>
      </c>
      <c r="O165">
        <f>IF(Table1[[#This Row],[وسيلة الدفع]]="محفظة",1,0)</f>
        <v>0</v>
      </c>
      <c r="P165">
        <f>IF(Table1[[#This Row],[وسيلة الدفع]]="تحويل",1,0)</f>
        <v>0</v>
      </c>
      <c r="Q165">
        <f>IF(Table1[[#This Row],[حضر التهيئة]]="نعم",1,0)</f>
        <v>0</v>
      </c>
      <c r="R165">
        <f>IF(Table1[[#This Row],[دورة الفوترة]]="شهري",1,0)</f>
        <v>1</v>
      </c>
    </row>
    <row r="166" spans="1:18" x14ac:dyDescent="0.25">
      <c r="A166" t="s">
        <v>186</v>
      </c>
      <c r="B166" s="1">
        <v>45568</v>
      </c>
      <c r="C166" t="s">
        <v>13</v>
      </c>
      <c r="D166">
        <v>89</v>
      </c>
      <c r="E166" t="s">
        <v>14</v>
      </c>
      <c r="F166">
        <v>4</v>
      </c>
      <c r="G166" t="s">
        <v>21</v>
      </c>
      <c r="H166">
        <v>7</v>
      </c>
      <c r="I166">
        <v>50</v>
      </c>
      <c r="J166">
        <v>0</v>
      </c>
      <c r="K166" t="s">
        <v>17</v>
      </c>
      <c r="L166" t="s">
        <v>17</v>
      </c>
      <c r="M166">
        <f>IF(Table1[[#This Row],[ألغى الاشتراك]]="نعم",1,0)</f>
        <v>0</v>
      </c>
      <c r="N166">
        <f>IF(Table1[[#This Row],[وسيلة الدفع]]="بطاقة",1,0)</f>
        <v>0</v>
      </c>
      <c r="O166">
        <f>IF(Table1[[#This Row],[وسيلة الدفع]]="محفظة",1,0)</f>
        <v>1</v>
      </c>
      <c r="P166">
        <f>IF(Table1[[#This Row],[وسيلة الدفع]]="تحويل",1,0)</f>
        <v>0</v>
      </c>
      <c r="Q166">
        <f>IF(Table1[[#This Row],[حضر التهيئة]]="نعم",1,0)</f>
        <v>0</v>
      </c>
      <c r="R166">
        <f>IF(Table1[[#This Row],[دورة الفوترة]]="شهري",1,0)</f>
        <v>1</v>
      </c>
    </row>
    <row r="167" spans="1:18" x14ac:dyDescent="0.25">
      <c r="A167" t="s">
        <v>187</v>
      </c>
      <c r="B167" s="1">
        <v>45862</v>
      </c>
      <c r="C167" t="s">
        <v>13</v>
      </c>
      <c r="D167">
        <v>89</v>
      </c>
      <c r="E167" t="s">
        <v>20</v>
      </c>
      <c r="F167">
        <v>13</v>
      </c>
      <c r="G167" t="s">
        <v>23</v>
      </c>
      <c r="H167">
        <v>0</v>
      </c>
      <c r="I167">
        <v>47</v>
      </c>
      <c r="J167">
        <v>0</v>
      </c>
      <c r="K167" t="s">
        <v>16</v>
      </c>
      <c r="L167" t="s">
        <v>17</v>
      </c>
      <c r="M167">
        <f>IF(Table1[[#This Row],[ألغى الاشتراك]]="نعم",1,0)</f>
        <v>0</v>
      </c>
      <c r="N167">
        <f>IF(Table1[[#This Row],[وسيلة الدفع]]="بطاقة",1,0)</f>
        <v>0</v>
      </c>
      <c r="O167">
        <f>IF(Table1[[#This Row],[وسيلة الدفع]]="محفظة",1,0)</f>
        <v>0</v>
      </c>
      <c r="P167">
        <f>IF(Table1[[#This Row],[وسيلة الدفع]]="تحويل",1,0)</f>
        <v>1</v>
      </c>
      <c r="Q167">
        <f>IF(Table1[[#This Row],[حضر التهيئة]]="نعم",1,0)</f>
        <v>1</v>
      </c>
      <c r="R167">
        <f>IF(Table1[[#This Row],[دورة الفوترة]]="شهري",1,0)</f>
        <v>0</v>
      </c>
    </row>
    <row r="168" spans="1:18" x14ac:dyDescent="0.25">
      <c r="A168" t="s">
        <v>188</v>
      </c>
      <c r="B168" s="1">
        <v>45635</v>
      </c>
      <c r="C168" t="s">
        <v>28</v>
      </c>
      <c r="D168">
        <v>39</v>
      </c>
      <c r="E168" t="s">
        <v>20</v>
      </c>
      <c r="F168">
        <v>24</v>
      </c>
      <c r="G168" t="s">
        <v>15</v>
      </c>
      <c r="H168">
        <v>6</v>
      </c>
      <c r="I168">
        <v>10</v>
      </c>
      <c r="J168">
        <v>0</v>
      </c>
      <c r="K168" t="s">
        <v>16</v>
      </c>
      <c r="L168" t="s">
        <v>17</v>
      </c>
      <c r="M168">
        <f>IF(Table1[[#This Row],[ألغى الاشتراك]]="نعم",1,0)</f>
        <v>0</v>
      </c>
      <c r="N168">
        <f>IF(Table1[[#This Row],[وسيلة الدفع]]="بطاقة",1,0)</f>
        <v>1</v>
      </c>
      <c r="O168">
        <f>IF(Table1[[#This Row],[وسيلة الدفع]]="محفظة",1,0)</f>
        <v>0</v>
      </c>
      <c r="P168">
        <f>IF(Table1[[#This Row],[وسيلة الدفع]]="تحويل",1,0)</f>
        <v>0</v>
      </c>
      <c r="Q168">
        <f>IF(Table1[[#This Row],[حضر التهيئة]]="نعم",1,0)</f>
        <v>1</v>
      </c>
      <c r="R168">
        <f>IF(Table1[[#This Row],[دورة الفوترة]]="شهري",1,0)</f>
        <v>0</v>
      </c>
    </row>
    <row r="169" spans="1:18" x14ac:dyDescent="0.25">
      <c r="A169" t="s">
        <v>189</v>
      </c>
      <c r="B169" s="1">
        <v>45906</v>
      </c>
      <c r="C169" t="s">
        <v>13</v>
      </c>
      <c r="D169">
        <v>89</v>
      </c>
      <c r="E169" t="s">
        <v>20</v>
      </c>
      <c r="F169">
        <v>21</v>
      </c>
      <c r="G169" t="s">
        <v>23</v>
      </c>
      <c r="H169">
        <v>2</v>
      </c>
      <c r="I169">
        <v>21</v>
      </c>
      <c r="J169">
        <v>0</v>
      </c>
      <c r="K169" t="s">
        <v>16</v>
      </c>
      <c r="L169" t="s">
        <v>17</v>
      </c>
      <c r="M169">
        <f>IF(Table1[[#This Row],[ألغى الاشتراك]]="نعم",1,0)</f>
        <v>0</v>
      </c>
      <c r="N169">
        <f>IF(Table1[[#This Row],[وسيلة الدفع]]="بطاقة",1,0)</f>
        <v>0</v>
      </c>
      <c r="O169">
        <f>IF(Table1[[#This Row],[وسيلة الدفع]]="محفظة",1,0)</f>
        <v>0</v>
      </c>
      <c r="P169">
        <f>IF(Table1[[#This Row],[وسيلة الدفع]]="تحويل",1,0)</f>
        <v>1</v>
      </c>
      <c r="Q169">
        <f>IF(Table1[[#This Row],[حضر التهيئة]]="نعم",1,0)</f>
        <v>1</v>
      </c>
      <c r="R169">
        <f>IF(Table1[[#This Row],[دورة الفوترة]]="شهري",1,0)</f>
        <v>0</v>
      </c>
    </row>
    <row r="170" spans="1:18" x14ac:dyDescent="0.25">
      <c r="A170" t="s">
        <v>190</v>
      </c>
      <c r="B170" s="1">
        <v>45981</v>
      </c>
      <c r="C170" t="s">
        <v>28</v>
      </c>
      <c r="D170">
        <v>39</v>
      </c>
      <c r="E170" t="s">
        <v>14</v>
      </c>
      <c r="F170">
        <v>20</v>
      </c>
      <c r="G170" t="s">
        <v>23</v>
      </c>
      <c r="H170">
        <v>1</v>
      </c>
      <c r="I170">
        <v>48</v>
      </c>
      <c r="J170">
        <v>15</v>
      </c>
      <c r="K170" t="s">
        <v>17</v>
      </c>
      <c r="L170" t="s">
        <v>17</v>
      </c>
      <c r="M170">
        <f>IF(Table1[[#This Row],[ألغى الاشتراك]]="نعم",1,0)</f>
        <v>0</v>
      </c>
      <c r="N170">
        <f>IF(Table1[[#This Row],[وسيلة الدفع]]="بطاقة",1,0)</f>
        <v>0</v>
      </c>
      <c r="O170">
        <f>IF(Table1[[#This Row],[وسيلة الدفع]]="محفظة",1,0)</f>
        <v>0</v>
      </c>
      <c r="P170">
        <f>IF(Table1[[#This Row],[وسيلة الدفع]]="تحويل",1,0)</f>
        <v>1</v>
      </c>
      <c r="Q170">
        <f>IF(Table1[[#This Row],[حضر التهيئة]]="نعم",1,0)</f>
        <v>0</v>
      </c>
      <c r="R170">
        <f>IF(Table1[[#This Row],[دورة الفوترة]]="شهري",1,0)</f>
        <v>1</v>
      </c>
    </row>
    <row r="171" spans="1:18" x14ac:dyDescent="0.25">
      <c r="A171" t="s">
        <v>191</v>
      </c>
      <c r="B171" s="1">
        <v>45529</v>
      </c>
      <c r="C171" t="s">
        <v>13</v>
      </c>
      <c r="D171">
        <v>89</v>
      </c>
      <c r="E171" t="s">
        <v>14</v>
      </c>
      <c r="F171">
        <v>22</v>
      </c>
      <c r="G171" t="s">
        <v>23</v>
      </c>
      <c r="H171">
        <v>2</v>
      </c>
      <c r="I171">
        <v>34</v>
      </c>
      <c r="J171">
        <v>0</v>
      </c>
      <c r="K171" t="s">
        <v>16</v>
      </c>
      <c r="L171" t="s">
        <v>17</v>
      </c>
      <c r="M171">
        <f>IF(Table1[[#This Row],[ألغى الاشتراك]]="نعم",1,0)</f>
        <v>0</v>
      </c>
      <c r="N171">
        <f>IF(Table1[[#This Row],[وسيلة الدفع]]="بطاقة",1,0)</f>
        <v>0</v>
      </c>
      <c r="O171">
        <f>IF(Table1[[#This Row],[وسيلة الدفع]]="محفظة",1,0)</f>
        <v>0</v>
      </c>
      <c r="P171">
        <f>IF(Table1[[#This Row],[وسيلة الدفع]]="تحويل",1,0)</f>
        <v>1</v>
      </c>
      <c r="Q171">
        <f>IF(Table1[[#This Row],[حضر التهيئة]]="نعم",1,0)</f>
        <v>1</v>
      </c>
      <c r="R171">
        <f>IF(Table1[[#This Row],[دورة الفوترة]]="شهري",1,0)</f>
        <v>1</v>
      </c>
    </row>
    <row r="172" spans="1:18" x14ac:dyDescent="0.25">
      <c r="A172" t="s">
        <v>192</v>
      </c>
      <c r="B172" s="1">
        <v>45926</v>
      </c>
      <c r="C172" t="s">
        <v>19</v>
      </c>
      <c r="D172">
        <v>189</v>
      </c>
      <c r="E172" t="s">
        <v>20</v>
      </c>
      <c r="F172">
        <v>7</v>
      </c>
      <c r="G172" t="s">
        <v>15</v>
      </c>
      <c r="H172">
        <v>0</v>
      </c>
      <c r="I172">
        <v>3</v>
      </c>
      <c r="J172">
        <v>0</v>
      </c>
      <c r="K172" t="s">
        <v>16</v>
      </c>
      <c r="L172" t="s">
        <v>17</v>
      </c>
      <c r="M172">
        <f>IF(Table1[[#This Row],[ألغى الاشتراك]]="نعم",1,0)</f>
        <v>0</v>
      </c>
      <c r="N172">
        <f>IF(Table1[[#This Row],[وسيلة الدفع]]="بطاقة",1,0)</f>
        <v>1</v>
      </c>
      <c r="O172">
        <f>IF(Table1[[#This Row],[وسيلة الدفع]]="محفظة",1,0)</f>
        <v>0</v>
      </c>
      <c r="P172">
        <f>IF(Table1[[#This Row],[وسيلة الدفع]]="تحويل",1,0)</f>
        <v>0</v>
      </c>
      <c r="Q172">
        <f>IF(Table1[[#This Row],[حضر التهيئة]]="نعم",1,0)</f>
        <v>1</v>
      </c>
      <c r="R172">
        <f>IF(Table1[[#This Row],[دورة الفوترة]]="شهري",1,0)</f>
        <v>0</v>
      </c>
    </row>
    <row r="173" spans="1:18" x14ac:dyDescent="0.25">
      <c r="A173" t="s">
        <v>193</v>
      </c>
      <c r="B173" s="1">
        <v>45588</v>
      </c>
      <c r="C173" t="s">
        <v>19</v>
      </c>
      <c r="D173">
        <v>189</v>
      </c>
      <c r="E173" t="s">
        <v>20</v>
      </c>
      <c r="F173">
        <v>20</v>
      </c>
      <c r="G173" t="s">
        <v>15</v>
      </c>
      <c r="H173">
        <v>1</v>
      </c>
      <c r="I173">
        <v>32</v>
      </c>
      <c r="J173">
        <v>0</v>
      </c>
      <c r="K173" t="s">
        <v>17</v>
      </c>
      <c r="L173" t="s">
        <v>17</v>
      </c>
      <c r="M173">
        <f>IF(Table1[[#This Row],[ألغى الاشتراك]]="نعم",1,0)</f>
        <v>0</v>
      </c>
      <c r="N173">
        <f>IF(Table1[[#This Row],[وسيلة الدفع]]="بطاقة",1,0)</f>
        <v>1</v>
      </c>
      <c r="O173">
        <f>IF(Table1[[#This Row],[وسيلة الدفع]]="محفظة",1,0)</f>
        <v>0</v>
      </c>
      <c r="P173">
        <f>IF(Table1[[#This Row],[وسيلة الدفع]]="تحويل",1,0)</f>
        <v>0</v>
      </c>
      <c r="Q173">
        <f>IF(Table1[[#This Row],[حضر التهيئة]]="نعم",1,0)</f>
        <v>0</v>
      </c>
      <c r="R173">
        <f>IF(Table1[[#This Row],[دورة الفوترة]]="شهري",1,0)</f>
        <v>0</v>
      </c>
    </row>
    <row r="174" spans="1:18" x14ac:dyDescent="0.25">
      <c r="A174" t="s">
        <v>194</v>
      </c>
      <c r="B174" s="1">
        <v>45724</v>
      </c>
      <c r="C174" t="s">
        <v>28</v>
      </c>
      <c r="D174">
        <v>39</v>
      </c>
      <c r="E174" t="s">
        <v>14</v>
      </c>
      <c r="F174">
        <v>7</v>
      </c>
      <c r="G174" t="s">
        <v>23</v>
      </c>
      <c r="H174">
        <v>2</v>
      </c>
      <c r="I174">
        <v>49</v>
      </c>
      <c r="J174">
        <v>0</v>
      </c>
      <c r="K174" t="s">
        <v>16</v>
      </c>
      <c r="L174" t="s">
        <v>17</v>
      </c>
      <c r="M174">
        <f>IF(Table1[[#This Row],[ألغى الاشتراك]]="نعم",1,0)</f>
        <v>0</v>
      </c>
      <c r="N174">
        <f>IF(Table1[[#This Row],[وسيلة الدفع]]="بطاقة",1,0)</f>
        <v>0</v>
      </c>
      <c r="O174">
        <f>IF(Table1[[#This Row],[وسيلة الدفع]]="محفظة",1,0)</f>
        <v>0</v>
      </c>
      <c r="P174">
        <f>IF(Table1[[#This Row],[وسيلة الدفع]]="تحويل",1,0)</f>
        <v>1</v>
      </c>
      <c r="Q174">
        <f>IF(Table1[[#This Row],[حضر التهيئة]]="نعم",1,0)</f>
        <v>1</v>
      </c>
      <c r="R174">
        <f>IF(Table1[[#This Row],[دورة الفوترة]]="شهري",1,0)</f>
        <v>1</v>
      </c>
    </row>
    <row r="175" spans="1:18" x14ac:dyDescent="0.25">
      <c r="A175" t="s">
        <v>195</v>
      </c>
      <c r="B175" s="1">
        <v>45513</v>
      </c>
      <c r="C175" t="s">
        <v>28</v>
      </c>
      <c r="D175">
        <v>39</v>
      </c>
      <c r="E175" t="s">
        <v>20</v>
      </c>
      <c r="F175">
        <v>20</v>
      </c>
      <c r="G175" t="s">
        <v>21</v>
      </c>
      <c r="H175">
        <v>1</v>
      </c>
      <c r="I175">
        <v>20</v>
      </c>
      <c r="J175">
        <v>0</v>
      </c>
      <c r="K175" t="s">
        <v>16</v>
      </c>
      <c r="L175" t="s">
        <v>17</v>
      </c>
      <c r="M175">
        <f>IF(Table1[[#This Row],[ألغى الاشتراك]]="نعم",1,0)</f>
        <v>0</v>
      </c>
      <c r="N175">
        <f>IF(Table1[[#This Row],[وسيلة الدفع]]="بطاقة",1,0)</f>
        <v>0</v>
      </c>
      <c r="O175">
        <f>IF(Table1[[#This Row],[وسيلة الدفع]]="محفظة",1,0)</f>
        <v>1</v>
      </c>
      <c r="P175">
        <f>IF(Table1[[#This Row],[وسيلة الدفع]]="تحويل",1,0)</f>
        <v>0</v>
      </c>
      <c r="Q175">
        <f>IF(Table1[[#This Row],[حضر التهيئة]]="نعم",1,0)</f>
        <v>1</v>
      </c>
      <c r="R175">
        <f>IF(Table1[[#This Row],[دورة الفوترة]]="شهري",1,0)</f>
        <v>0</v>
      </c>
    </row>
    <row r="176" spans="1:18" x14ac:dyDescent="0.25">
      <c r="A176" t="s">
        <v>196</v>
      </c>
      <c r="B176" s="1">
        <v>45663</v>
      </c>
      <c r="C176" t="s">
        <v>28</v>
      </c>
      <c r="D176">
        <v>39</v>
      </c>
      <c r="E176" t="s">
        <v>14</v>
      </c>
      <c r="F176">
        <v>23</v>
      </c>
      <c r="G176" t="s">
        <v>23</v>
      </c>
      <c r="H176">
        <v>6</v>
      </c>
      <c r="I176">
        <v>11</v>
      </c>
      <c r="J176">
        <v>0</v>
      </c>
      <c r="K176" t="s">
        <v>16</v>
      </c>
      <c r="L176" t="s">
        <v>17</v>
      </c>
      <c r="M176">
        <f>IF(Table1[[#This Row],[ألغى الاشتراك]]="نعم",1,0)</f>
        <v>0</v>
      </c>
      <c r="N176">
        <f>IF(Table1[[#This Row],[وسيلة الدفع]]="بطاقة",1,0)</f>
        <v>0</v>
      </c>
      <c r="O176">
        <f>IF(Table1[[#This Row],[وسيلة الدفع]]="محفظة",1,0)</f>
        <v>0</v>
      </c>
      <c r="P176">
        <f>IF(Table1[[#This Row],[وسيلة الدفع]]="تحويل",1,0)</f>
        <v>1</v>
      </c>
      <c r="Q176">
        <f>IF(Table1[[#This Row],[حضر التهيئة]]="نعم",1,0)</f>
        <v>1</v>
      </c>
      <c r="R176">
        <f>IF(Table1[[#This Row],[دورة الفوترة]]="شهري",1,0)</f>
        <v>1</v>
      </c>
    </row>
    <row r="177" spans="1:18" x14ac:dyDescent="0.25">
      <c r="A177" t="s">
        <v>197</v>
      </c>
      <c r="B177" s="1">
        <v>45325</v>
      </c>
      <c r="C177" t="s">
        <v>13</v>
      </c>
      <c r="D177">
        <v>89</v>
      </c>
      <c r="E177" t="s">
        <v>14</v>
      </c>
      <c r="F177">
        <v>8</v>
      </c>
      <c r="G177" t="s">
        <v>23</v>
      </c>
      <c r="H177">
        <v>6</v>
      </c>
      <c r="I177">
        <v>10</v>
      </c>
      <c r="J177">
        <v>0</v>
      </c>
      <c r="K177" t="s">
        <v>16</v>
      </c>
      <c r="L177" t="s">
        <v>17</v>
      </c>
      <c r="M177">
        <f>IF(Table1[[#This Row],[ألغى الاشتراك]]="نعم",1,0)</f>
        <v>0</v>
      </c>
      <c r="N177">
        <f>IF(Table1[[#This Row],[وسيلة الدفع]]="بطاقة",1,0)</f>
        <v>0</v>
      </c>
      <c r="O177">
        <f>IF(Table1[[#This Row],[وسيلة الدفع]]="محفظة",1,0)</f>
        <v>0</v>
      </c>
      <c r="P177">
        <f>IF(Table1[[#This Row],[وسيلة الدفع]]="تحويل",1,0)</f>
        <v>1</v>
      </c>
      <c r="Q177">
        <f>IF(Table1[[#This Row],[حضر التهيئة]]="نعم",1,0)</f>
        <v>1</v>
      </c>
      <c r="R177">
        <f>IF(Table1[[#This Row],[دورة الفوترة]]="شهري",1,0)</f>
        <v>1</v>
      </c>
    </row>
    <row r="178" spans="1:18" x14ac:dyDescent="0.25">
      <c r="A178" t="s">
        <v>198</v>
      </c>
      <c r="B178" s="1">
        <v>45639</v>
      </c>
      <c r="C178" t="s">
        <v>13</v>
      </c>
      <c r="D178">
        <v>89</v>
      </c>
      <c r="E178" t="s">
        <v>14</v>
      </c>
      <c r="F178">
        <v>9</v>
      </c>
      <c r="G178" t="s">
        <v>15</v>
      </c>
      <c r="H178">
        <v>0</v>
      </c>
      <c r="I178">
        <v>13</v>
      </c>
      <c r="J178">
        <v>25</v>
      </c>
      <c r="K178" t="s">
        <v>16</v>
      </c>
      <c r="L178" t="s">
        <v>17</v>
      </c>
      <c r="M178">
        <f>IF(Table1[[#This Row],[ألغى الاشتراك]]="نعم",1,0)</f>
        <v>0</v>
      </c>
      <c r="N178">
        <f>IF(Table1[[#This Row],[وسيلة الدفع]]="بطاقة",1,0)</f>
        <v>1</v>
      </c>
      <c r="O178">
        <f>IF(Table1[[#This Row],[وسيلة الدفع]]="محفظة",1,0)</f>
        <v>0</v>
      </c>
      <c r="P178">
        <f>IF(Table1[[#This Row],[وسيلة الدفع]]="تحويل",1,0)</f>
        <v>0</v>
      </c>
      <c r="Q178">
        <f>IF(Table1[[#This Row],[حضر التهيئة]]="نعم",1,0)</f>
        <v>1</v>
      </c>
      <c r="R178">
        <f>IF(Table1[[#This Row],[دورة الفوترة]]="شهري",1,0)</f>
        <v>1</v>
      </c>
    </row>
    <row r="179" spans="1:18" x14ac:dyDescent="0.25">
      <c r="A179" t="s">
        <v>199</v>
      </c>
      <c r="B179" s="1">
        <v>45799</v>
      </c>
      <c r="C179" t="s">
        <v>19</v>
      </c>
      <c r="D179">
        <v>189</v>
      </c>
      <c r="E179" t="s">
        <v>20</v>
      </c>
      <c r="F179">
        <v>25</v>
      </c>
      <c r="G179" t="s">
        <v>21</v>
      </c>
      <c r="H179">
        <v>8</v>
      </c>
      <c r="I179">
        <v>51</v>
      </c>
      <c r="J179">
        <v>0</v>
      </c>
      <c r="K179" t="s">
        <v>17</v>
      </c>
      <c r="L179" t="s">
        <v>17</v>
      </c>
      <c r="M179">
        <f>IF(Table1[[#This Row],[ألغى الاشتراك]]="نعم",1,0)</f>
        <v>0</v>
      </c>
      <c r="N179">
        <f>IF(Table1[[#This Row],[وسيلة الدفع]]="بطاقة",1,0)</f>
        <v>0</v>
      </c>
      <c r="O179">
        <f>IF(Table1[[#This Row],[وسيلة الدفع]]="محفظة",1,0)</f>
        <v>1</v>
      </c>
      <c r="P179">
        <f>IF(Table1[[#This Row],[وسيلة الدفع]]="تحويل",1,0)</f>
        <v>0</v>
      </c>
      <c r="Q179">
        <f>IF(Table1[[#This Row],[حضر التهيئة]]="نعم",1,0)</f>
        <v>0</v>
      </c>
      <c r="R179">
        <f>IF(Table1[[#This Row],[دورة الفوترة]]="شهري",1,0)</f>
        <v>0</v>
      </c>
    </row>
    <row r="180" spans="1:18" x14ac:dyDescent="0.25">
      <c r="A180" t="s">
        <v>200</v>
      </c>
      <c r="B180" s="1">
        <v>45466</v>
      </c>
      <c r="C180" t="s">
        <v>19</v>
      </c>
      <c r="D180">
        <v>189</v>
      </c>
      <c r="E180" t="s">
        <v>14</v>
      </c>
      <c r="F180">
        <v>8</v>
      </c>
      <c r="G180" t="s">
        <v>15</v>
      </c>
      <c r="H180">
        <v>0</v>
      </c>
      <c r="I180">
        <v>24</v>
      </c>
      <c r="J180">
        <v>0</v>
      </c>
      <c r="K180" t="s">
        <v>17</v>
      </c>
      <c r="L180" t="s">
        <v>17</v>
      </c>
      <c r="M180">
        <f>IF(Table1[[#This Row],[ألغى الاشتراك]]="نعم",1,0)</f>
        <v>0</v>
      </c>
      <c r="N180">
        <f>IF(Table1[[#This Row],[وسيلة الدفع]]="بطاقة",1,0)</f>
        <v>1</v>
      </c>
      <c r="O180">
        <f>IF(Table1[[#This Row],[وسيلة الدفع]]="محفظة",1,0)</f>
        <v>0</v>
      </c>
      <c r="P180">
        <f>IF(Table1[[#This Row],[وسيلة الدفع]]="تحويل",1,0)</f>
        <v>0</v>
      </c>
      <c r="Q180">
        <f>IF(Table1[[#This Row],[حضر التهيئة]]="نعم",1,0)</f>
        <v>0</v>
      </c>
      <c r="R180">
        <f>IF(Table1[[#This Row],[دورة الفوترة]]="شهري",1,0)</f>
        <v>1</v>
      </c>
    </row>
    <row r="181" spans="1:18" x14ac:dyDescent="0.25">
      <c r="A181" t="s">
        <v>201</v>
      </c>
      <c r="B181" s="1">
        <v>45866</v>
      </c>
      <c r="C181" t="s">
        <v>19</v>
      </c>
      <c r="D181">
        <v>189</v>
      </c>
      <c r="E181" t="s">
        <v>20</v>
      </c>
      <c r="F181">
        <v>11</v>
      </c>
      <c r="G181" t="s">
        <v>23</v>
      </c>
      <c r="H181">
        <v>1</v>
      </c>
      <c r="I181">
        <v>29</v>
      </c>
      <c r="J181">
        <v>0</v>
      </c>
      <c r="K181" t="s">
        <v>16</v>
      </c>
      <c r="L181" t="s">
        <v>17</v>
      </c>
      <c r="M181">
        <f>IF(Table1[[#This Row],[ألغى الاشتراك]]="نعم",1,0)</f>
        <v>0</v>
      </c>
      <c r="N181">
        <f>IF(Table1[[#This Row],[وسيلة الدفع]]="بطاقة",1,0)</f>
        <v>0</v>
      </c>
      <c r="O181">
        <f>IF(Table1[[#This Row],[وسيلة الدفع]]="محفظة",1,0)</f>
        <v>0</v>
      </c>
      <c r="P181">
        <f>IF(Table1[[#This Row],[وسيلة الدفع]]="تحويل",1,0)</f>
        <v>1</v>
      </c>
      <c r="Q181">
        <f>IF(Table1[[#This Row],[حضر التهيئة]]="نعم",1,0)</f>
        <v>1</v>
      </c>
      <c r="R181">
        <f>IF(Table1[[#This Row],[دورة الفوترة]]="شهري",1,0)</f>
        <v>0</v>
      </c>
    </row>
    <row r="182" spans="1:18" x14ac:dyDescent="0.25">
      <c r="A182" t="s">
        <v>202</v>
      </c>
      <c r="B182" s="1">
        <v>45403</v>
      </c>
      <c r="C182" t="s">
        <v>19</v>
      </c>
      <c r="D182">
        <v>189</v>
      </c>
      <c r="E182" t="s">
        <v>14</v>
      </c>
      <c r="F182">
        <v>26</v>
      </c>
      <c r="G182" t="s">
        <v>15</v>
      </c>
      <c r="H182">
        <v>0</v>
      </c>
      <c r="I182">
        <v>40</v>
      </c>
      <c r="J182">
        <v>0</v>
      </c>
      <c r="K182" t="s">
        <v>17</v>
      </c>
      <c r="L182" t="s">
        <v>16</v>
      </c>
      <c r="M182">
        <f>IF(Table1[[#This Row],[ألغى الاشتراك]]="نعم",1,0)</f>
        <v>1</v>
      </c>
      <c r="N182">
        <f>IF(Table1[[#This Row],[وسيلة الدفع]]="بطاقة",1,0)</f>
        <v>1</v>
      </c>
      <c r="O182">
        <f>IF(Table1[[#This Row],[وسيلة الدفع]]="محفظة",1,0)</f>
        <v>0</v>
      </c>
      <c r="P182">
        <f>IF(Table1[[#This Row],[وسيلة الدفع]]="تحويل",1,0)</f>
        <v>0</v>
      </c>
      <c r="Q182">
        <f>IF(Table1[[#This Row],[حضر التهيئة]]="نعم",1,0)</f>
        <v>0</v>
      </c>
      <c r="R182">
        <f>IF(Table1[[#This Row],[دورة الفوترة]]="شهري",1,0)</f>
        <v>1</v>
      </c>
    </row>
    <row r="183" spans="1:18" x14ac:dyDescent="0.25">
      <c r="A183" t="s">
        <v>203</v>
      </c>
      <c r="B183" s="1">
        <v>45791</v>
      </c>
      <c r="C183" t="s">
        <v>19</v>
      </c>
      <c r="D183">
        <v>189</v>
      </c>
      <c r="E183" t="s">
        <v>14</v>
      </c>
      <c r="F183">
        <v>25</v>
      </c>
      <c r="G183" t="s">
        <v>15</v>
      </c>
      <c r="H183">
        <v>3</v>
      </c>
      <c r="I183">
        <v>11</v>
      </c>
      <c r="J183">
        <v>0</v>
      </c>
      <c r="K183" t="s">
        <v>17</v>
      </c>
      <c r="L183" t="s">
        <v>17</v>
      </c>
      <c r="M183">
        <f>IF(Table1[[#This Row],[ألغى الاشتراك]]="نعم",1,0)</f>
        <v>0</v>
      </c>
      <c r="N183">
        <f>IF(Table1[[#This Row],[وسيلة الدفع]]="بطاقة",1,0)</f>
        <v>1</v>
      </c>
      <c r="O183">
        <f>IF(Table1[[#This Row],[وسيلة الدفع]]="محفظة",1,0)</f>
        <v>0</v>
      </c>
      <c r="P183">
        <f>IF(Table1[[#This Row],[وسيلة الدفع]]="تحويل",1,0)</f>
        <v>0</v>
      </c>
      <c r="Q183">
        <f>IF(Table1[[#This Row],[حضر التهيئة]]="نعم",1,0)</f>
        <v>0</v>
      </c>
      <c r="R183">
        <f>IF(Table1[[#This Row],[دورة الفوترة]]="شهري",1,0)</f>
        <v>1</v>
      </c>
    </row>
    <row r="184" spans="1:18" x14ac:dyDescent="0.25">
      <c r="A184" t="s">
        <v>204</v>
      </c>
      <c r="B184" s="1">
        <v>45977</v>
      </c>
      <c r="C184" t="s">
        <v>19</v>
      </c>
      <c r="D184">
        <v>189</v>
      </c>
      <c r="E184" t="s">
        <v>20</v>
      </c>
      <c r="F184">
        <v>14</v>
      </c>
      <c r="G184" t="s">
        <v>23</v>
      </c>
      <c r="H184">
        <v>0</v>
      </c>
      <c r="I184">
        <v>40</v>
      </c>
      <c r="J184">
        <v>15</v>
      </c>
      <c r="K184" t="s">
        <v>16</v>
      </c>
      <c r="L184" t="s">
        <v>17</v>
      </c>
      <c r="M184">
        <f>IF(Table1[[#This Row],[ألغى الاشتراك]]="نعم",1,0)</f>
        <v>0</v>
      </c>
      <c r="N184">
        <f>IF(Table1[[#This Row],[وسيلة الدفع]]="بطاقة",1,0)</f>
        <v>0</v>
      </c>
      <c r="O184">
        <f>IF(Table1[[#This Row],[وسيلة الدفع]]="محفظة",1,0)</f>
        <v>0</v>
      </c>
      <c r="P184">
        <f>IF(Table1[[#This Row],[وسيلة الدفع]]="تحويل",1,0)</f>
        <v>1</v>
      </c>
      <c r="Q184">
        <f>IF(Table1[[#This Row],[حضر التهيئة]]="نعم",1,0)</f>
        <v>1</v>
      </c>
      <c r="R184">
        <f>IF(Table1[[#This Row],[دورة الفوترة]]="شهري",1,0)</f>
        <v>0</v>
      </c>
    </row>
    <row r="185" spans="1:18" x14ac:dyDescent="0.25">
      <c r="A185" t="s">
        <v>205</v>
      </c>
      <c r="B185" s="1">
        <v>45529</v>
      </c>
      <c r="C185" t="s">
        <v>13</v>
      </c>
      <c r="D185">
        <v>89</v>
      </c>
      <c r="E185" t="s">
        <v>14</v>
      </c>
      <c r="F185">
        <v>2</v>
      </c>
      <c r="G185" t="s">
        <v>23</v>
      </c>
      <c r="H185">
        <v>1</v>
      </c>
      <c r="I185">
        <v>54</v>
      </c>
      <c r="J185">
        <v>0</v>
      </c>
      <c r="K185" t="s">
        <v>16</v>
      </c>
      <c r="L185" t="s">
        <v>17</v>
      </c>
      <c r="M185">
        <f>IF(Table1[[#This Row],[ألغى الاشتراك]]="نعم",1,0)</f>
        <v>0</v>
      </c>
      <c r="N185">
        <f>IF(Table1[[#This Row],[وسيلة الدفع]]="بطاقة",1,0)</f>
        <v>0</v>
      </c>
      <c r="O185">
        <f>IF(Table1[[#This Row],[وسيلة الدفع]]="محفظة",1,0)</f>
        <v>0</v>
      </c>
      <c r="P185">
        <f>IF(Table1[[#This Row],[وسيلة الدفع]]="تحويل",1,0)</f>
        <v>1</v>
      </c>
      <c r="Q185">
        <f>IF(Table1[[#This Row],[حضر التهيئة]]="نعم",1,0)</f>
        <v>1</v>
      </c>
      <c r="R185">
        <f>IF(Table1[[#This Row],[دورة الفوترة]]="شهري",1,0)</f>
        <v>1</v>
      </c>
    </row>
    <row r="186" spans="1:18" x14ac:dyDescent="0.25">
      <c r="A186" t="s">
        <v>206</v>
      </c>
      <c r="B186" s="1">
        <v>45663</v>
      </c>
      <c r="C186" t="s">
        <v>13</v>
      </c>
      <c r="D186">
        <v>89</v>
      </c>
      <c r="E186" t="s">
        <v>20</v>
      </c>
      <c r="F186">
        <v>7</v>
      </c>
      <c r="G186" t="s">
        <v>15</v>
      </c>
      <c r="H186">
        <v>0</v>
      </c>
      <c r="I186">
        <v>5</v>
      </c>
      <c r="J186">
        <v>0</v>
      </c>
      <c r="K186" t="s">
        <v>16</v>
      </c>
      <c r="L186" t="s">
        <v>17</v>
      </c>
      <c r="M186">
        <f>IF(Table1[[#This Row],[ألغى الاشتراك]]="نعم",1,0)</f>
        <v>0</v>
      </c>
      <c r="N186">
        <f>IF(Table1[[#This Row],[وسيلة الدفع]]="بطاقة",1,0)</f>
        <v>1</v>
      </c>
      <c r="O186">
        <f>IF(Table1[[#This Row],[وسيلة الدفع]]="محفظة",1,0)</f>
        <v>0</v>
      </c>
      <c r="P186">
        <f>IF(Table1[[#This Row],[وسيلة الدفع]]="تحويل",1,0)</f>
        <v>0</v>
      </c>
      <c r="Q186">
        <f>IF(Table1[[#This Row],[حضر التهيئة]]="نعم",1,0)</f>
        <v>1</v>
      </c>
      <c r="R186">
        <f>IF(Table1[[#This Row],[دورة الفوترة]]="شهري",1,0)</f>
        <v>0</v>
      </c>
    </row>
    <row r="187" spans="1:18" x14ac:dyDescent="0.25">
      <c r="A187" t="s">
        <v>207</v>
      </c>
      <c r="B187" s="1">
        <v>45341</v>
      </c>
      <c r="C187" t="s">
        <v>19</v>
      </c>
      <c r="D187">
        <v>189</v>
      </c>
      <c r="E187" t="s">
        <v>14</v>
      </c>
      <c r="F187">
        <v>16</v>
      </c>
      <c r="G187" t="s">
        <v>15</v>
      </c>
      <c r="H187">
        <v>9</v>
      </c>
      <c r="I187">
        <v>54</v>
      </c>
      <c r="J187">
        <v>0</v>
      </c>
      <c r="K187" t="s">
        <v>16</v>
      </c>
      <c r="L187" t="s">
        <v>17</v>
      </c>
      <c r="M187">
        <f>IF(Table1[[#This Row],[ألغى الاشتراك]]="نعم",1,0)</f>
        <v>0</v>
      </c>
      <c r="N187">
        <f>IF(Table1[[#This Row],[وسيلة الدفع]]="بطاقة",1,0)</f>
        <v>1</v>
      </c>
      <c r="O187">
        <f>IF(Table1[[#This Row],[وسيلة الدفع]]="محفظة",1,0)</f>
        <v>0</v>
      </c>
      <c r="P187">
        <f>IF(Table1[[#This Row],[وسيلة الدفع]]="تحويل",1,0)</f>
        <v>0</v>
      </c>
      <c r="Q187">
        <f>IF(Table1[[#This Row],[حضر التهيئة]]="نعم",1,0)</f>
        <v>1</v>
      </c>
      <c r="R187">
        <f>IF(Table1[[#This Row],[دورة الفوترة]]="شهري",1,0)</f>
        <v>1</v>
      </c>
    </row>
    <row r="188" spans="1:18" x14ac:dyDescent="0.25">
      <c r="A188" t="s">
        <v>208</v>
      </c>
      <c r="B188" s="1">
        <v>45391</v>
      </c>
      <c r="C188" t="s">
        <v>13</v>
      </c>
      <c r="D188">
        <v>89</v>
      </c>
      <c r="E188" t="s">
        <v>14</v>
      </c>
      <c r="F188">
        <v>21</v>
      </c>
      <c r="G188" t="s">
        <v>21</v>
      </c>
      <c r="H188">
        <v>5</v>
      </c>
      <c r="I188">
        <v>21</v>
      </c>
      <c r="J188">
        <v>25</v>
      </c>
      <c r="K188" t="s">
        <v>17</v>
      </c>
      <c r="L188" t="s">
        <v>17</v>
      </c>
      <c r="M188">
        <f>IF(Table1[[#This Row],[ألغى الاشتراك]]="نعم",1,0)</f>
        <v>0</v>
      </c>
      <c r="N188">
        <f>IF(Table1[[#This Row],[وسيلة الدفع]]="بطاقة",1,0)</f>
        <v>0</v>
      </c>
      <c r="O188">
        <f>IF(Table1[[#This Row],[وسيلة الدفع]]="محفظة",1,0)</f>
        <v>1</v>
      </c>
      <c r="P188">
        <f>IF(Table1[[#This Row],[وسيلة الدفع]]="تحويل",1,0)</f>
        <v>0</v>
      </c>
      <c r="Q188">
        <f>IF(Table1[[#This Row],[حضر التهيئة]]="نعم",1,0)</f>
        <v>0</v>
      </c>
      <c r="R188">
        <f>IF(Table1[[#This Row],[دورة الفوترة]]="شهري",1,0)</f>
        <v>1</v>
      </c>
    </row>
    <row r="189" spans="1:18" x14ac:dyDescent="0.25">
      <c r="A189" t="s">
        <v>209</v>
      </c>
      <c r="B189" s="1">
        <v>45799</v>
      </c>
      <c r="C189" t="s">
        <v>28</v>
      </c>
      <c r="D189">
        <v>39</v>
      </c>
      <c r="E189" t="s">
        <v>14</v>
      </c>
      <c r="F189">
        <v>13</v>
      </c>
      <c r="G189" t="s">
        <v>23</v>
      </c>
      <c r="H189">
        <v>2</v>
      </c>
      <c r="I189">
        <v>45</v>
      </c>
      <c r="J189">
        <v>0</v>
      </c>
      <c r="K189" t="s">
        <v>16</v>
      </c>
      <c r="L189" t="s">
        <v>17</v>
      </c>
      <c r="M189">
        <f>IF(Table1[[#This Row],[ألغى الاشتراك]]="نعم",1,0)</f>
        <v>0</v>
      </c>
      <c r="N189">
        <f>IF(Table1[[#This Row],[وسيلة الدفع]]="بطاقة",1,0)</f>
        <v>0</v>
      </c>
      <c r="O189">
        <f>IF(Table1[[#This Row],[وسيلة الدفع]]="محفظة",1,0)</f>
        <v>0</v>
      </c>
      <c r="P189">
        <f>IF(Table1[[#This Row],[وسيلة الدفع]]="تحويل",1,0)</f>
        <v>1</v>
      </c>
      <c r="Q189">
        <f>IF(Table1[[#This Row],[حضر التهيئة]]="نعم",1,0)</f>
        <v>1</v>
      </c>
      <c r="R189">
        <f>IF(Table1[[#This Row],[دورة الفوترة]]="شهري",1,0)</f>
        <v>1</v>
      </c>
    </row>
    <row r="190" spans="1:18" x14ac:dyDescent="0.25">
      <c r="A190" t="s">
        <v>210</v>
      </c>
      <c r="B190" s="1">
        <v>45572</v>
      </c>
      <c r="C190" t="s">
        <v>28</v>
      </c>
      <c r="D190">
        <v>39</v>
      </c>
      <c r="E190" t="s">
        <v>20</v>
      </c>
      <c r="F190">
        <v>30</v>
      </c>
      <c r="G190" t="s">
        <v>23</v>
      </c>
      <c r="H190">
        <v>8</v>
      </c>
      <c r="I190">
        <v>14</v>
      </c>
      <c r="J190">
        <v>0</v>
      </c>
      <c r="K190" t="s">
        <v>16</v>
      </c>
      <c r="L190" t="s">
        <v>17</v>
      </c>
      <c r="M190">
        <f>IF(Table1[[#This Row],[ألغى الاشتراك]]="نعم",1,0)</f>
        <v>0</v>
      </c>
      <c r="N190">
        <f>IF(Table1[[#This Row],[وسيلة الدفع]]="بطاقة",1,0)</f>
        <v>0</v>
      </c>
      <c r="O190">
        <f>IF(Table1[[#This Row],[وسيلة الدفع]]="محفظة",1,0)</f>
        <v>0</v>
      </c>
      <c r="P190">
        <f>IF(Table1[[#This Row],[وسيلة الدفع]]="تحويل",1,0)</f>
        <v>1</v>
      </c>
      <c r="Q190">
        <f>IF(Table1[[#This Row],[حضر التهيئة]]="نعم",1,0)</f>
        <v>1</v>
      </c>
      <c r="R190">
        <f>IF(Table1[[#This Row],[دورة الفوترة]]="شهري",1,0)</f>
        <v>0</v>
      </c>
    </row>
    <row r="191" spans="1:18" x14ac:dyDescent="0.25">
      <c r="A191" t="s">
        <v>211</v>
      </c>
      <c r="B191" s="1">
        <v>45728</v>
      </c>
      <c r="C191" t="s">
        <v>13</v>
      </c>
      <c r="D191">
        <v>89</v>
      </c>
      <c r="E191" t="s">
        <v>14</v>
      </c>
      <c r="F191">
        <v>15</v>
      </c>
      <c r="G191" t="s">
        <v>21</v>
      </c>
      <c r="H191">
        <v>7</v>
      </c>
      <c r="I191">
        <v>57</v>
      </c>
      <c r="J191">
        <v>0</v>
      </c>
      <c r="K191" t="s">
        <v>17</v>
      </c>
      <c r="L191" t="s">
        <v>17</v>
      </c>
      <c r="M191">
        <f>IF(Table1[[#This Row],[ألغى الاشتراك]]="نعم",1,0)</f>
        <v>0</v>
      </c>
      <c r="N191">
        <f>IF(Table1[[#This Row],[وسيلة الدفع]]="بطاقة",1,0)</f>
        <v>0</v>
      </c>
      <c r="O191">
        <f>IF(Table1[[#This Row],[وسيلة الدفع]]="محفظة",1,0)</f>
        <v>1</v>
      </c>
      <c r="P191">
        <f>IF(Table1[[#This Row],[وسيلة الدفع]]="تحويل",1,0)</f>
        <v>0</v>
      </c>
      <c r="Q191">
        <f>IF(Table1[[#This Row],[حضر التهيئة]]="نعم",1,0)</f>
        <v>0</v>
      </c>
      <c r="R191">
        <f>IF(Table1[[#This Row],[دورة الفوترة]]="شهري",1,0)</f>
        <v>1</v>
      </c>
    </row>
    <row r="192" spans="1:18" x14ac:dyDescent="0.25">
      <c r="A192" t="s">
        <v>212</v>
      </c>
      <c r="B192" s="1">
        <v>45383</v>
      </c>
      <c r="C192" t="s">
        <v>28</v>
      </c>
      <c r="D192">
        <v>39</v>
      </c>
      <c r="E192" t="s">
        <v>14</v>
      </c>
      <c r="F192">
        <v>28</v>
      </c>
      <c r="G192" t="s">
        <v>21</v>
      </c>
      <c r="H192">
        <v>2</v>
      </c>
      <c r="I192">
        <v>38</v>
      </c>
      <c r="J192">
        <v>0</v>
      </c>
      <c r="K192" t="s">
        <v>17</v>
      </c>
      <c r="L192" t="s">
        <v>17</v>
      </c>
      <c r="M192">
        <f>IF(Table1[[#This Row],[ألغى الاشتراك]]="نعم",1,0)</f>
        <v>0</v>
      </c>
      <c r="N192">
        <f>IF(Table1[[#This Row],[وسيلة الدفع]]="بطاقة",1,0)</f>
        <v>0</v>
      </c>
      <c r="O192">
        <f>IF(Table1[[#This Row],[وسيلة الدفع]]="محفظة",1,0)</f>
        <v>1</v>
      </c>
      <c r="P192">
        <f>IF(Table1[[#This Row],[وسيلة الدفع]]="تحويل",1,0)</f>
        <v>0</v>
      </c>
      <c r="Q192">
        <f>IF(Table1[[#This Row],[حضر التهيئة]]="نعم",1,0)</f>
        <v>0</v>
      </c>
      <c r="R192">
        <f>IF(Table1[[#This Row],[دورة الفوترة]]="شهري",1,0)</f>
        <v>1</v>
      </c>
    </row>
    <row r="193" spans="1:18" x14ac:dyDescent="0.25">
      <c r="A193" t="s">
        <v>213</v>
      </c>
      <c r="B193" s="1">
        <v>45803</v>
      </c>
      <c r="C193" t="s">
        <v>28</v>
      </c>
      <c r="D193">
        <v>39</v>
      </c>
      <c r="E193" t="s">
        <v>14</v>
      </c>
      <c r="F193">
        <v>29</v>
      </c>
      <c r="G193" t="s">
        <v>15</v>
      </c>
      <c r="H193">
        <v>2</v>
      </c>
      <c r="I193">
        <v>21</v>
      </c>
      <c r="J193">
        <v>0</v>
      </c>
      <c r="K193" t="s">
        <v>17</v>
      </c>
      <c r="L193" t="s">
        <v>17</v>
      </c>
      <c r="M193">
        <f>IF(Table1[[#This Row],[ألغى الاشتراك]]="نعم",1,0)</f>
        <v>0</v>
      </c>
      <c r="N193">
        <f>IF(Table1[[#This Row],[وسيلة الدفع]]="بطاقة",1,0)</f>
        <v>1</v>
      </c>
      <c r="O193">
        <f>IF(Table1[[#This Row],[وسيلة الدفع]]="محفظة",1,0)</f>
        <v>0</v>
      </c>
      <c r="P193">
        <f>IF(Table1[[#This Row],[وسيلة الدفع]]="تحويل",1,0)</f>
        <v>0</v>
      </c>
      <c r="Q193">
        <f>IF(Table1[[#This Row],[حضر التهيئة]]="نعم",1,0)</f>
        <v>0</v>
      </c>
      <c r="R193">
        <f>IF(Table1[[#This Row],[دورة الفوترة]]="شهري",1,0)</f>
        <v>1</v>
      </c>
    </row>
    <row r="194" spans="1:18" x14ac:dyDescent="0.25">
      <c r="A194" t="s">
        <v>214</v>
      </c>
      <c r="B194" s="1">
        <v>45345</v>
      </c>
      <c r="C194" t="s">
        <v>13</v>
      </c>
      <c r="D194">
        <v>89</v>
      </c>
      <c r="E194" t="s">
        <v>14</v>
      </c>
      <c r="F194">
        <v>20</v>
      </c>
      <c r="G194" t="s">
        <v>23</v>
      </c>
      <c r="H194">
        <v>11</v>
      </c>
      <c r="I194">
        <v>46</v>
      </c>
      <c r="J194">
        <v>0</v>
      </c>
      <c r="K194" t="s">
        <v>17</v>
      </c>
      <c r="L194" t="s">
        <v>17</v>
      </c>
      <c r="M194">
        <f>IF(Table1[[#This Row],[ألغى الاشتراك]]="نعم",1,0)</f>
        <v>0</v>
      </c>
      <c r="N194">
        <f>IF(Table1[[#This Row],[وسيلة الدفع]]="بطاقة",1,0)</f>
        <v>0</v>
      </c>
      <c r="O194">
        <f>IF(Table1[[#This Row],[وسيلة الدفع]]="محفظة",1,0)</f>
        <v>0</v>
      </c>
      <c r="P194">
        <f>IF(Table1[[#This Row],[وسيلة الدفع]]="تحويل",1,0)</f>
        <v>1</v>
      </c>
      <c r="Q194">
        <f>IF(Table1[[#This Row],[حضر التهيئة]]="نعم",1,0)</f>
        <v>0</v>
      </c>
      <c r="R194">
        <f>IF(Table1[[#This Row],[دورة الفوترة]]="شهري",1,0)</f>
        <v>1</v>
      </c>
    </row>
    <row r="195" spans="1:18" x14ac:dyDescent="0.25">
      <c r="A195" t="s">
        <v>215</v>
      </c>
      <c r="B195" s="1">
        <v>45732</v>
      </c>
      <c r="C195" t="s">
        <v>13</v>
      </c>
      <c r="D195">
        <v>89</v>
      </c>
      <c r="E195" t="s">
        <v>14</v>
      </c>
      <c r="F195">
        <v>23</v>
      </c>
      <c r="G195" t="s">
        <v>21</v>
      </c>
      <c r="H195">
        <v>2</v>
      </c>
      <c r="I195">
        <v>55</v>
      </c>
      <c r="J195">
        <v>0</v>
      </c>
      <c r="K195" t="s">
        <v>16</v>
      </c>
      <c r="L195" t="s">
        <v>17</v>
      </c>
      <c r="M195">
        <f>IF(Table1[[#This Row],[ألغى الاشتراك]]="نعم",1,0)</f>
        <v>0</v>
      </c>
      <c r="N195">
        <f>IF(Table1[[#This Row],[وسيلة الدفع]]="بطاقة",1,0)</f>
        <v>0</v>
      </c>
      <c r="O195">
        <f>IF(Table1[[#This Row],[وسيلة الدفع]]="محفظة",1,0)</f>
        <v>1</v>
      </c>
      <c r="P195">
        <f>IF(Table1[[#This Row],[وسيلة الدفع]]="تحويل",1,0)</f>
        <v>0</v>
      </c>
      <c r="Q195">
        <f>IF(Table1[[#This Row],[حضر التهيئة]]="نعم",1,0)</f>
        <v>1</v>
      </c>
      <c r="R195">
        <f>IF(Table1[[#This Row],[دورة الفوترة]]="شهري",1,0)</f>
        <v>1</v>
      </c>
    </row>
    <row r="196" spans="1:18" x14ac:dyDescent="0.25">
      <c r="A196" t="s">
        <v>216</v>
      </c>
      <c r="B196" s="1">
        <v>45399</v>
      </c>
      <c r="C196" t="s">
        <v>13</v>
      </c>
      <c r="D196">
        <v>89</v>
      </c>
      <c r="E196" t="s">
        <v>20</v>
      </c>
      <c r="F196">
        <v>4</v>
      </c>
      <c r="G196" t="s">
        <v>23</v>
      </c>
      <c r="H196">
        <v>4</v>
      </c>
      <c r="I196">
        <v>14</v>
      </c>
      <c r="J196">
        <v>0</v>
      </c>
      <c r="K196" t="s">
        <v>16</v>
      </c>
      <c r="L196" t="s">
        <v>17</v>
      </c>
      <c r="M196">
        <f>IF(Table1[[#This Row],[ألغى الاشتراك]]="نعم",1,0)</f>
        <v>0</v>
      </c>
      <c r="N196">
        <f>IF(Table1[[#This Row],[وسيلة الدفع]]="بطاقة",1,0)</f>
        <v>0</v>
      </c>
      <c r="O196">
        <f>IF(Table1[[#This Row],[وسيلة الدفع]]="محفظة",1,0)</f>
        <v>0</v>
      </c>
      <c r="P196">
        <f>IF(Table1[[#This Row],[وسيلة الدفع]]="تحويل",1,0)</f>
        <v>1</v>
      </c>
      <c r="Q196">
        <f>IF(Table1[[#This Row],[حضر التهيئة]]="نعم",1,0)</f>
        <v>1</v>
      </c>
      <c r="R196">
        <f>IF(Table1[[#This Row],[دورة الفوترة]]="شهري",1,0)</f>
        <v>0</v>
      </c>
    </row>
    <row r="197" spans="1:18" x14ac:dyDescent="0.25">
      <c r="A197" t="s">
        <v>217</v>
      </c>
      <c r="B197" s="1">
        <v>45922</v>
      </c>
      <c r="C197" t="s">
        <v>19</v>
      </c>
      <c r="D197">
        <v>189</v>
      </c>
      <c r="E197" t="s">
        <v>20</v>
      </c>
      <c r="F197">
        <v>25</v>
      </c>
      <c r="G197" t="s">
        <v>23</v>
      </c>
      <c r="H197">
        <v>0</v>
      </c>
      <c r="I197">
        <v>21</v>
      </c>
      <c r="J197">
        <v>0</v>
      </c>
      <c r="K197" t="s">
        <v>17</v>
      </c>
      <c r="L197" t="s">
        <v>16</v>
      </c>
      <c r="M197">
        <f>IF(Table1[[#This Row],[ألغى الاشتراك]]="نعم",1,0)</f>
        <v>1</v>
      </c>
      <c r="N197">
        <f>IF(Table1[[#This Row],[وسيلة الدفع]]="بطاقة",1,0)</f>
        <v>0</v>
      </c>
      <c r="O197">
        <f>IF(Table1[[#This Row],[وسيلة الدفع]]="محفظة",1,0)</f>
        <v>0</v>
      </c>
      <c r="P197">
        <f>IF(Table1[[#This Row],[وسيلة الدفع]]="تحويل",1,0)</f>
        <v>1</v>
      </c>
      <c r="Q197">
        <f>IF(Table1[[#This Row],[حضر التهيئة]]="نعم",1,0)</f>
        <v>0</v>
      </c>
      <c r="R197">
        <f>IF(Table1[[#This Row],[دورة الفوترة]]="شهري",1,0)</f>
        <v>0</v>
      </c>
    </row>
    <row r="198" spans="1:18" x14ac:dyDescent="0.25">
      <c r="A198" t="s">
        <v>218</v>
      </c>
      <c r="B198" s="1">
        <v>45462</v>
      </c>
      <c r="C198" t="s">
        <v>19</v>
      </c>
      <c r="D198">
        <v>189</v>
      </c>
      <c r="E198" t="s">
        <v>14</v>
      </c>
      <c r="F198">
        <v>28</v>
      </c>
      <c r="G198" t="s">
        <v>15</v>
      </c>
      <c r="H198">
        <v>2</v>
      </c>
      <c r="I198">
        <v>18</v>
      </c>
      <c r="J198">
        <v>0</v>
      </c>
      <c r="K198" t="s">
        <v>17</v>
      </c>
      <c r="L198" t="s">
        <v>17</v>
      </c>
      <c r="M198">
        <f>IF(Table1[[#This Row],[ألغى الاشتراك]]="نعم",1,0)</f>
        <v>0</v>
      </c>
      <c r="N198">
        <f>IF(Table1[[#This Row],[وسيلة الدفع]]="بطاقة",1,0)</f>
        <v>1</v>
      </c>
      <c r="O198">
        <f>IF(Table1[[#This Row],[وسيلة الدفع]]="محفظة",1,0)</f>
        <v>0</v>
      </c>
      <c r="P198">
        <f>IF(Table1[[#This Row],[وسيلة الدفع]]="تحويل",1,0)</f>
        <v>0</v>
      </c>
      <c r="Q198">
        <f>IF(Table1[[#This Row],[حضر التهيئة]]="نعم",1,0)</f>
        <v>0</v>
      </c>
      <c r="R198">
        <f>IF(Table1[[#This Row],[دورة الفوترة]]="شهري",1,0)</f>
        <v>1</v>
      </c>
    </row>
    <row r="199" spans="1:18" x14ac:dyDescent="0.25">
      <c r="A199" t="s">
        <v>219</v>
      </c>
      <c r="B199" s="1">
        <v>45973</v>
      </c>
      <c r="C199" t="s">
        <v>19</v>
      </c>
      <c r="D199">
        <v>189</v>
      </c>
      <c r="E199" t="s">
        <v>14</v>
      </c>
      <c r="F199">
        <v>15</v>
      </c>
      <c r="G199" t="s">
        <v>21</v>
      </c>
      <c r="H199">
        <v>5</v>
      </c>
      <c r="I199">
        <v>51</v>
      </c>
      <c r="J199">
        <v>0</v>
      </c>
      <c r="K199" t="s">
        <v>16</v>
      </c>
      <c r="L199" t="s">
        <v>17</v>
      </c>
      <c r="M199">
        <f>IF(Table1[[#This Row],[ألغى الاشتراك]]="نعم",1,0)</f>
        <v>0</v>
      </c>
      <c r="N199">
        <f>IF(Table1[[#This Row],[وسيلة الدفع]]="بطاقة",1,0)</f>
        <v>0</v>
      </c>
      <c r="O199">
        <f>IF(Table1[[#This Row],[وسيلة الدفع]]="محفظة",1,0)</f>
        <v>1</v>
      </c>
      <c r="P199">
        <f>IF(Table1[[#This Row],[وسيلة الدفع]]="تحويل",1,0)</f>
        <v>0</v>
      </c>
      <c r="Q199">
        <f>IF(Table1[[#This Row],[حضر التهيئة]]="نعم",1,0)</f>
        <v>1</v>
      </c>
      <c r="R199">
        <f>IF(Table1[[#This Row],[دورة الفوترة]]="شهري",1,0)</f>
        <v>1</v>
      </c>
    </row>
    <row r="200" spans="1:18" x14ac:dyDescent="0.25">
      <c r="A200" t="s">
        <v>220</v>
      </c>
      <c r="B200" s="1">
        <v>45902</v>
      </c>
      <c r="C200" t="s">
        <v>19</v>
      </c>
      <c r="D200">
        <v>189</v>
      </c>
      <c r="E200" t="s">
        <v>14</v>
      </c>
      <c r="F200">
        <v>4</v>
      </c>
      <c r="G200" t="s">
        <v>23</v>
      </c>
      <c r="H200">
        <v>1</v>
      </c>
      <c r="I200">
        <v>16</v>
      </c>
      <c r="J200">
        <v>5</v>
      </c>
      <c r="K200" t="s">
        <v>16</v>
      </c>
      <c r="L200" t="s">
        <v>17</v>
      </c>
      <c r="M200">
        <f>IF(Table1[[#This Row],[ألغى الاشتراك]]="نعم",1,0)</f>
        <v>0</v>
      </c>
      <c r="N200">
        <f>IF(Table1[[#This Row],[وسيلة الدفع]]="بطاقة",1,0)</f>
        <v>0</v>
      </c>
      <c r="O200">
        <f>IF(Table1[[#This Row],[وسيلة الدفع]]="محفظة",1,0)</f>
        <v>0</v>
      </c>
      <c r="P200">
        <f>IF(Table1[[#This Row],[وسيلة الدفع]]="تحويل",1,0)</f>
        <v>1</v>
      </c>
      <c r="Q200">
        <f>IF(Table1[[#This Row],[حضر التهيئة]]="نعم",1,0)</f>
        <v>1</v>
      </c>
      <c r="R200">
        <f>IF(Table1[[#This Row],[دورة الفوترة]]="شهري",1,0)</f>
        <v>1</v>
      </c>
    </row>
    <row r="201" spans="1:18" x14ac:dyDescent="0.25">
      <c r="A201" t="s">
        <v>221</v>
      </c>
      <c r="B201" s="1">
        <v>45740</v>
      </c>
      <c r="C201" t="s">
        <v>19</v>
      </c>
      <c r="D201">
        <v>189</v>
      </c>
      <c r="E201" t="s">
        <v>20</v>
      </c>
      <c r="F201">
        <v>30</v>
      </c>
      <c r="G201" t="s">
        <v>15</v>
      </c>
      <c r="H201">
        <v>11</v>
      </c>
      <c r="I201">
        <v>50</v>
      </c>
      <c r="J201">
        <v>15</v>
      </c>
      <c r="K201" t="s">
        <v>17</v>
      </c>
      <c r="L201" t="s">
        <v>17</v>
      </c>
      <c r="M201">
        <f>IF(Table1[[#This Row],[ألغى الاشتراك]]="نعم",1,0)</f>
        <v>0</v>
      </c>
      <c r="N201">
        <f>IF(Table1[[#This Row],[وسيلة الدفع]]="بطاقة",1,0)</f>
        <v>1</v>
      </c>
      <c r="O201">
        <f>IF(Table1[[#This Row],[وسيلة الدفع]]="محفظة",1,0)</f>
        <v>0</v>
      </c>
      <c r="P201">
        <f>IF(Table1[[#This Row],[وسيلة الدفع]]="تحويل",1,0)</f>
        <v>0</v>
      </c>
      <c r="Q201">
        <f>IF(Table1[[#This Row],[حضر التهيئة]]="نعم",1,0)</f>
        <v>0</v>
      </c>
      <c r="R201">
        <f>IF(Table1[[#This Row],[دورة الفوترة]]="شهري",1,0)</f>
        <v>0</v>
      </c>
    </row>
    <row r="202" spans="1:18" x14ac:dyDescent="0.25">
      <c r="A202" t="s">
        <v>222</v>
      </c>
      <c r="B202" s="1">
        <v>45403</v>
      </c>
      <c r="C202" t="s">
        <v>13</v>
      </c>
      <c r="D202">
        <v>89</v>
      </c>
      <c r="E202" t="s">
        <v>14</v>
      </c>
      <c r="F202">
        <v>6</v>
      </c>
      <c r="G202" t="s">
        <v>21</v>
      </c>
      <c r="H202">
        <v>0</v>
      </c>
      <c r="I202">
        <v>38</v>
      </c>
      <c r="J202">
        <v>0</v>
      </c>
      <c r="K202" t="s">
        <v>16</v>
      </c>
      <c r="L202" t="s">
        <v>17</v>
      </c>
      <c r="M202">
        <f>IF(Table1[[#This Row],[ألغى الاشتراك]]="نعم",1,0)</f>
        <v>0</v>
      </c>
      <c r="N202">
        <f>IF(Table1[[#This Row],[وسيلة الدفع]]="بطاقة",1,0)</f>
        <v>0</v>
      </c>
      <c r="O202">
        <f>IF(Table1[[#This Row],[وسيلة الدفع]]="محفظة",1,0)</f>
        <v>1</v>
      </c>
      <c r="P202">
        <f>IF(Table1[[#This Row],[وسيلة الدفع]]="تحويل",1,0)</f>
        <v>0</v>
      </c>
      <c r="Q202">
        <f>IF(Table1[[#This Row],[حضر التهيئة]]="نعم",1,0)</f>
        <v>1</v>
      </c>
      <c r="R202">
        <f>IF(Table1[[#This Row],[دورة الفوترة]]="شهري",1,0)</f>
        <v>1</v>
      </c>
    </row>
    <row r="203" spans="1:18" x14ac:dyDescent="0.25">
      <c r="A203" t="s">
        <v>223</v>
      </c>
      <c r="B203" s="1">
        <v>45787</v>
      </c>
      <c r="C203" t="s">
        <v>13</v>
      </c>
      <c r="D203">
        <v>89</v>
      </c>
      <c r="E203" t="s">
        <v>20</v>
      </c>
      <c r="F203">
        <v>25</v>
      </c>
      <c r="G203" t="s">
        <v>23</v>
      </c>
      <c r="H203">
        <v>1</v>
      </c>
      <c r="I203">
        <v>57</v>
      </c>
      <c r="J203">
        <v>0</v>
      </c>
      <c r="K203" t="s">
        <v>16</v>
      </c>
      <c r="L203" t="s">
        <v>17</v>
      </c>
      <c r="M203">
        <f>IF(Table1[[#This Row],[ألغى الاشتراك]]="نعم",1,0)</f>
        <v>0</v>
      </c>
      <c r="N203">
        <f>IF(Table1[[#This Row],[وسيلة الدفع]]="بطاقة",1,0)</f>
        <v>0</v>
      </c>
      <c r="O203">
        <f>IF(Table1[[#This Row],[وسيلة الدفع]]="محفظة",1,0)</f>
        <v>0</v>
      </c>
      <c r="P203">
        <f>IF(Table1[[#This Row],[وسيلة الدفع]]="تحويل",1,0)</f>
        <v>1</v>
      </c>
      <c r="Q203">
        <f>IF(Table1[[#This Row],[حضر التهيئة]]="نعم",1,0)</f>
        <v>1</v>
      </c>
      <c r="R203">
        <f>IF(Table1[[#This Row],[دورة الفوترة]]="شهري",1,0)</f>
        <v>0</v>
      </c>
    </row>
    <row r="204" spans="1:18" x14ac:dyDescent="0.25">
      <c r="A204" t="s">
        <v>224</v>
      </c>
      <c r="B204" s="1">
        <v>45588</v>
      </c>
      <c r="C204" t="s">
        <v>19</v>
      </c>
      <c r="D204">
        <v>189</v>
      </c>
      <c r="E204" t="s">
        <v>14</v>
      </c>
      <c r="F204">
        <v>20</v>
      </c>
      <c r="G204" t="s">
        <v>15</v>
      </c>
      <c r="H204">
        <v>7</v>
      </c>
      <c r="I204">
        <v>14</v>
      </c>
      <c r="J204">
        <v>0</v>
      </c>
      <c r="K204" t="s">
        <v>17</v>
      </c>
      <c r="L204" t="s">
        <v>17</v>
      </c>
      <c r="M204">
        <f>IF(Table1[[#This Row],[ألغى الاشتراك]]="نعم",1,0)</f>
        <v>0</v>
      </c>
      <c r="N204">
        <f>IF(Table1[[#This Row],[وسيلة الدفع]]="بطاقة",1,0)</f>
        <v>1</v>
      </c>
      <c r="O204">
        <f>IF(Table1[[#This Row],[وسيلة الدفع]]="محفظة",1,0)</f>
        <v>0</v>
      </c>
      <c r="P204">
        <f>IF(Table1[[#This Row],[وسيلة الدفع]]="تحويل",1,0)</f>
        <v>0</v>
      </c>
      <c r="Q204">
        <f>IF(Table1[[#This Row],[حضر التهيئة]]="نعم",1,0)</f>
        <v>0</v>
      </c>
      <c r="R204">
        <f>IF(Table1[[#This Row],[دورة الفوترة]]="شهري",1,0)</f>
        <v>1</v>
      </c>
    </row>
    <row r="205" spans="1:18" x14ac:dyDescent="0.25">
      <c r="A205" t="s">
        <v>225</v>
      </c>
      <c r="B205" s="1">
        <v>45846</v>
      </c>
      <c r="C205" t="s">
        <v>28</v>
      </c>
      <c r="D205">
        <v>39</v>
      </c>
      <c r="E205" t="s">
        <v>14</v>
      </c>
      <c r="F205">
        <v>5</v>
      </c>
      <c r="G205" t="s">
        <v>21</v>
      </c>
      <c r="H205">
        <v>0</v>
      </c>
      <c r="I205">
        <v>41</v>
      </c>
      <c r="J205">
        <v>0</v>
      </c>
      <c r="K205" t="s">
        <v>17</v>
      </c>
      <c r="L205" t="s">
        <v>17</v>
      </c>
      <c r="M205">
        <f>IF(Table1[[#This Row],[ألغى الاشتراك]]="نعم",1,0)</f>
        <v>0</v>
      </c>
      <c r="N205">
        <f>IF(Table1[[#This Row],[وسيلة الدفع]]="بطاقة",1,0)</f>
        <v>0</v>
      </c>
      <c r="O205">
        <f>IF(Table1[[#This Row],[وسيلة الدفع]]="محفظة",1,0)</f>
        <v>1</v>
      </c>
      <c r="P205">
        <f>IF(Table1[[#This Row],[وسيلة الدفع]]="تحويل",1,0)</f>
        <v>0</v>
      </c>
      <c r="Q205">
        <f>IF(Table1[[#This Row],[حضر التهيئة]]="نعم",1,0)</f>
        <v>0</v>
      </c>
      <c r="R205">
        <f>IF(Table1[[#This Row],[دورة الفوترة]]="شهري",1,0)</f>
        <v>1</v>
      </c>
    </row>
    <row r="206" spans="1:18" x14ac:dyDescent="0.25">
      <c r="A206" t="s">
        <v>226</v>
      </c>
      <c r="B206" s="1">
        <v>45799</v>
      </c>
      <c r="C206" t="s">
        <v>19</v>
      </c>
      <c r="D206">
        <v>189</v>
      </c>
      <c r="E206" t="s">
        <v>20</v>
      </c>
      <c r="F206">
        <v>14</v>
      </c>
      <c r="G206" t="s">
        <v>15</v>
      </c>
      <c r="H206">
        <v>0</v>
      </c>
      <c r="I206">
        <v>54</v>
      </c>
      <c r="J206">
        <v>5</v>
      </c>
      <c r="K206" t="s">
        <v>17</v>
      </c>
      <c r="L206" t="s">
        <v>17</v>
      </c>
      <c r="M206">
        <f>IF(Table1[[#This Row],[ألغى الاشتراك]]="نعم",1,0)</f>
        <v>0</v>
      </c>
      <c r="N206">
        <f>IF(Table1[[#This Row],[وسيلة الدفع]]="بطاقة",1,0)</f>
        <v>1</v>
      </c>
      <c r="O206">
        <f>IF(Table1[[#This Row],[وسيلة الدفع]]="محفظة",1,0)</f>
        <v>0</v>
      </c>
      <c r="P206">
        <f>IF(Table1[[#This Row],[وسيلة الدفع]]="تحويل",1,0)</f>
        <v>0</v>
      </c>
      <c r="Q206">
        <f>IF(Table1[[#This Row],[حضر التهيئة]]="نعم",1,0)</f>
        <v>0</v>
      </c>
      <c r="R206">
        <f>IF(Table1[[#This Row],[دورة الفوترة]]="شهري",1,0)</f>
        <v>0</v>
      </c>
    </row>
    <row r="207" spans="1:18" x14ac:dyDescent="0.25">
      <c r="A207" t="s">
        <v>227</v>
      </c>
      <c r="B207" s="1">
        <v>45572</v>
      </c>
      <c r="C207" t="s">
        <v>13</v>
      </c>
      <c r="D207">
        <v>89</v>
      </c>
      <c r="E207" t="s">
        <v>14</v>
      </c>
      <c r="F207">
        <v>6</v>
      </c>
      <c r="G207" t="s">
        <v>23</v>
      </c>
      <c r="H207">
        <v>1</v>
      </c>
      <c r="I207">
        <v>54</v>
      </c>
      <c r="J207">
        <v>0</v>
      </c>
      <c r="K207" t="s">
        <v>17</v>
      </c>
      <c r="L207" t="s">
        <v>17</v>
      </c>
      <c r="M207">
        <f>IF(Table1[[#This Row],[ألغى الاشتراك]]="نعم",1,0)</f>
        <v>0</v>
      </c>
      <c r="N207">
        <f>IF(Table1[[#This Row],[وسيلة الدفع]]="بطاقة",1,0)</f>
        <v>0</v>
      </c>
      <c r="O207">
        <f>IF(Table1[[#This Row],[وسيلة الدفع]]="محفظة",1,0)</f>
        <v>0</v>
      </c>
      <c r="P207">
        <f>IF(Table1[[#This Row],[وسيلة الدفع]]="تحويل",1,0)</f>
        <v>1</v>
      </c>
      <c r="Q207">
        <f>IF(Table1[[#This Row],[حضر التهيئة]]="نعم",1,0)</f>
        <v>0</v>
      </c>
      <c r="R207">
        <f>IF(Table1[[#This Row],[دورة الفوترة]]="شهري",1,0)</f>
        <v>1</v>
      </c>
    </row>
    <row r="208" spans="1:18" x14ac:dyDescent="0.25">
      <c r="A208" t="s">
        <v>228</v>
      </c>
      <c r="B208" s="1">
        <v>45728</v>
      </c>
      <c r="C208" t="s">
        <v>13</v>
      </c>
      <c r="D208">
        <v>89</v>
      </c>
      <c r="E208" t="s">
        <v>14</v>
      </c>
      <c r="F208">
        <v>17</v>
      </c>
      <c r="G208" t="s">
        <v>23</v>
      </c>
      <c r="H208">
        <v>11</v>
      </c>
      <c r="I208">
        <v>21</v>
      </c>
      <c r="J208">
        <v>0</v>
      </c>
      <c r="K208" t="s">
        <v>16</v>
      </c>
      <c r="L208" t="s">
        <v>17</v>
      </c>
      <c r="M208">
        <f>IF(Table1[[#This Row],[ألغى الاشتراك]]="نعم",1,0)</f>
        <v>0</v>
      </c>
      <c r="N208">
        <f>IF(Table1[[#This Row],[وسيلة الدفع]]="بطاقة",1,0)</f>
        <v>0</v>
      </c>
      <c r="O208">
        <f>IF(Table1[[#This Row],[وسيلة الدفع]]="محفظة",1,0)</f>
        <v>0</v>
      </c>
      <c r="P208">
        <f>IF(Table1[[#This Row],[وسيلة الدفع]]="تحويل",1,0)</f>
        <v>1</v>
      </c>
      <c r="Q208">
        <f>IF(Table1[[#This Row],[حضر التهيئة]]="نعم",1,0)</f>
        <v>1</v>
      </c>
      <c r="R208">
        <f>IF(Table1[[#This Row],[دورة الفوترة]]="شهري",1,0)</f>
        <v>1</v>
      </c>
    </row>
    <row r="209" spans="1:18" x14ac:dyDescent="0.25">
      <c r="A209" t="s">
        <v>229</v>
      </c>
      <c r="B209" s="1">
        <v>45505</v>
      </c>
      <c r="C209" t="s">
        <v>19</v>
      </c>
      <c r="D209">
        <v>189</v>
      </c>
      <c r="E209" t="s">
        <v>14</v>
      </c>
      <c r="F209">
        <v>16</v>
      </c>
      <c r="G209" t="s">
        <v>23</v>
      </c>
      <c r="H209">
        <v>10</v>
      </c>
      <c r="I209">
        <v>44</v>
      </c>
      <c r="J209">
        <v>0</v>
      </c>
      <c r="K209" t="s">
        <v>16</v>
      </c>
      <c r="L209" t="s">
        <v>17</v>
      </c>
      <c r="M209">
        <f>IF(Table1[[#This Row],[ألغى الاشتراك]]="نعم",1,0)</f>
        <v>0</v>
      </c>
      <c r="N209">
        <f>IF(Table1[[#This Row],[وسيلة الدفع]]="بطاقة",1,0)</f>
        <v>0</v>
      </c>
      <c r="O209">
        <f>IF(Table1[[#This Row],[وسيلة الدفع]]="محفظة",1,0)</f>
        <v>0</v>
      </c>
      <c r="P209">
        <f>IF(Table1[[#This Row],[وسيلة الدفع]]="تحويل",1,0)</f>
        <v>1</v>
      </c>
      <c r="Q209">
        <f>IF(Table1[[#This Row],[حضر التهيئة]]="نعم",1,0)</f>
        <v>1</v>
      </c>
      <c r="R209">
        <f>IF(Table1[[#This Row],[دورة الفوترة]]="شهري",1,0)</f>
        <v>1</v>
      </c>
    </row>
    <row r="210" spans="1:18" x14ac:dyDescent="0.25">
      <c r="A210" t="s">
        <v>230</v>
      </c>
      <c r="B210" s="1">
        <v>45667</v>
      </c>
      <c r="C210" t="s">
        <v>19</v>
      </c>
      <c r="D210">
        <v>189</v>
      </c>
      <c r="E210" t="s">
        <v>20</v>
      </c>
      <c r="F210">
        <v>3</v>
      </c>
      <c r="G210" t="s">
        <v>23</v>
      </c>
      <c r="H210">
        <v>1</v>
      </c>
      <c r="I210">
        <v>51</v>
      </c>
      <c r="J210">
        <v>0</v>
      </c>
      <c r="K210" t="s">
        <v>16</v>
      </c>
      <c r="L210" t="s">
        <v>17</v>
      </c>
      <c r="M210">
        <f>IF(Table1[[#This Row],[ألغى الاشتراك]]="نعم",1,0)</f>
        <v>0</v>
      </c>
      <c r="N210">
        <f>IF(Table1[[#This Row],[وسيلة الدفع]]="بطاقة",1,0)</f>
        <v>0</v>
      </c>
      <c r="O210">
        <f>IF(Table1[[#This Row],[وسيلة الدفع]]="محفظة",1,0)</f>
        <v>0</v>
      </c>
      <c r="P210">
        <f>IF(Table1[[#This Row],[وسيلة الدفع]]="تحويل",1,0)</f>
        <v>1</v>
      </c>
      <c r="Q210">
        <f>IF(Table1[[#This Row],[حضر التهيئة]]="نعم",1,0)</f>
        <v>1</v>
      </c>
      <c r="R210">
        <f>IF(Table1[[#This Row],[دورة الفوترة]]="شهري",1,0)</f>
        <v>0</v>
      </c>
    </row>
    <row r="211" spans="1:18" x14ac:dyDescent="0.25">
      <c r="A211" t="s">
        <v>231</v>
      </c>
      <c r="B211" s="1">
        <v>45592</v>
      </c>
      <c r="C211" t="s">
        <v>28</v>
      </c>
      <c r="D211">
        <v>39</v>
      </c>
      <c r="E211" t="s">
        <v>14</v>
      </c>
      <c r="F211">
        <v>18</v>
      </c>
      <c r="G211" t="s">
        <v>15</v>
      </c>
      <c r="H211">
        <v>11</v>
      </c>
      <c r="I211">
        <v>34</v>
      </c>
      <c r="J211">
        <v>0</v>
      </c>
      <c r="K211" t="s">
        <v>17</v>
      </c>
      <c r="L211" t="s">
        <v>17</v>
      </c>
      <c r="M211">
        <f>IF(Table1[[#This Row],[ألغى الاشتراك]]="نعم",1,0)</f>
        <v>0</v>
      </c>
      <c r="N211">
        <f>IF(Table1[[#This Row],[وسيلة الدفع]]="بطاقة",1,0)</f>
        <v>1</v>
      </c>
      <c r="O211">
        <f>IF(Table1[[#This Row],[وسيلة الدفع]]="محفظة",1,0)</f>
        <v>0</v>
      </c>
      <c r="P211">
        <f>IF(Table1[[#This Row],[وسيلة الدفع]]="تحويل",1,0)</f>
        <v>0</v>
      </c>
      <c r="Q211">
        <f>IF(Table1[[#This Row],[حضر التهيئة]]="نعم",1,0)</f>
        <v>0</v>
      </c>
      <c r="R211">
        <f>IF(Table1[[#This Row],[دورة الفوترة]]="شهري",1,0)</f>
        <v>1</v>
      </c>
    </row>
    <row r="212" spans="1:18" x14ac:dyDescent="0.25">
      <c r="A212" t="s">
        <v>232</v>
      </c>
      <c r="B212" s="1">
        <v>45842</v>
      </c>
      <c r="C212" t="s">
        <v>13</v>
      </c>
      <c r="D212">
        <v>89</v>
      </c>
      <c r="E212" t="s">
        <v>14</v>
      </c>
      <c r="F212">
        <v>29</v>
      </c>
      <c r="G212" t="s">
        <v>23</v>
      </c>
      <c r="H212">
        <v>1</v>
      </c>
      <c r="I212">
        <v>29</v>
      </c>
      <c r="J212">
        <v>0</v>
      </c>
      <c r="K212" t="s">
        <v>16</v>
      </c>
      <c r="L212" t="s">
        <v>17</v>
      </c>
      <c r="M212">
        <f>IF(Table1[[#This Row],[ألغى الاشتراك]]="نعم",1,0)</f>
        <v>0</v>
      </c>
      <c r="N212">
        <f>IF(Table1[[#This Row],[وسيلة الدفع]]="بطاقة",1,0)</f>
        <v>0</v>
      </c>
      <c r="O212">
        <f>IF(Table1[[#This Row],[وسيلة الدفع]]="محفظة",1,0)</f>
        <v>0</v>
      </c>
      <c r="P212">
        <f>IF(Table1[[#This Row],[وسيلة الدفع]]="تحويل",1,0)</f>
        <v>1</v>
      </c>
      <c r="Q212">
        <f>IF(Table1[[#This Row],[حضر التهيئة]]="نعم",1,0)</f>
        <v>1</v>
      </c>
      <c r="R212">
        <f>IF(Table1[[#This Row],[دورة الفوترة]]="شهري",1,0)</f>
        <v>1</v>
      </c>
    </row>
    <row r="213" spans="1:18" x14ac:dyDescent="0.25">
      <c r="A213" t="s">
        <v>233</v>
      </c>
      <c r="B213" s="1">
        <v>45659</v>
      </c>
      <c r="C213" t="s">
        <v>13</v>
      </c>
      <c r="D213">
        <v>89</v>
      </c>
      <c r="E213" t="s">
        <v>20</v>
      </c>
      <c r="F213">
        <v>22</v>
      </c>
      <c r="G213" t="s">
        <v>23</v>
      </c>
      <c r="H213">
        <v>2</v>
      </c>
      <c r="I213">
        <v>26</v>
      </c>
      <c r="J213">
        <v>5</v>
      </c>
      <c r="K213" t="s">
        <v>16</v>
      </c>
      <c r="L213" t="s">
        <v>17</v>
      </c>
      <c r="M213">
        <f>IF(Table1[[#This Row],[ألغى الاشتراك]]="نعم",1,0)</f>
        <v>0</v>
      </c>
      <c r="N213">
        <f>IF(Table1[[#This Row],[وسيلة الدفع]]="بطاقة",1,0)</f>
        <v>0</v>
      </c>
      <c r="O213">
        <f>IF(Table1[[#This Row],[وسيلة الدفع]]="محفظة",1,0)</f>
        <v>0</v>
      </c>
      <c r="P213">
        <f>IF(Table1[[#This Row],[وسيلة الدفع]]="تحويل",1,0)</f>
        <v>1</v>
      </c>
      <c r="Q213">
        <f>IF(Table1[[#This Row],[حضر التهيئة]]="نعم",1,0)</f>
        <v>1</v>
      </c>
      <c r="R213">
        <f>IF(Table1[[#This Row],[دورة الفوترة]]="شهري",1,0)</f>
        <v>0</v>
      </c>
    </row>
    <row r="214" spans="1:18" x14ac:dyDescent="0.25">
      <c r="A214" t="s">
        <v>234</v>
      </c>
      <c r="B214" s="1">
        <v>45572</v>
      </c>
      <c r="C214" t="s">
        <v>19</v>
      </c>
      <c r="D214">
        <v>189</v>
      </c>
      <c r="E214" t="s">
        <v>14</v>
      </c>
      <c r="F214">
        <v>22</v>
      </c>
      <c r="G214" t="s">
        <v>15</v>
      </c>
      <c r="H214">
        <v>0</v>
      </c>
      <c r="I214">
        <v>32</v>
      </c>
      <c r="J214">
        <v>0</v>
      </c>
      <c r="K214" t="s">
        <v>16</v>
      </c>
      <c r="L214" t="s">
        <v>17</v>
      </c>
      <c r="M214">
        <f>IF(Table1[[#This Row],[ألغى الاشتراك]]="نعم",1,0)</f>
        <v>0</v>
      </c>
      <c r="N214">
        <f>IF(Table1[[#This Row],[وسيلة الدفع]]="بطاقة",1,0)</f>
        <v>1</v>
      </c>
      <c r="O214">
        <f>IF(Table1[[#This Row],[وسيلة الدفع]]="محفظة",1,0)</f>
        <v>0</v>
      </c>
      <c r="P214">
        <f>IF(Table1[[#This Row],[وسيلة الدفع]]="تحويل",1,0)</f>
        <v>0</v>
      </c>
      <c r="Q214">
        <f>IF(Table1[[#This Row],[حضر التهيئة]]="نعم",1,0)</f>
        <v>1</v>
      </c>
      <c r="R214">
        <f>IF(Table1[[#This Row],[دورة الفوترة]]="شهري",1,0)</f>
        <v>1</v>
      </c>
    </row>
    <row r="215" spans="1:18" x14ac:dyDescent="0.25">
      <c r="A215" t="s">
        <v>235</v>
      </c>
      <c r="B215" s="1">
        <v>45744</v>
      </c>
      <c r="C215" t="s">
        <v>13</v>
      </c>
      <c r="D215">
        <v>89</v>
      </c>
      <c r="E215" t="s">
        <v>14</v>
      </c>
      <c r="F215">
        <v>13</v>
      </c>
      <c r="G215" t="s">
        <v>21</v>
      </c>
      <c r="H215">
        <v>2</v>
      </c>
      <c r="I215">
        <v>51</v>
      </c>
      <c r="J215">
        <v>0</v>
      </c>
      <c r="K215" t="s">
        <v>17</v>
      </c>
      <c r="L215" t="s">
        <v>17</v>
      </c>
      <c r="M215">
        <f>IF(Table1[[#This Row],[ألغى الاشتراك]]="نعم",1,0)</f>
        <v>0</v>
      </c>
      <c r="N215">
        <f>IF(Table1[[#This Row],[وسيلة الدفع]]="بطاقة",1,0)</f>
        <v>0</v>
      </c>
      <c r="O215">
        <f>IF(Table1[[#This Row],[وسيلة الدفع]]="محفظة",1,0)</f>
        <v>1</v>
      </c>
      <c r="P215">
        <f>IF(Table1[[#This Row],[وسيلة الدفع]]="تحويل",1,0)</f>
        <v>0</v>
      </c>
      <c r="Q215">
        <f>IF(Table1[[#This Row],[حضر التهيئة]]="نعم",1,0)</f>
        <v>0</v>
      </c>
      <c r="R215">
        <f>IF(Table1[[#This Row],[دورة الفوترة]]="شهري",1,0)</f>
        <v>1</v>
      </c>
    </row>
    <row r="216" spans="1:18" x14ac:dyDescent="0.25">
      <c r="A216" t="s">
        <v>236</v>
      </c>
      <c r="B216" s="1">
        <v>45918</v>
      </c>
      <c r="C216" t="s">
        <v>28</v>
      </c>
      <c r="D216">
        <v>39</v>
      </c>
      <c r="E216" t="s">
        <v>20</v>
      </c>
      <c r="F216">
        <v>28</v>
      </c>
      <c r="G216" t="s">
        <v>15</v>
      </c>
      <c r="H216">
        <v>2</v>
      </c>
      <c r="I216">
        <v>30</v>
      </c>
      <c r="J216">
        <v>5</v>
      </c>
      <c r="K216" t="s">
        <v>17</v>
      </c>
      <c r="L216" t="s">
        <v>17</v>
      </c>
      <c r="M216">
        <f>IF(Table1[[#This Row],[ألغى الاشتراك]]="نعم",1,0)</f>
        <v>0</v>
      </c>
      <c r="N216">
        <f>IF(Table1[[#This Row],[وسيلة الدفع]]="بطاقة",1,0)</f>
        <v>1</v>
      </c>
      <c r="O216">
        <f>IF(Table1[[#This Row],[وسيلة الدفع]]="محفظة",1,0)</f>
        <v>0</v>
      </c>
      <c r="P216">
        <f>IF(Table1[[#This Row],[وسيلة الدفع]]="تحويل",1,0)</f>
        <v>0</v>
      </c>
      <c r="Q216">
        <f>IF(Table1[[#This Row],[حضر التهيئة]]="نعم",1,0)</f>
        <v>0</v>
      </c>
      <c r="R216">
        <f>IF(Table1[[#This Row],[دورة الفوترة]]="شهري",1,0)</f>
        <v>0</v>
      </c>
    </row>
    <row r="217" spans="1:18" x14ac:dyDescent="0.25">
      <c r="A217" t="s">
        <v>237</v>
      </c>
      <c r="B217" s="1">
        <v>45349</v>
      </c>
      <c r="C217" t="s">
        <v>19</v>
      </c>
      <c r="D217">
        <v>189</v>
      </c>
      <c r="E217" t="s">
        <v>14</v>
      </c>
      <c r="F217">
        <v>28</v>
      </c>
      <c r="G217" t="s">
        <v>23</v>
      </c>
      <c r="H217">
        <v>1</v>
      </c>
      <c r="I217">
        <v>8</v>
      </c>
      <c r="J217">
        <v>0</v>
      </c>
      <c r="K217" t="s">
        <v>16</v>
      </c>
      <c r="L217" t="s">
        <v>16</v>
      </c>
      <c r="M217">
        <f>IF(Table1[[#This Row],[ألغى الاشتراك]]="نعم",1,0)</f>
        <v>1</v>
      </c>
      <c r="N217">
        <f>IF(Table1[[#This Row],[وسيلة الدفع]]="بطاقة",1,0)</f>
        <v>0</v>
      </c>
      <c r="O217">
        <f>IF(Table1[[#This Row],[وسيلة الدفع]]="محفظة",1,0)</f>
        <v>0</v>
      </c>
      <c r="P217">
        <f>IF(Table1[[#This Row],[وسيلة الدفع]]="تحويل",1,0)</f>
        <v>1</v>
      </c>
      <c r="Q217">
        <f>IF(Table1[[#This Row],[حضر التهيئة]]="نعم",1,0)</f>
        <v>1</v>
      </c>
      <c r="R217">
        <f>IF(Table1[[#This Row],[دورة الفوترة]]="شهري",1,0)</f>
        <v>1</v>
      </c>
    </row>
    <row r="218" spans="1:18" x14ac:dyDescent="0.25">
      <c r="A218" t="s">
        <v>238</v>
      </c>
      <c r="B218" s="1">
        <v>45854</v>
      </c>
      <c r="C218" t="s">
        <v>19</v>
      </c>
      <c r="D218">
        <v>189</v>
      </c>
      <c r="E218" t="s">
        <v>14</v>
      </c>
      <c r="F218">
        <v>9</v>
      </c>
      <c r="G218" t="s">
        <v>23</v>
      </c>
      <c r="H218">
        <v>0</v>
      </c>
      <c r="I218">
        <v>45</v>
      </c>
      <c r="J218">
        <v>0</v>
      </c>
      <c r="K218" t="s">
        <v>16</v>
      </c>
      <c r="L218" t="s">
        <v>17</v>
      </c>
      <c r="M218">
        <f>IF(Table1[[#This Row],[ألغى الاشتراك]]="نعم",1,0)</f>
        <v>0</v>
      </c>
      <c r="N218">
        <f>IF(Table1[[#This Row],[وسيلة الدفع]]="بطاقة",1,0)</f>
        <v>0</v>
      </c>
      <c r="O218">
        <f>IF(Table1[[#This Row],[وسيلة الدفع]]="محفظة",1,0)</f>
        <v>0</v>
      </c>
      <c r="P218">
        <f>IF(Table1[[#This Row],[وسيلة الدفع]]="تحويل",1,0)</f>
        <v>1</v>
      </c>
      <c r="Q218">
        <f>IF(Table1[[#This Row],[حضر التهيئة]]="نعم",1,0)</f>
        <v>1</v>
      </c>
      <c r="R218">
        <f>IF(Table1[[#This Row],[دورة الفوترة]]="شهري",1,0)</f>
        <v>1</v>
      </c>
    </row>
    <row r="219" spans="1:18" x14ac:dyDescent="0.25">
      <c r="A219" t="s">
        <v>239</v>
      </c>
      <c r="B219" s="1">
        <v>45529</v>
      </c>
      <c r="C219" t="s">
        <v>13</v>
      </c>
      <c r="D219">
        <v>89</v>
      </c>
      <c r="E219" t="s">
        <v>14</v>
      </c>
      <c r="F219">
        <v>16</v>
      </c>
      <c r="G219" t="s">
        <v>21</v>
      </c>
      <c r="H219">
        <v>0</v>
      </c>
      <c r="I219">
        <v>10</v>
      </c>
      <c r="J219">
        <v>0</v>
      </c>
      <c r="K219" t="s">
        <v>16</v>
      </c>
      <c r="L219" t="s">
        <v>17</v>
      </c>
      <c r="M219">
        <f>IF(Table1[[#This Row],[ألغى الاشتراك]]="نعم",1,0)</f>
        <v>0</v>
      </c>
      <c r="N219">
        <f>IF(Table1[[#This Row],[وسيلة الدفع]]="بطاقة",1,0)</f>
        <v>0</v>
      </c>
      <c r="O219">
        <f>IF(Table1[[#This Row],[وسيلة الدفع]]="محفظة",1,0)</f>
        <v>1</v>
      </c>
      <c r="P219">
        <f>IF(Table1[[#This Row],[وسيلة الدفع]]="تحويل",1,0)</f>
        <v>0</v>
      </c>
      <c r="Q219">
        <f>IF(Table1[[#This Row],[حضر التهيئة]]="نعم",1,0)</f>
        <v>1</v>
      </c>
      <c r="R219">
        <f>IF(Table1[[#This Row],[دورة الفوترة]]="شهري",1,0)</f>
        <v>1</v>
      </c>
    </row>
    <row r="220" spans="1:18" x14ac:dyDescent="0.25">
      <c r="A220" t="s">
        <v>240</v>
      </c>
      <c r="B220" s="1">
        <v>45902</v>
      </c>
      <c r="C220" t="s">
        <v>13</v>
      </c>
      <c r="D220">
        <v>89</v>
      </c>
      <c r="E220" t="s">
        <v>20</v>
      </c>
      <c r="F220">
        <v>7</v>
      </c>
      <c r="G220" t="s">
        <v>15</v>
      </c>
      <c r="H220">
        <v>0</v>
      </c>
      <c r="I220">
        <v>15</v>
      </c>
      <c r="J220">
        <v>0</v>
      </c>
      <c r="K220" t="s">
        <v>16</v>
      </c>
      <c r="L220" t="s">
        <v>17</v>
      </c>
      <c r="M220">
        <f>IF(Table1[[#This Row],[ألغى الاشتراك]]="نعم",1,0)</f>
        <v>0</v>
      </c>
      <c r="N220">
        <f>IF(Table1[[#This Row],[وسيلة الدفع]]="بطاقة",1,0)</f>
        <v>1</v>
      </c>
      <c r="O220">
        <f>IF(Table1[[#This Row],[وسيلة الدفع]]="محفظة",1,0)</f>
        <v>0</v>
      </c>
      <c r="P220">
        <f>IF(Table1[[#This Row],[وسيلة الدفع]]="تحويل",1,0)</f>
        <v>0</v>
      </c>
      <c r="Q220">
        <f>IF(Table1[[#This Row],[حضر التهيئة]]="نعم",1,0)</f>
        <v>1</v>
      </c>
      <c r="R220">
        <f>IF(Table1[[#This Row],[دورة الفوترة]]="شهري",1,0)</f>
        <v>0</v>
      </c>
    </row>
    <row r="221" spans="1:18" x14ac:dyDescent="0.25">
      <c r="A221" t="s">
        <v>241</v>
      </c>
      <c r="B221" s="1">
        <v>45965</v>
      </c>
      <c r="C221" t="s">
        <v>13</v>
      </c>
      <c r="D221">
        <v>89</v>
      </c>
      <c r="E221" t="s">
        <v>14</v>
      </c>
      <c r="F221">
        <v>18</v>
      </c>
      <c r="G221" t="s">
        <v>15</v>
      </c>
      <c r="H221">
        <v>2</v>
      </c>
      <c r="I221">
        <v>20</v>
      </c>
      <c r="J221">
        <v>15</v>
      </c>
      <c r="K221" t="s">
        <v>17</v>
      </c>
      <c r="L221" t="s">
        <v>17</v>
      </c>
      <c r="M221">
        <f>IF(Table1[[#This Row],[ألغى الاشتراك]]="نعم",1,0)</f>
        <v>0</v>
      </c>
      <c r="N221">
        <f>IF(Table1[[#This Row],[وسيلة الدفع]]="بطاقة",1,0)</f>
        <v>1</v>
      </c>
      <c r="O221">
        <f>IF(Table1[[#This Row],[وسيلة الدفع]]="محفظة",1,0)</f>
        <v>0</v>
      </c>
      <c r="P221">
        <f>IF(Table1[[#This Row],[وسيلة الدفع]]="تحويل",1,0)</f>
        <v>0</v>
      </c>
      <c r="Q221">
        <f>IF(Table1[[#This Row],[حضر التهيئة]]="نعم",1,0)</f>
        <v>0</v>
      </c>
      <c r="R221">
        <f>IF(Table1[[#This Row],[دورة الفوترة]]="شهري",1,0)</f>
        <v>1</v>
      </c>
    </row>
    <row r="222" spans="1:18" x14ac:dyDescent="0.25">
      <c r="A222" t="s">
        <v>242</v>
      </c>
      <c r="B222" s="1">
        <v>45525</v>
      </c>
      <c r="C222" t="s">
        <v>28</v>
      </c>
      <c r="D222">
        <v>39</v>
      </c>
      <c r="E222" t="s">
        <v>14</v>
      </c>
      <c r="F222">
        <v>26</v>
      </c>
      <c r="G222" t="s">
        <v>15</v>
      </c>
      <c r="H222">
        <v>2</v>
      </c>
      <c r="I222">
        <v>20</v>
      </c>
      <c r="J222">
        <v>0</v>
      </c>
      <c r="K222" t="s">
        <v>17</v>
      </c>
      <c r="L222" t="s">
        <v>17</v>
      </c>
      <c r="M222">
        <f>IF(Table1[[#This Row],[ألغى الاشتراك]]="نعم",1,0)</f>
        <v>0</v>
      </c>
      <c r="N222">
        <f>IF(Table1[[#This Row],[وسيلة الدفع]]="بطاقة",1,0)</f>
        <v>1</v>
      </c>
      <c r="O222">
        <f>IF(Table1[[#This Row],[وسيلة الدفع]]="محفظة",1,0)</f>
        <v>0</v>
      </c>
      <c r="P222">
        <f>IF(Table1[[#This Row],[وسيلة الدفع]]="تحويل",1,0)</f>
        <v>0</v>
      </c>
      <c r="Q222">
        <f>IF(Table1[[#This Row],[حضر التهيئة]]="نعم",1,0)</f>
        <v>0</v>
      </c>
      <c r="R222">
        <f>IF(Table1[[#This Row],[دورة الفوترة]]="شهري",1,0)</f>
        <v>1</v>
      </c>
    </row>
    <row r="223" spans="1:18" x14ac:dyDescent="0.25">
      <c r="A223" t="s">
        <v>243</v>
      </c>
      <c r="B223" s="1">
        <v>45458</v>
      </c>
      <c r="C223" t="s">
        <v>13</v>
      </c>
      <c r="D223">
        <v>89</v>
      </c>
      <c r="E223" t="s">
        <v>20</v>
      </c>
      <c r="F223">
        <v>17</v>
      </c>
      <c r="G223" t="s">
        <v>15</v>
      </c>
      <c r="H223">
        <v>2</v>
      </c>
      <c r="I223">
        <v>59</v>
      </c>
      <c r="J223">
        <v>10</v>
      </c>
      <c r="K223" t="s">
        <v>16</v>
      </c>
      <c r="L223" t="s">
        <v>17</v>
      </c>
      <c r="M223">
        <f>IF(Table1[[#This Row],[ألغى الاشتراك]]="نعم",1,0)</f>
        <v>0</v>
      </c>
      <c r="N223">
        <f>IF(Table1[[#This Row],[وسيلة الدفع]]="بطاقة",1,0)</f>
        <v>1</v>
      </c>
      <c r="O223">
        <f>IF(Table1[[#This Row],[وسيلة الدفع]]="محفظة",1,0)</f>
        <v>0</v>
      </c>
      <c r="P223">
        <f>IF(Table1[[#This Row],[وسيلة الدفع]]="تحويل",1,0)</f>
        <v>0</v>
      </c>
      <c r="Q223">
        <f>IF(Table1[[#This Row],[حضر التهيئة]]="نعم",1,0)</f>
        <v>1</v>
      </c>
      <c r="R223">
        <f>IF(Table1[[#This Row],[دورة الفوترة]]="شهري",1,0)</f>
        <v>0</v>
      </c>
    </row>
    <row r="224" spans="1:18" x14ac:dyDescent="0.25">
      <c r="A224" t="s">
        <v>244</v>
      </c>
      <c r="B224" s="1">
        <v>45977</v>
      </c>
      <c r="C224" t="s">
        <v>28</v>
      </c>
      <c r="D224">
        <v>39</v>
      </c>
      <c r="E224" t="s">
        <v>14</v>
      </c>
      <c r="F224">
        <v>25</v>
      </c>
      <c r="G224" t="s">
        <v>15</v>
      </c>
      <c r="H224">
        <v>3</v>
      </c>
      <c r="I224">
        <v>17</v>
      </c>
      <c r="J224">
        <v>0</v>
      </c>
      <c r="K224" t="s">
        <v>16</v>
      </c>
      <c r="L224" t="s">
        <v>17</v>
      </c>
      <c r="M224">
        <f>IF(Table1[[#This Row],[ألغى الاشتراك]]="نعم",1,0)</f>
        <v>0</v>
      </c>
      <c r="N224">
        <f>IF(Table1[[#This Row],[وسيلة الدفع]]="بطاقة",1,0)</f>
        <v>1</v>
      </c>
      <c r="O224">
        <f>IF(Table1[[#This Row],[وسيلة الدفع]]="محفظة",1,0)</f>
        <v>0</v>
      </c>
      <c r="P224">
        <f>IF(Table1[[#This Row],[وسيلة الدفع]]="تحويل",1,0)</f>
        <v>0</v>
      </c>
      <c r="Q224">
        <f>IF(Table1[[#This Row],[حضر التهيئة]]="نعم",1,0)</f>
        <v>1</v>
      </c>
      <c r="R224">
        <f>IF(Table1[[#This Row],[دورة الفوترة]]="شهري",1,0)</f>
        <v>1</v>
      </c>
    </row>
    <row r="225" spans="1:18" x14ac:dyDescent="0.25">
      <c r="A225" t="s">
        <v>245</v>
      </c>
      <c r="B225" s="1">
        <v>45509</v>
      </c>
      <c r="C225" t="s">
        <v>28</v>
      </c>
      <c r="D225">
        <v>39</v>
      </c>
      <c r="E225" t="s">
        <v>14</v>
      </c>
      <c r="F225">
        <v>26</v>
      </c>
      <c r="G225" t="s">
        <v>23</v>
      </c>
      <c r="H225">
        <v>1</v>
      </c>
      <c r="I225">
        <v>16</v>
      </c>
      <c r="J225">
        <v>0</v>
      </c>
      <c r="K225" t="s">
        <v>17</v>
      </c>
      <c r="L225" t="s">
        <v>17</v>
      </c>
      <c r="M225">
        <f>IF(Table1[[#This Row],[ألغى الاشتراك]]="نعم",1,0)</f>
        <v>0</v>
      </c>
      <c r="N225">
        <f>IF(Table1[[#This Row],[وسيلة الدفع]]="بطاقة",1,0)</f>
        <v>0</v>
      </c>
      <c r="O225">
        <f>IF(Table1[[#This Row],[وسيلة الدفع]]="محفظة",1,0)</f>
        <v>0</v>
      </c>
      <c r="P225">
        <f>IF(Table1[[#This Row],[وسيلة الدفع]]="تحويل",1,0)</f>
        <v>1</v>
      </c>
      <c r="Q225">
        <f>IF(Table1[[#This Row],[حضر التهيئة]]="نعم",1,0)</f>
        <v>0</v>
      </c>
      <c r="R225">
        <f>IF(Table1[[#This Row],[دورة الفوترة]]="شهري",1,0)</f>
        <v>1</v>
      </c>
    </row>
    <row r="226" spans="1:18" x14ac:dyDescent="0.25">
      <c r="A226" t="s">
        <v>246</v>
      </c>
      <c r="B226" s="1">
        <v>45910</v>
      </c>
      <c r="C226" t="s">
        <v>13</v>
      </c>
      <c r="D226">
        <v>89</v>
      </c>
      <c r="E226" t="s">
        <v>14</v>
      </c>
      <c r="F226">
        <v>3</v>
      </c>
      <c r="G226" t="s">
        <v>15</v>
      </c>
      <c r="H226">
        <v>2</v>
      </c>
      <c r="I226">
        <v>19</v>
      </c>
      <c r="J226">
        <v>0</v>
      </c>
      <c r="K226" t="s">
        <v>17</v>
      </c>
      <c r="L226" t="s">
        <v>17</v>
      </c>
      <c r="M226">
        <f>IF(Table1[[#This Row],[ألغى الاشتراك]]="نعم",1,0)</f>
        <v>0</v>
      </c>
      <c r="N226">
        <f>IF(Table1[[#This Row],[وسيلة الدفع]]="بطاقة",1,0)</f>
        <v>1</v>
      </c>
      <c r="O226">
        <f>IF(Table1[[#This Row],[وسيلة الدفع]]="محفظة",1,0)</f>
        <v>0</v>
      </c>
      <c r="P226">
        <f>IF(Table1[[#This Row],[وسيلة الدفع]]="تحويل",1,0)</f>
        <v>0</v>
      </c>
      <c r="Q226">
        <f>IF(Table1[[#This Row],[حضر التهيئة]]="نعم",1,0)</f>
        <v>0</v>
      </c>
      <c r="R226">
        <f>IF(Table1[[#This Row],[دورة الفوترة]]="شهري",1,0)</f>
        <v>1</v>
      </c>
    </row>
    <row r="227" spans="1:18" x14ac:dyDescent="0.25">
      <c r="A227" t="s">
        <v>247</v>
      </c>
      <c r="B227" s="1">
        <v>45349</v>
      </c>
      <c r="C227" t="s">
        <v>13</v>
      </c>
      <c r="D227">
        <v>89</v>
      </c>
      <c r="E227" t="s">
        <v>20</v>
      </c>
      <c r="F227">
        <v>10</v>
      </c>
      <c r="G227" t="s">
        <v>15</v>
      </c>
      <c r="H227">
        <v>2</v>
      </c>
      <c r="I227">
        <v>52</v>
      </c>
      <c r="J227">
        <v>0</v>
      </c>
      <c r="K227" t="s">
        <v>17</v>
      </c>
      <c r="L227" t="s">
        <v>17</v>
      </c>
      <c r="M227">
        <f>IF(Table1[[#This Row],[ألغى الاشتراك]]="نعم",1,0)</f>
        <v>0</v>
      </c>
      <c r="N227">
        <f>IF(Table1[[#This Row],[وسيلة الدفع]]="بطاقة",1,0)</f>
        <v>1</v>
      </c>
      <c r="O227">
        <f>IF(Table1[[#This Row],[وسيلة الدفع]]="محفظة",1,0)</f>
        <v>0</v>
      </c>
      <c r="P227">
        <f>IF(Table1[[#This Row],[وسيلة الدفع]]="تحويل",1,0)</f>
        <v>0</v>
      </c>
      <c r="Q227">
        <f>IF(Table1[[#This Row],[حضر التهيئة]]="نعم",1,0)</f>
        <v>0</v>
      </c>
      <c r="R227">
        <f>IF(Table1[[#This Row],[دورة الفوترة]]="شهري",1,0)</f>
        <v>0</v>
      </c>
    </row>
    <row r="228" spans="1:18" x14ac:dyDescent="0.25">
      <c r="A228" t="s">
        <v>248</v>
      </c>
      <c r="B228" s="1">
        <v>45989</v>
      </c>
      <c r="C228" t="s">
        <v>13</v>
      </c>
      <c r="D228">
        <v>89</v>
      </c>
      <c r="E228" t="s">
        <v>14</v>
      </c>
      <c r="F228">
        <v>13</v>
      </c>
      <c r="G228" t="s">
        <v>23</v>
      </c>
      <c r="H228">
        <v>1</v>
      </c>
      <c r="I228">
        <v>57</v>
      </c>
      <c r="J228">
        <v>0</v>
      </c>
      <c r="K228" t="s">
        <v>17</v>
      </c>
      <c r="L228" t="s">
        <v>17</v>
      </c>
      <c r="M228">
        <f>IF(Table1[[#This Row],[ألغى الاشتراك]]="نعم",1,0)</f>
        <v>0</v>
      </c>
      <c r="N228">
        <f>IF(Table1[[#This Row],[وسيلة الدفع]]="بطاقة",1,0)</f>
        <v>0</v>
      </c>
      <c r="O228">
        <f>IF(Table1[[#This Row],[وسيلة الدفع]]="محفظة",1,0)</f>
        <v>0</v>
      </c>
      <c r="P228">
        <f>IF(Table1[[#This Row],[وسيلة الدفع]]="تحويل",1,0)</f>
        <v>1</v>
      </c>
      <c r="Q228">
        <f>IF(Table1[[#This Row],[حضر التهيئة]]="نعم",1,0)</f>
        <v>0</v>
      </c>
      <c r="R228">
        <f>IF(Table1[[#This Row],[دورة الفوترة]]="شهري",1,0)</f>
        <v>1</v>
      </c>
    </row>
    <row r="229" spans="1:18" x14ac:dyDescent="0.25">
      <c r="A229" t="s">
        <v>249</v>
      </c>
      <c r="B229" s="1">
        <v>45403</v>
      </c>
      <c r="C229" t="s">
        <v>19</v>
      </c>
      <c r="D229">
        <v>189</v>
      </c>
      <c r="E229" t="s">
        <v>20</v>
      </c>
      <c r="F229">
        <v>18</v>
      </c>
      <c r="G229" t="s">
        <v>23</v>
      </c>
      <c r="H229">
        <v>6</v>
      </c>
      <c r="I229">
        <v>28</v>
      </c>
      <c r="J229">
        <v>0</v>
      </c>
      <c r="K229" t="s">
        <v>17</v>
      </c>
      <c r="L229" t="s">
        <v>17</v>
      </c>
      <c r="M229">
        <f>IF(Table1[[#This Row],[ألغى الاشتراك]]="نعم",1,0)</f>
        <v>0</v>
      </c>
      <c r="N229">
        <f>IF(Table1[[#This Row],[وسيلة الدفع]]="بطاقة",1,0)</f>
        <v>0</v>
      </c>
      <c r="O229">
        <f>IF(Table1[[#This Row],[وسيلة الدفع]]="محفظة",1,0)</f>
        <v>0</v>
      </c>
      <c r="P229">
        <f>IF(Table1[[#This Row],[وسيلة الدفع]]="تحويل",1,0)</f>
        <v>1</v>
      </c>
      <c r="Q229">
        <f>IF(Table1[[#This Row],[حضر التهيئة]]="نعم",1,0)</f>
        <v>0</v>
      </c>
      <c r="R229">
        <f>IF(Table1[[#This Row],[دورة الفوترة]]="شهري",1,0)</f>
        <v>0</v>
      </c>
    </row>
    <row r="230" spans="1:18" x14ac:dyDescent="0.25">
      <c r="A230" t="s">
        <v>250</v>
      </c>
      <c r="B230" s="1">
        <v>45926</v>
      </c>
      <c r="C230" t="s">
        <v>13</v>
      </c>
      <c r="D230">
        <v>89</v>
      </c>
      <c r="E230" t="s">
        <v>14</v>
      </c>
      <c r="F230">
        <v>25</v>
      </c>
      <c r="G230" t="s">
        <v>23</v>
      </c>
      <c r="H230">
        <v>1</v>
      </c>
      <c r="I230">
        <v>21</v>
      </c>
      <c r="J230">
        <v>0</v>
      </c>
      <c r="K230" t="s">
        <v>17</v>
      </c>
      <c r="L230" t="s">
        <v>17</v>
      </c>
      <c r="M230">
        <f>IF(Table1[[#This Row],[ألغى الاشتراك]]="نعم",1,0)</f>
        <v>0</v>
      </c>
      <c r="N230">
        <f>IF(Table1[[#This Row],[وسيلة الدفع]]="بطاقة",1,0)</f>
        <v>0</v>
      </c>
      <c r="O230">
        <f>IF(Table1[[#This Row],[وسيلة الدفع]]="محفظة",1,0)</f>
        <v>0</v>
      </c>
      <c r="P230">
        <f>IF(Table1[[#This Row],[وسيلة الدفع]]="تحويل",1,0)</f>
        <v>1</v>
      </c>
      <c r="Q230">
        <f>IF(Table1[[#This Row],[حضر التهيئة]]="نعم",1,0)</f>
        <v>0</v>
      </c>
      <c r="R230">
        <f>IF(Table1[[#This Row],[دورة الفوترة]]="شهري",1,0)</f>
        <v>1</v>
      </c>
    </row>
    <row r="231" spans="1:18" x14ac:dyDescent="0.25">
      <c r="A231" t="s">
        <v>251</v>
      </c>
      <c r="B231" s="1">
        <v>45329</v>
      </c>
      <c r="C231" t="s">
        <v>13</v>
      </c>
      <c r="D231">
        <v>89</v>
      </c>
      <c r="E231" t="s">
        <v>14</v>
      </c>
      <c r="F231">
        <v>8</v>
      </c>
      <c r="G231" t="s">
        <v>15</v>
      </c>
      <c r="H231">
        <v>0</v>
      </c>
      <c r="I231">
        <v>34</v>
      </c>
      <c r="J231">
        <v>0</v>
      </c>
      <c r="K231" t="s">
        <v>16</v>
      </c>
      <c r="L231" t="s">
        <v>17</v>
      </c>
      <c r="M231">
        <f>IF(Table1[[#This Row],[ألغى الاشتراك]]="نعم",1,0)</f>
        <v>0</v>
      </c>
      <c r="N231">
        <f>IF(Table1[[#This Row],[وسيلة الدفع]]="بطاقة",1,0)</f>
        <v>1</v>
      </c>
      <c r="O231">
        <f>IF(Table1[[#This Row],[وسيلة الدفع]]="محفظة",1,0)</f>
        <v>0</v>
      </c>
      <c r="P231">
        <f>IF(Table1[[#This Row],[وسيلة الدفع]]="تحويل",1,0)</f>
        <v>0</v>
      </c>
      <c r="Q231">
        <f>IF(Table1[[#This Row],[حضر التهيئة]]="نعم",1,0)</f>
        <v>1</v>
      </c>
      <c r="R231">
        <f>IF(Table1[[#This Row],[دورة الفوترة]]="شهري",1,0)</f>
        <v>1</v>
      </c>
    </row>
    <row r="232" spans="1:18" x14ac:dyDescent="0.25">
      <c r="A232" t="s">
        <v>252</v>
      </c>
      <c r="B232" s="1">
        <v>45858</v>
      </c>
      <c r="C232" t="s">
        <v>28</v>
      </c>
      <c r="D232">
        <v>39</v>
      </c>
      <c r="E232" t="s">
        <v>20</v>
      </c>
      <c r="F232">
        <v>29</v>
      </c>
      <c r="G232" t="s">
        <v>21</v>
      </c>
      <c r="H232">
        <v>6</v>
      </c>
      <c r="I232">
        <v>29</v>
      </c>
      <c r="J232">
        <v>0</v>
      </c>
      <c r="K232" t="s">
        <v>17</v>
      </c>
      <c r="L232" t="s">
        <v>17</v>
      </c>
      <c r="M232">
        <f>IF(Table1[[#This Row],[ألغى الاشتراك]]="نعم",1,0)</f>
        <v>0</v>
      </c>
      <c r="N232">
        <f>IF(Table1[[#This Row],[وسيلة الدفع]]="بطاقة",1,0)</f>
        <v>0</v>
      </c>
      <c r="O232">
        <f>IF(Table1[[#This Row],[وسيلة الدفع]]="محفظة",1,0)</f>
        <v>1</v>
      </c>
      <c r="P232">
        <f>IF(Table1[[#This Row],[وسيلة الدفع]]="تحويل",1,0)</f>
        <v>0</v>
      </c>
      <c r="Q232">
        <f>IF(Table1[[#This Row],[حضر التهيئة]]="نعم",1,0)</f>
        <v>0</v>
      </c>
      <c r="R232">
        <f>IF(Table1[[#This Row],[دورة الفوترة]]="شهري",1,0)</f>
        <v>0</v>
      </c>
    </row>
    <row r="233" spans="1:18" x14ac:dyDescent="0.25">
      <c r="A233" t="s">
        <v>253</v>
      </c>
      <c r="B233" s="1">
        <v>45509</v>
      </c>
      <c r="C233" t="s">
        <v>13</v>
      </c>
      <c r="D233">
        <v>89</v>
      </c>
      <c r="E233" t="s">
        <v>20</v>
      </c>
      <c r="F233">
        <v>18</v>
      </c>
      <c r="G233" t="s">
        <v>21</v>
      </c>
      <c r="H233">
        <v>0</v>
      </c>
      <c r="I233">
        <v>44</v>
      </c>
      <c r="J233">
        <v>0</v>
      </c>
      <c r="K233" t="s">
        <v>16</v>
      </c>
      <c r="L233" t="s">
        <v>17</v>
      </c>
      <c r="M233">
        <f>IF(Table1[[#This Row],[ألغى الاشتراك]]="نعم",1,0)</f>
        <v>0</v>
      </c>
      <c r="N233">
        <f>IF(Table1[[#This Row],[وسيلة الدفع]]="بطاقة",1,0)</f>
        <v>0</v>
      </c>
      <c r="O233">
        <f>IF(Table1[[#This Row],[وسيلة الدفع]]="محفظة",1,0)</f>
        <v>1</v>
      </c>
      <c r="P233">
        <f>IF(Table1[[#This Row],[وسيلة الدفع]]="تحويل",1,0)</f>
        <v>0</v>
      </c>
      <c r="Q233">
        <f>IF(Table1[[#This Row],[حضر التهيئة]]="نعم",1,0)</f>
        <v>1</v>
      </c>
      <c r="R233">
        <f>IF(Table1[[#This Row],[دورة الفوترة]]="شهري",1,0)</f>
        <v>0</v>
      </c>
    </row>
    <row r="234" spans="1:18" x14ac:dyDescent="0.25">
      <c r="A234" t="s">
        <v>254</v>
      </c>
      <c r="B234" s="1">
        <v>45914</v>
      </c>
      <c r="C234" t="s">
        <v>13</v>
      </c>
      <c r="D234">
        <v>89</v>
      </c>
      <c r="E234" t="s">
        <v>14</v>
      </c>
      <c r="F234">
        <v>23</v>
      </c>
      <c r="G234" t="s">
        <v>15</v>
      </c>
      <c r="H234">
        <v>0</v>
      </c>
      <c r="I234">
        <v>43</v>
      </c>
      <c r="J234">
        <v>0</v>
      </c>
      <c r="K234" t="s">
        <v>16</v>
      </c>
      <c r="L234" t="s">
        <v>17</v>
      </c>
      <c r="M234">
        <f>IF(Table1[[#This Row],[ألغى الاشتراك]]="نعم",1,0)</f>
        <v>0</v>
      </c>
      <c r="N234">
        <f>IF(Table1[[#This Row],[وسيلة الدفع]]="بطاقة",1,0)</f>
        <v>1</v>
      </c>
      <c r="O234">
        <f>IF(Table1[[#This Row],[وسيلة الدفع]]="محفظة",1,0)</f>
        <v>0</v>
      </c>
      <c r="P234">
        <f>IF(Table1[[#This Row],[وسيلة الدفع]]="تحويل",1,0)</f>
        <v>0</v>
      </c>
      <c r="Q234">
        <f>IF(Table1[[#This Row],[حضر التهيئة]]="نعم",1,0)</f>
        <v>1</v>
      </c>
      <c r="R234">
        <f>IF(Table1[[#This Row],[دورة الفوترة]]="شهري",1,0)</f>
        <v>1</v>
      </c>
    </row>
    <row r="235" spans="1:18" x14ac:dyDescent="0.25">
      <c r="A235" t="s">
        <v>255</v>
      </c>
      <c r="B235" s="1">
        <v>45854</v>
      </c>
      <c r="C235" t="s">
        <v>13</v>
      </c>
      <c r="D235">
        <v>89</v>
      </c>
      <c r="E235" t="s">
        <v>14</v>
      </c>
      <c r="F235">
        <v>4</v>
      </c>
      <c r="G235" t="s">
        <v>15</v>
      </c>
      <c r="H235">
        <v>0</v>
      </c>
      <c r="I235">
        <v>58</v>
      </c>
      <c r="J235">
        <v>15</v>
      </c>
      <c r="K235" t="s">
        <v>16</v>
      </c>
      <c r="L235" t="s">
        <v>16</v>
      </c>
      <c r="M235">
        <f>IF(Table1[[#This Row],[ألغى الاشتراك]]="نعم",1,0)</f>
        <v>1</v>
      </c>
      <c r="N235">
        <f>IF(Table1[[#This Row],[وسيلة الدفع]]="بطاقة",1,0)</f>
        <v>1</v>
      </c>
      <c r="O235">
        <f>IF(Table1[[#This Row],[وسيلة الدفع]]="محفظة",1,0)</f>
        <v>0</v>
      </c>
      <c r="P235">
        <f>IF(Table1[[#This Row],[وسيلة الدفع]]="تحويل",1,0)</f>
        <v>0</v>
      </c>
      <c r="Q235">
        <f>IF(Table1[[#This Row],[حضر التهيئة]]="نعم",1,0)</f>
        <v>1</v>
      </c>
      <c r="R235">
        <f>IF(Table1[[#This Row],[دورة الفوترة]]="شهري",1,0)</f>
        <v>1</v>
      </c>
    </row>
    <row r="236" spans="1:18" x14ac:dyDescent="0.25">
      <c r="A236" t="s">
        <v>256</v>
      </c>
      <c r="B236" s="1">
        <v>45627</v>
      </c>
      <c r="C236" t="s">
        <v>28</v>
      </c>
      <c r="D236">
        <v>39</v>
      </c>
      <c r="E236" t="s">
        <v>20</v>
      </c>
      <c r="F236">
        <v>28</v>
      </c>
      <c r="G236" t="s">
        <v>21</v>
      </c>
      <c r="H236">
        <v>2</v>
      </c>
      <c r="I236">
        <v>18</v>
      </c>
      <c r="J236">
        <v>0</v>
      </c>
      <c r="K236" t="s">
        <v>16</v>
      </c>
      <c r="L236" t="s">
        <v>17</v>
      </c>
      <c r="M236">
        <f>IF(Table1[[#This Row],[ألغى الاشتراك]]="نعم",1,0)</f>
        <v>0</v>
      </c>
      <c r="N236">
        <f>IF(Table1[[#This Row],[وسيلة الدفع]]="بطاقة",1,0)</f>
        <v>0</v>
      </c>
      <c r="O236">
        <f>IF(Table1[[#This Row],[وسيلة الدفع]]="محفظة",1,0)</f>
        <v>1</v>
      </c>
      <c r="P236">
        <f>IF(Table1[[#This Row],[وسيلة الدفع]]="تحويل",1,0)</f>
        <v>0</v>
      </c>
      <c r="Q236">
        <f>IF(Table1[[#This Row],[حضر التهيئة]]="نعم",1,0)</f>
        <v>1</v>
      </c>
      <c r="R236">
        <f>IF(Table1[[#This Row],[دورة الفوترة]]="شهري",1,0)</f>
        <v>0</v>
      </c>
    </row>
    <row r="237" spans="1:18" x14ac:dyDescent="0.25">
      <c r="A237" t="s">
        <v>257</v>
      </c>
      <c r="B237" s="1">
        <v>45910</v>
      </c>
      <c r="C237" t="s">
        <v>19</v>
      </c>
      <c r="D237">
        <v>189</v>
      </c>
      <c r="E237" t="s">
        <v>14</v>
      </c>
      <c r="F237">
        <v>15</v>
      </c>
      <c r="G237" t="s">
        <v>15</v>
      </c>
      <c r="H237">
        <v>0</v>
      </c>
      <c r="I237">
        <v>49</v>
      </c>
      <c r="J237">
        <v>0</v>
      </c>
      <c r="K237" t="s">
        <v>16</v>
      </c>
      <c r="L237" t="s">
        <v>17</v>
      </c>
      <c r="M237">
        <f>IF(Table1[[#This Row],[ألغى الاشتراك]]="نعم",1,0)</f>
        <v>0</v>
      </c>
      <c r="N237">
        <f>IF(Table1[[#This Row],[وسيلة الدفع]]="بطاقة",1,0)</f>
        <v>1</v>
      </c>
      <c r="O237">
        <f>IF(Table1[[#This Row],[وسيلة الدفع]]="محفظة",1,0)</f>
        <v>0</v>
      </c>
      <c r="P237">
        <f>IF(Table1[[#This Row],[وسيلة الدفع]]="تحويل",1,0)</f>
        <v>0</v>
      </c>
      <c r="Q237">
        <f>IF(Table1[[#This Row],[حضر التهيئة]]="نعم",1,0)</f>
        <v>1</v>
      </c>
      <c r="R237">
        <f>IF(Table1[[#This Row],[دورة الفوترة]]="شهري",1,0)</f>
        <v>1</v>
      </c>
    </row>
    <row r="238" spans="1:18" x14ac:dyDescent="0.25">
      <c r="A238" t="s">
        <v>258</v>
      </c>
      <c r="B238" s="1">
        <v>45846</v>
      </c>
      <c r="C238" t="s">
        <v>28</v>
      </c>
      <c r="D238">
        <v>39</v>
      </c>
      <c r="E238" t="s">
        <v>14</v>
      </c>
      <c r="F238">
        <v>28</v>
      </c>
      <c r="G238" t="s">
        <v>23</v>
      </c>
      <c r="H238">
        <v>6</v>
      </c>
      <c r="I238">
        <v>12</v>
      </c>
      <c r="J238">
        <v>15</v>
      </c>
      <c r="K238" t="s">
        <v>17</v>
      </c>
      <c r="L238" t="s">
        <v>16</v>
      </c>
      <c r="M238">
        <f>IF(Table1[[#This Row],[ألغى الاشتراك]]="نعم",1,0)</f>
        <v>1</v>
      </c>
      <c r="N238">
        <f>IF(Table1[[#This Row],[وسيلة الدفع]]="بطاقة",1,0)</f>
        <v>0</v>
      </c>
      <c r="O238">
        <f>IF(Table1[[#This Row],[وسيلة الدفع]]="محفظة",1,0)</f>
        <v>0</v>
      </c>
      <c r="P238">
        <f>IF(Table1[[#This Row],[وسيلة الدفع]]="تحويل",1,0)</f>
        <v>1</v>
      </c>
      <c r="Q238">
        <f>IF(Table1[[#This Row],[حضر التهيئة]]="نعم",1,0)</f>
        <v>0</v>
      </c>
      <c r="R238">
        <f>IF(Table1[[#This Row],[دورة الفوترة]]="شهري",1,0)</f>
        <v>1</v>
      </c>
    </row>
    <row r="239" spans="1:18" x14ac:dyDescent="0.25">
      <c r="A239" t="s">
        <v>259</v>
      </c>
      <c r="B239" s="1">
        <v>45671</v>
      </c>
      <c r="C239" t="s">
        <v>13</v>
      </c>
      <c r="D239">
        <v>89</v>
      </c>
      <c r="E239" t="s">
        <v>14</v>
      </c>
      <c r="F239">
        <v>2</v>
      </c>
      <c r="G239" t="s">
        <v>15</v>
      </c>
      <c r="H239">
        <v>0</v>
      </c>
      <c r="I239">
        <v>58</v>
      </c>
      <c r="J239">
        <v>5</v>
      </c>
      <c r="K239" t="s">
        <v>16</v>
      </c>
      <c r="L239" t="s">
        <v>17</v>
      </c>
      <c r="M239">
        <f>IF(Table1[[#This Row],[ألغى الاشتراك]]="نعم",1,0)</f>
        <v>0</v>
      </c>
      <c r="N239">
        <f>IF(Table1[[#This Row],[وسيلة الدفع]]="بطاقة",1,0)</f>
        <v>1</v>
      </c>
      <c r="O239">
        <f>IF(Table1[[#This Row],[وسيلة الدفع]]="محفظة",1,0)</f>
        <v>0</v>
      </c>
      <c r="P239">
        <f>IF(Table1[[#This Row],[وسيلة الدفع]]="تحويل",1,0)</f>
        <v>0</v>
      </c>
      <c r="Q239">
        <f>IF(Table1[[#This Row],[حضر التهيئة]]="نعم",1,0)</f>
        <v>1</v>
      </c>
      <c r="R239">
        <f>IF(Table1[[#This Row],[دورة الفوترة]]="شهري",1,0)</f>
        <v>1</v>
      </c>
    </row>
    <row r="240" spans="1:18" x14ac:dyDescent="0.25">
      <c r="A240" t="s">
        <v>260</v>
      </c>
      <c r="B240" s="1">
        <v>45592</v>
      </c>
      <c r="C240" t="s">
        <v>28</v>
      </c>
      <c r="D240">
        <v>39</v>
      </c>
      <c r="E240" t="s">
        <v>20</v>
      </c>
      <c r="F240">
        <v>10</v>
      </c>
      <c r="G240" t="s">
        <v>21</v>
      </c>
      <c r="H240">
        <v>1</v>
      </c>
      <c r="I240">
        <v>34</v>
      </c>
      <c r="J240">
        <v>0</v>
      </c>
      <c r="K240" t="s">
        <v>17</v>
      </c>
      <c r="L240" t="s">
        <v>17</v>
      </c>
      <c r="M240">
        <f>IF(Table1[[#This Row],[ألغى الاشتراك]]="نعم",1,0)</f>
        <v>0</v>
      </c>
      <c r="N240">
        <f>IF(Table1[[#This Row],[وسيلة الدفع]]="بطاقة",1,0)</f>
        <v>0</v>
      </c>
      <c r="O240">
        <f>IF(Table1[[#This Row],[وسيلة الدفع]]="محفظة",1,0)</f>
        <v>1</v>
      </c>
      <c r="P240">
        <f>IF(Table1[[#This Row],[وسيلة الدفع]]="تحويل",1,0)</f>
        <v>0</v>
      </c>
      <c r="Q240">
        <f>IF(Table1[[#This Row],[حضر التهيئة]]="نعم",1,0)</f>
        <v>0</v>
      </c>
      <c r="R240">
        <f>IF(Table1[[#This Row],[دورة الفوترة]]="شهري",1,0)</f>
        <v>0</v>
      </c>
    </row>
    <row r="241" spans="1:18" x14ac:dyDescent="0.25">
      <c r="A241" t="s">
        <v>261</v>
      </c>
      <c r="B241" s="1">
        <v>45744</v>
      </c>
      <c r="C241" t="s">
        <v>19</v>
      </c>
      <c r="D241">
        <v>189</v>
      </c>
      <c r="E241" t="s">
        <v>14</v>
      </c>
      <c r="F241">
        <v>11</v>
      </c>
      <c r="G241" t="s">
        <v>23</v>
      </c>
      <c r="H241">
        <v>0</v>
      </c>
      <c r="I241">
        <v>5</v>
      </c>
      <c r="J241">
        <v>0</v>
      </c>
      <c r="K241" t="s">
        <v>16</v>
      </c>
      <c r="L241" t="s">
        <v>17</v>
      </c>
      <c r="M241">
        <f>IF(Table1[[#This Row],[ألغى الاشتراك]]="نعم",1,0)</f>
        <v>0</v>
      </c>
      <c r="N241">
        <f>IF(Table1[[#This Row],[وسيلة الدفع]]="بطاقة",1,0)</f>
        <v>0</v>
      </c>
      <c r="O241">
        <f>IF(Table1[[#This Row],[وسيلة الدفع]]="محفظة",1,0)</f>
        <v>0</v>
      </c>
      <c r="P241">
        <f>IF(Table1[[#This Row],[وسيلة الدفع]]="تحويل",1,0)</f>
        <v>1</v>
      </c>
      <c r="Q241">
        <f>IF(Table1[[#This Row],[حضر التهيئة]]="نعم",1,0)</f>
        <v>1</v>
      </c>
      <c r="R241">
        <f>IF(Table1[[#This Row],[دورة الفوترة]]="شهري",1,0)</f>
        <v>1</v>
      </c>
    </row>
    <row r="242" spans="1:18" x14ac:dyDescent="0.25">
      <c r="A242" t="s">
        <v>262</v>
      </c>
      <c r="B242" s="1">
        <v>45521</v>
      </c>
      <c r="C242" t="s">
        <v>13</v>
      </c>
      <c r="D242">
        <v>89</v>
      </c>
      <c r="E242" t="s">
        <v>20</v>
      </c>
      <c r="F242">
        <v>28</v>
      </c>
      <c r="G242" t="s">
        <v>21</v>
      </c>
      <c r="H242">
        <v>11</v>
      </c>
      <c r="I242">
        <v>4</v>
      </c>
      <c r="J242">
        <v>0</v>
      </c>
      <c r="K242" t="s">
        <v>17</v>
      </c>
      <c r="L242" t="s">
        <v>16</v>
      </c>
      <c r="M242">
        <f>IF(Table1[[#This Row],[ألغى الاشتراك]]="نعم",1,0)</f>
        <v>1</v>
      </c>
      <c r="N242">
        <f>IF(Table1[[#This Row],[وسيلة الدفع]]="بطاقة",1,0)</f>
        <v>0</v>
      </c>
      <c r="O242">
        <f>IF(Table1[[#This Row],[وسيلة الدفع]]="محفظة",1,0)</f>
        <v>1</v>
      </c>
      <c r="P242">
        <f>IF(Table1[[#This Row],[وسيلة الدفع]]="تحويل",1,0)</f>
        <v>0</v>
      </c>
      <c r="Q242">
        <f>IF(Table1[[#This Row],[حضر التهيئة]]="نعم",1,0)</f>
        <v>0</v>
      </c>
      <c r="R242">
        <f>IF(Table1[[#This Row],[دورة الفوترة]]="شهري",1,0)</f>
        <v>0</v>
      </c>
    </row>
    <row r="243" spans="1:18" x14ac:dyDescent="0.25">
      <c r="A243" t="s">
        <v>263</v>
      </c>
      <c r="B243" s="1">
        <v>45906</v>
      </c>
      <c r="C243" t="s">
        <v>19</v>
      </c>
      <c r="D243">
        <v>189</v>
      </c>
      <c r="E243" t="s">
        <v>14</v>
      </c>
      <c r="F243">
        <v>29</v>
      </c>
      <c r="G243" t="s">
        <v>15</v>
      </c>
      <c r="H243">
        <v>0</v>
      </c>
      <c r="I243">
        <v>9</v>
      </c>
      <c r="J243">
        <v>0</v>
      </c>
      <c r="K243" t="s">
        <v>17</v>
      </c>
      <c r="L243" t="s">
        <v>17</v>
      </c>
      <c r="M243">
        <f>IF(Table1[[#This Row],[ألغى الاشتراك]]="نعم",1,0)</f>
        <v>0</v>
      </c>
      <c r="N243">
        <f>IF(Table1[[#This Row],[وسيلة الدفع]]="بطاقة",1,0)</f>
        <v>1</v>
      </c>
      <c r="O243">
        <f>IF(Table1[[#This Row],[وسيلة الدفع]]="محفظة",1,0)</f>
        <v>0</v>
      </c>
      <c r="P243">
        <f>IF(Table1[[#This Row],[وسيلة الدفع]]="تحويل",1,0)</f>
        <v>0</v>
      </c>
      <c r="Q243">
        <f>IF(Table1[[#This Row],[حضر التهيئة]]="نعم",1,0)</f>
        <v>0</v>
      </c>
      <c r="R243">
        <f>IF(Table1[[#This Row],[دورة الفوترة]]="شهري",1,0)</f>
        <v>1</v>
      </c>
    </row>
    <row r="244" spans="1:18" x14ac:dyDescent="0.25">
      <c r="A244" t="s">
        <v>264</v>
      </c>
      <c r="B244" s="1">
        <v>45458</v>
      </c>
      <c r="C244" t="s">
        <v>19</v>
      </c>
      <c r="D244">
        <v>189</v>
      </c>
      <c r="E244" t="s">
        <v>14</v>
      </c>
      <c r="F244">
        <v>16</v>
      </c>
      <c r="G244" t="s">
        <v>23</v>
      </c>
      <c r="H244">
        <v>2</v>
      </c>
      <c r="I244">
        <v>36</v>
      </c>
      <c r="J244">
        <v>0</v>
      </c>
      <c r="K244" t="s">
        <v>17</v>
      </c>
      <c r="L244" t="s">
        <v>17</v>
      </c>
      <c r="M244">
        <f>IF(Table1[[#This Row],[ألغى الاشتراك]]="نعم",1,0)</f>
        <v>0</v>
      </c>
      <c r="N244">
        <f>IF(Table1[[#This Row],[وسيلة الدفع]]="بطاقة",1,0)</f>
        <v>0</v>
      </c>
      <c r="O244">
        <f>IF(Table1[[#This Row],[وسيلة الدفع]]="محفظة",1,0)</f>
        <v>0</v>
      </c>
      <c r="P244">
        <f>IF(Table1[[#This Row],[وسيلة الدفع]]="تحويل",1,0)</f>
        <v>1</v>
      </c>
      <c r="Q244">
        <f>IF(Table1[[#This Row],[حضر التهيئة]]="نعم",1,0)</f>
        <v>0</v>
      </c>
      <c r="R244">
        <f>IF(Table1[[#This Row],[دورة الفوترة]]="شهري",1,0)</f>
        <v>1</v>
      </c>
    </row>
    <row r="245" spans="1:18" x14ac:dyDescent="0.25">
      <c r="A245" t="s">
        <v>265</v>
      </c>
      <c r="B245" s="1">
        <v>45858</v>
      </c>
      <c r="C245" t="s">
        <v>19</v>
      </c>
      <c r="D245">
        <v>189</v>
      </c>
      <c r="E245" t="s">
        <v>14</v>
      </c>
      <c r="F245">
        <v>23</v>
      </c>
      <c r="G245" t="s">
        <v>15</v>
      </c>
      <c r="H245">
        <v>0</v>
      </c>
      <c r="I245">
        <v>59</v>
      </c>
      <c r="J245">
        <v>0</v>
      </c>
      <c r="K245" t="s">
        <v>16</v>
      </c>
      <c r="L245" t="s">
        <v>17</v>
      </c>
      <c r="M245">
        <f>IF(Table1[[#This Row],[ألغى الاشتراك]]="نعم",1,0)</f>
        <v>0</v>
      </c>
      <c r="N245">
        <f>IF(Table1[[#This Row],[وسيلة الدفع]]="بطاقة",1,0)</f>
        <v>1</v>
      </c>
      <c r="O245">
        <f>IF(Table1[[#This Row],[وسيلة الدفع]]="محفظة",1,0)</f>
        <v>0</v>
      </c>
      <c r="P245">
        <f>IF(Table1[[#This Row],[وسيلة الدفع]]="تحويل",1,0)</f>
        <v>0</v>
      </c>
      <c r="Q245">
        <f>IF(Table1[[#This Row],[حضر التهيئة]]="نعم",1,0)</f>
        <v>1</v>
      </c>
      <c r="R245">
        <f>IF(Table1[[#This Row],[دورة الفوترة]]="شهري",1,0)</f>
        <v>1</v>
      </c>
    </row>
    <row r="246" spans="1:18" x14ac:dyDescent="0.25">
      <c r="A246" t="s">
        <v>266</v>
      </c>
      <c r="B246" s="1">
        <v>45525</v>
      </c>
      <c r="C246" t="s">
        <v>13</v>
      </c>
      <c r="D246">
        <v>89</v>
      </c>
      <c r="E246" t="s">
        <v>20</v>
      </c>
      <c r="F246">
        <v>26</v>
      </c>
      <c r="G246" t="s">
        <v>15</v>
      </c>
      <c r="H246">
        <v>4</v>
      </c>
      <c r="I246">
        <v>30</v>
      </c>
      <c r="J246">
        <v>0</v>
      </c>
      <c r="K246" t="s">
        <v>17</v>
      </c>
      <c r="L246" t="s">
        <v>17</v>
      </c>
      <c r="M246">
        <f>IF(Table1[[#This Row],[ألغى الاشتراك]]="نعم",1,0)</f>
        <v>0</v>
      </c>
      <c r="N246">
        <f>IF(Table1[[#This Row],[وسيلة الدفع]]="بطاقة",1,0)</f>
        <v>1</v>
      </c>
      <c r="O246">
        <f>IF(Table1[[#This Row],[وسيلة الدفع]]="محفظة",1,0)</f>
        <v>0</v>
      </c>
      <c r="P246">
        <f>IF(Table1[[#This Row],[وسيلة الدفع]]="تحويل",1,0)</f>
        <v>0</v>
      </c>
      <c r="Q246">
        <f>IF(Table1[[#This Row],[حضر التهيئة]]="نعم",1,0)</f>
        <v>0</v>
      </c>
      <c r="R246">
        <f>IF(Table1[[#This Row],[دورة الفوترة]]="شهري",1,0)</f>
        <v>0</v>
      </c>
    </row>
    <row r="247" spans="1:18" x14ac:dyDescent="0.25">
      <c r="A247" t="s">
        <v>267</v>
      </c>
      <c r="B247" s="1">
        <v>45779</v>
      </c>
      <c r="C247" t="s">
        <v>28</v>
      </c>
      <c r="D247">
        <v>39</v>
      </c>
      <c r="E247" t="s">
        <v>14</v>
      </c>
      <c r="F247">
        <v>23</v>
      </c>
      <c r="G247" t="s">
        <v>23</v>
      </c>
      <c r="H247">
        <v>0</v>
      </c>
      <c r="I247">
        <v>19</v>
      </c>
      <c r="J247">
        <v>0</v>
      </c>
      <c r="K247" t="s">
        <v>16</v>
      </c>
      <c r="L247" t="s">
        <v>17</v>
      </c>
      <c r="M247">
        <f>IF(Table1[[#This Row],[ألغى الاشتراك]]="نعم",1,0)</f>
        <v>0</v>
      </c>
      <c r="N247">
        <f>IF(Table1[[#This Row],[وسيلة الدفع]]="بطاقة",1,0)</f>
        <v>0</v>
      </c>
      <c r="O247">
        <f>IF(Table1[[#This Row],[وسيلة الدفع]]="محفظة",1,0)</f>
        <v>0</v>
      </c>
      <c r="P247">
        <f>IF(Table1[[#This Row],[وسيلة الدفع]]="تحويل",1,0)</f>
        <v>1</v>
      </c>
      <c r="Q247">
        <f>IF(Table1[[#This Row],[حضر التهيئة]]="نعم",1,0)</f>
        <v>1</v>
      </c>
      <c r="R247">
        <f>IF(Table1[[#This Row],[دورة الفوترة]]="شهري",1,0)</f>
        <v>1</v>
      </c>
    </row>
    <row r="248" spans="1:18" x14ac:dyDescent="0.25">
      <c r="A248" t="s">
        <v>268</v>
      </c>
      <c r="B248" s="1">
        <v>45462</v>
      </c>
      <c r="C248" t="s">
        <v>13</v>
      </c>
      <c r="D248">
        <v>89</v>
      </c>
      <c r="E248" t="s">
        <v>14</v>
      </c>
      <c r="F248">
        <v>12</v>
      </c>
      <c r="G248" t="s">
        <v>23</v>
      </c>
      <c r="H248">
        <v>1</v>
      </c>
      <c r="I248">
        <v>26</v>
      </c>
      <c r="J248">
        <v>0</v>
      </c>
      <c r="K248" t="s">
        <v>16</v>
      </c>
      <c r="L248" t="s">
        <v>17</v>
      </c>
      <c r="M248">
        <f>IF(Table1[[#This Row],[ألغى الاشتراك]]="نعم",1,0)</f>
        <v>0</v>
      </c>
      <c r="N248">
        <f>IF(Table1[[#This Row],[وسيلة الدفع]]="بطاقة",1,0)</f>
        <v>0</v>
      </c>
      <c r="O248">
        <f>IF(Table1[[#This Row],[وسيلة الدفع]]="محفظة",1,0)</f>
        <v>0</v>
      </c>
      <c r="P248">
        <f>IF(Table1[[#This Row],[وسيلة الدفع]]="تحويل",1,0)</f>
        <v>1</v>
      </c>
      <c r="Q248">
        <f>IF(Table1[[#This Row],[حضر التهيئة]]="نعم",1,0)</f>
        <v>1</v>
      </c>
      <c r="R248">
        <f>IF(Table1[[#This Row],[دورة الفوترة]]="شهري",1,0)</f>
        <v>1</v>
      </c>
    </row>
    <row r="249" spans="1:18" x14ac:dyDescent="0.25">
      <c r="A249" t="s">
        <v>269</v>
      </c>
      <c r="B249" s="1">
        <v>45529</v>
      </c>
      <c r="C249" t="s">
        <v>13</v>
      </c>
      <c r="D249">
        <v>89</v>
      </c>
      <c r="E249" t="s">
        <v>14</v>
      </c>
      <c r="F249">
        <v>9</v>
      </c>
      <c r="G249" t="s">
        <v>15</v>
      </c>
      <c r="H249">
        <v>5</v>
      </c>
      <c r="I249">
        <v>9</v>
      </c>
      <c r="J249">
        <v>25</v>
      </c>
      <c r="K249" t="s">
        <v>16</v>
      </c>
      <c r="L249" t="s">
        <v>17</v>
      </c>
      <c r="M249">
        <f>IF(Table1[[#This Row],[ألغى الاشتراك]]="نعم",1,0)</f>
        <v>0</v>
      </c>
      <c r="N249">
        <f>IF(Table1[[#This Row],[وسيلة الدفع]]="بطاقة",1,0)</f>
        <v>1</v>
      </c>
      <c r="O249">
        <f>IF(Table1[[#This Row],[وسيلة الدفع]]="محفظة",1,0)</f>
        <v>0</v>
      </c>
      <c r="P249">
        <f>IF(Table1[[#This Row],[وسيلة الدفع]]="تحويل",1,0)</f>
        <v>0</v>
      </c>
      <c r="Q249">
        <f>IF(Table1[[#This Row],[حضر التهيئة]]="نعم",1,0)</f>
        <v>1</v>
      </c>
      <c r="R249">
        <f>IF(Table1[[#This Row],[دورة الفوترة]]="شهري",1,0)</f>
        <v>1</v>
      </c>
    </row>
    <row r="250" spans="1:18" x14ac:dyDescent="0.25">
      <c r="A250" t="s">
        <v>270</v>
      </c>
      <c r="B250" s="1">
        <v>45799</v>
      </c>
      <c r="C250" t="s">
        <v>13</v>
      </c>
      <c r="D250">
        <v>89</v>
      </c>
      <c r="E250" t="s">
        <v>20</v>
      </c>
      <c r="F250">
        <v>21</v>
      </c>
      <c r="G250" t="s">
        <v>23</v>
      </c>
      <c r="H250">
        <v>1</v>
      </c>
      <c r="I250">
        <v>9</v>
      </c>
      <c r="J250">
        <v>0</v>
      </c>
      <c r="K250" t="s">
        <v>16</v>
      </c>
      <c r="L250" t="s">
        <v>17</v>
      </c>
      <c r="M250">
        <f>IF(Table1[[#This Row],[ألغى الاشتراك]]="نعم",1,0)</f>
        <v>0</v>
      </c>
      <c r="N250">
        <f>IF(Table1[[#This Row],[وسيلة الدفع]]="بطاقة",1,0)</f>
        <v>0</v>
      </c>
      <c r="O250">
        <f>IF(Table1[[#This Row],[وسيلة الدفع]]="محفظة",1,0)</f>
        <v>0</v>
      </c>
      <c r="P250">
        <f>IF(Table1[[#This Row],[وسيلة الدفع]]="تحويل",1,0)</f>
        <v>1</v>
      </c>
      <c r="Q250">
        <f>IF(Table1[[#This Row],[حضر التهيئة]]="نعم",1,0)</f>
        <v>1</v>
      </c>
      <c r="R250">
        <f>IF(Table1[[#This Row],[دورة الفوترة]]="شهري",1,0)</f>
        <v>0</v>
      </c>
    </row>
    <row r="251" spans="1:18" x14ac:dyDescent="0.25">
      <c r="A251" t="s">
        <v>271</v>
      </c>
      <c r="B251" s="1">
        <v>45576</v>
      </c>
      <c r="C251" t="s">
        <v>28</v>
      </c>
      <c r="D251">
        <v>39</v>
      </c>
      <c r="E251" t="s">
        <v>14</v>
      </c>
      <c r="F251">
        <v>16</v>
      </c>
      <c r="G251" t="s">
        <v>15</v>
      </c>
      <c r="H251">
        <v>2</v>
      </c>
      <c r="I251">
        <v>16</v>
      </c>
      <c r="J251">
        <v>0</v>
      </c>
      <c r="K251" t="s">
        <v>17</v>
      </c>
      <c r="L251" t="s">
        <v>16</v>
      </c>
      <c r="M251">
        <f>IF(Table1[[#This Row],[ألغى الاشتراك]]="نعم",1,0)</f>
        <v>1</v>
      </c>
      <c r="N251">
        <f>IF(Table1[[#This Row],[وسيلة الدفع]]="بطاقة",1,0)</f>
        <v>1</v>
      </c>
      <c r="O251">
        <f>IF(Table1[[#This Row],[وسيلة الدفع]]="محفظة",1,0)</f>
        <v>0</v>
      </c>
      <c r="P251">
        <f>IF(Table1[[#This Row],[وسيلة الدفع]]="تحويل",1,0)</f>
        <v>0</v>
      </c>
      <c r="Q251">
        <f>IF(Table1[[#This Row],[حضر التهيئة]]="نعم",1,0)</f>
        <v>0</v>
      </c>
      <c r="R251">
        <f>IF(Table1[[#This Row],[دورة الفوترة]]="شهري",1,0)</f>
        <v>1</v>
      </c>
    </row>
    <row r="252" spans="1:18" x14ac:dyDescent="0.25">
      <c r="A252" t="s">
        <v>272</v>
      </c>
      <c r="B252" s="1">
        <v>45965</v>
      </c>
      <c r="C252" t="s">
        <v>13</v>
      </c>
      <c r="D252">
        <v>89</v>
      </c>
      <c r="E252" t="s">
        <v>14</v>
      </c>
      <c r="F252">
        <v>23</v>
      </c>
      <c r="G252" t="s">
        <v>23</v>
      </c>
      <c r="H252">
        <v>11</v>
      </c>
      <c r="I252">
        <v>57</v>
      </c>
      <c r="J252">
        <v>0</v>
      </c>
      <c r="K252" t="s">
        <v>17</v>
      </c>
      <c r="L252" t="s">
        <v>17</v>
      </c>
      <c r="M252">
        <f>IF(Table1[[#This Row],[ألغى الاشتراك]]="نعم",1,0)</f>
        <v>0</v>
      </c>
      <c r="N252">
        <f>IF(Table1[[#This Row],[وسيلة الدفع]]="بطاقة",1,0)</f>
        <v>0</v>
      </c>
      <c r="O252">
        <f>IF(Table1[[#This Row],[وسيلة الدفع]]="محفظة",1,0)</f>
        <v>0</v>
      </c>
      <c r="P252">
        <f>IF(Table1[[#This Row],[وسيلة الدفع]]="تحويل",1,0)</f>
        <v>1</v>
      </c>
      <c r="Q252">
        <f>IF(Table1[[#This Row],[حضر التهيئة]]="نعم",1,0)</f>
        <v>0</v>
      </c>
      <c r="R252">
        <f>IF(Table1[[#This Row],[دورة الفوترة]]="شهري",1,0)</f>
        <v>1</v>
      </c>
    </row>
    <row r="253" spans="1:18" x14ac:dyDescent="0.25">
      <c r="A253" t="s">
        <v>273</v>
      </c>
      <c r="B253" s="1">
        <v>45383</v>
      </c>
      <c r="C253" t="s">
        <v>13</v>
      </c>
      <c r="D253">
        <v>89</v>
      </c>
      <c r="E253" t="s">
        <v>20</v>
      </c>
      <c r="F253">
        <v>10</v>
      </c>
      <c r="G253" t="s">
        <v>21</v>
      </c>
      <c r="H253">
        <v>10</v>
      </c>
      <c r="I253">
        <v>10</v>
      </c>
      <c r="J253">
        <v>0</v>
      </c>
      <c r="K253" t="s">
        <v>16</v>
      </c>
      <c r="L253" t="s">
        <v>16</v>
      </c>
      <c r="M253">
        <f>IF(Table1[[#This Row],[ألغى الاشتراك]]="نعم",1,0)</f>
        <v>1</v>
      </c>
      <c r="N253">
        <f>IF(Table1[[#This Row],[وسيلة الدفع]]="بطاقة",1,0)</f>
        <v>0</v>
      </c>
      <c r="O253">
        <f>IF(Table1[[#This Row],[وسيلة الدفع]]="محفظة",1,0)</f>
        <v>1</v>
      </c>
      <c r="P253">
        <f>IF(Table1[[#This Row],[وسيلة الدفع]]="تحويل",1,0)</f>
        <v>0</v>
      </c>
      <c r="Q253">
        <f>IF(Table1[[#This Row],[حضر التهيئة]]="نعم",1,0)</f>
        <v>1</v>
      </c>
      <c r="R253">
        <f>IF(Table1[[#This Row],[دورة الفوترة]]="شهري",1,0)</f>
        <v>0</v>
      </c>
    </row>
    <row r="254" spans="1:18" x14ac:dyDescent="0.25">
      <c r="A254" t="s">
        <v>274</v>
      </c>
      <c r="B254" s="1">
        <v>45787</v>
      </c>
      <c r="C254" t="s">
        <v>13</v>
      </c>
      <c r="D254">
        <v>89</v>
      </c>
      <c r="E254" t="s">
        <v>14</v>
      </c>
      <c r="F254">
        <v>1</v>
      </c>
      <c r="G254" t="s">
        <v>21</v>
      </c>
      <c r="H254">
        <v>0</v>
      </c>
      <c r="I254">
        <v>49</v>
      </c>
      <c r="J254">
        <v>0</v>
      </c>
      <c r="K254" t="s">
        <v>16</v>
      </c>
      <c r="L254" t="s">
        <v>17</v>
      </c>
      <c r="M254">
        <f>IF(Table1[[#This Row],[ألغى الاشتراك]]="نعم",1,0)</f>
        <v>0</v>
      </c>
      <c r="N254">
        <f>IF(Table1[[#This Row],[وسيلة الدفع]]="بطاقة",1,0)</f>
        <v>0</v>
      </c>
      <c r="O254">
        <f>IF(Table1[[#This Row],[وسيلة الدفع]]="محفظة",1,0)</f>
        <v>1</v>
      </c>
      <c r="P254">
        <f>IF(Table1[[#This Row],[وسيلة الدفع]]="تحويل",1,0)</f>
        <v>0</v>
      </c>
      <c r="Q254">
        <f>IF(Table1[[#This Row],[حضر التهيئة]]="نعم",1,0)</f>
        <v>1</v>
      </c>
      <c r="R254">
        <f>IF(Table1[[#This Row],[دورة الفوترة]]="شهري",1,0)</f>
        <v>1</v>
      </c>
    </row>
    <row r="255" spans="1:18" x14ac:dyDescent="0.25">
      <c r="A255" t="s">
        <v>275</v>
      </c>
      <c r="B255" s="1">
        <v>45450</v>
      </c>
      <c r="C255" t="s">
        <v>13</v>
      </c>
      <c r="D255">
        <v>89</v>
      </c>
      <c r="E255" t="s">
        <v>14</v>
      </c>
      <c r="F255">
        <v>14</v>
      </c>
      <c r="G255" t="s">
        <v>21</v>
      </c>
      <c r="H255">
        <v>3</v>
      </c>
      <c r="I255">
        <v>52</v>
      </c>
      <c r="J255">
        <v>0</v>
      </c>
      <c r="K255" t="s">
        <v>17</v>
      </c>
      <c r="L255" t="s">
        <v>17</v>
      </c>
      <c r="M255">
        <f>IF(Table1[[#This Row],[ألغى الاشتراك]]="نعم",1,0)</f>
        <v>0</v>
      </c>
      <c r="N255">
        <f>IF(Table1[[#This Row],[وسيلة الدفع]]="بطاقة",1,0)</f>
        <v>0</v>
      </c>
      <c r="O255">
        <f>IF(Table1[[#This Row],[وسيلة الدفع]]="محفظة",1,0)</f>
        <v>1</v>
      </c>
      <c r="P255">
        <f>IF(Table1[[#This Row],[وسيلة الدفع]]="تحويل",1,0)</f>
        <v>0</v>
      </c>
      <c r="Q255">
        <f>IF(Table1[[#This Row],[حضر التهيئة]]="نعم",1,0)</f>
        <v>0</v>
      </c>
      <c r="R255">
        <f>IF(Table1[[#This Row],[دورة الفوترة]]="شهري",1,0)</f>
        <v>1</v>
      </c>
    </row>
    <row r="256" spans="1:18" x14ac:dyDescent="0.25">
      <c r="A256" t="s">
        <v>276</v>
      </c>
      <c r="B256" s="1">
        <v>45846</v>
      </c>
      <c r="C256" t="s">
        <v>13</v>
      </c>
      <c r="D256">
        <v>89</v>
      </c>
      <c r="E256" t="s">
        <v>20</v>
      </c>
      <c r="F256">
        <v>19</v>
      </c>
      <c r="G256" t="s">
        <v>15</v>
      </c>
      <c r="H256">
        <v>5</v>
      </c>
      <c r="I256">
        <v>37</v>
      </c>
      <c r="J256">
        <v>0</v>
      </c>
      <c r="K256" t="s">
        <v>17</v>
      </c>
      <c r="L256" t="s">
        <v>17</v>
      </c>
      <c r="M256">
        <f>IF(Table1[[#This Row],[ألغى الاشتراك]]="نعم",1,0)</f>
        <v>0</v>
      </c>
      <c r="N256">
        <f>IF(Table1[[#This Row],[وسيلة الدفع]]="بطاقة",1,0)</f>
        <v>1</v>
      </c>
      <c r="O256">
        <f>IF(Table1[[#This Row],[وسيلة الدفع]]="محفظة",1,0)</f>
        <v>0</v>
      </c>
      <c r="P256">
        <f>IF(Table1[[#This Row],[وسيلة الدفع]]="تحويل",1,0)</f>
        <v>0</v>
      </c>
      <c r="Q256">
        <f>IF(Table1[[#This Row],[حضر التهيئة]]="نعم",1,0)</f>
        <v>0</v>
      </c>
      <c r="R256">
        <f>IF(Table1[[#This Row],[دورة الفوترة]]="شهري",1,0)</f>
        <v>0</v>
      </c>
    </row>
    <row r="257" spans="1:18" x14ac:dyDescent="0.25">
      <c r="A257" t="s">
        <v>277</v>
      </c>
      <c r="B257" s="1">
        <v>45391</v>
      </c>
      <c r="C257" t="s">
        <v>13</v>
      </c>
      <c r="D257">
        <v>89</v>
      </c>
      <c r="E257" t="s">
        <v>20</v>
      </c>
      <c r="F257">
        <v>28</v>
      </c>
      <c r="G257" t="s">
        <v>23</v>
      </c>
      <c r="H257">
        <v>2</v>
      </c>
      <c r="I257">
        <v>16</v>
      </c>
      <c r="J257">
        <v>0</v>
      </c>
      <c r="K257" t="s">
        <v>16</v>
      </c>
      <c r="L257" t="s">
        <v>17</v>
      </c>
      <c r="M257">
        <f>IF(Table1[[#This Row],[ألغى الاشتراك]]="نعم",1,0)</f>
        <v>0</v>
      </c>
      <c r="N257">
        <f>IF(Table1[[#This Row],[وسيلة الدفع]]="بطاقة",1,0)</f>
        <v>0</v>
      </c>
      <c r="O257">
        <f>IF(Table1[[#This Row],[وسيلة الدفع]]="محفظة",1,0)</f>
        <v>0</v>
      </c>
      <c r="P257">
        <f>IF(Table1[[#This Row],[وسيلة الدفع]]="تحويل",1,0)</f>
        <v>1</v>
      </c>
      <c r="Q257">
        <f>IF(Table1[[#This Row],[حضر التهيئة]]="نعم",1,0)</f>
        <v>1</v>
      </c>
      <c r="R257">
        <f>IF(Table1[[#This Row],[دورة الفوترة]]="شهري",1,0)</f>
        <v>0</v>
      </c>
    </row>
    <row r="258" spans="1:18" x14ac:dyDescent="0.25">
      <c r="A258" t="s">
        <v>278</v>
      </c>
      <c r="B258" s="1">
        <v>45572</v>
      </c>
      <c r="C258" t="s">
        <v>28</v>
      </c>
      <c r="D258">
        <v>39</v>
      </c>
      <c r="E258" t="s">
        <v>14</v>
      </c>
      <c r="F258">
        <v>11</v>
      </c>
      <c r="G258" t="s">
        <v>23</v>
      </c>
      <c r="H258">
        <v>1</v>
      </c>
      <c r="I258">
        <v>33</v>
      </c>
      <c r="J258">
        <v>10</v>
      </c>
      <c r="K258" t="s">
        <v>16</v>
      </c>
      <c r="L258" t="s">
        <v>17</v>
      </c>
      <c r="M258">
        <f>IF(Table1[[#This Row],[ألغى الاشتراك]]="نعم",1,0)</f>
        <v>0</v>
      </c>
      <c r="N258">
        <f>IF(Table1[[#This Row],[وسيلة الدفع]]="بطاقة",1,0)</f>
        <v>0</v>
      </c>
      <c r="O258">
        <f>IF(Table1[[#This Row],[وسيلة الدفع]]="محفظة",1,0)</f>
        <v>0</v>
      </c>
      <c r="P258">
        <f>IF(Table1[[#This Row],[وسيلة الدفع]]="تحويل",1,0)</f>
        <v>1</v>
      </c>
      <c r="Q258">
        <f>IF(Table1[[#This Row],[حضر التهيئة]]="نعم",1,0)</f>
        <v>1</v>
      </c>
      <c r="R258">
        <f>IF(Table1[[#This Row],[دورة الفوترة]]="شهري",1,0)</f>
        <v>1</v>
      </c>
    </row>
    <row r="259" spans="1:18" x14ac:dyDescent="0.25">
      <c r="A259" t="s">
        <v>279</v>
      </c>
      <c r="B259" s="1">
        <v>45989</v>
      </c>
      <c r="C259" t="s">
        <v>13</v>
      </c>
      <c r="D259">
        <v>89</v>
      </c>
      <c r="E259" t="s">
        <v>20</v>
      </c>
      <c r="F259">
        <v>13</v>
      </c>
      <c r="G259" t="s">
        <v>23</v>
      </c>
      <c r="H259">
        <v>8</v>
      </c>
      <c r="I259">
        <v>27</v>
      </c>
      <c r="J259">
        <v>0</v>
      </c>
      <c r="K259" t="s">
        <v>17</v>
      </c>
      <c r="L259" t="s">
        <v>17</v>
      </c>
      <c r="M259">
        <f>IF(Table1[[#This Row],[ألغى الاشتراك]]="نعم",1,0)</f>
        <v>0</v>
      </c>
      <c r="N259">
        <f>IF(Table1[[#This Row],[وسيلة الدفع]]="بطاقة",1,0)</f>
        <v>0</v>
      </c>
      <c r="O259">
        <f>IF(Table1[[#This Row],[وسيلة الدفع]]="محفظة",1,0)</f>
        <v>0</v>
      </c>
      <c r="P259">
        <f>IF(Table1[[#This Row],[وسيلة الدفع]]="تحويل",1,0)</f>
        <v>1</v>
      </c>
      <c r="Q259">
        <f>IF(Table1[[#This Row],[حضر التهيئة]]="نعم",1,0)</f>
        <v>0</v>
      </c>
      <c r="R259">
        <f>IF(Table1[[#This Row],[دورة الفوترة]]="شهري",1,0)</f>
        <v>0</v>
      </c>
    </row>
    <row r="260" spans="1:18" x14ac:dyDescent="0.25">
      <c r="A260" t="s">
        <v>280</v>
      </c>
      <c r="B260" s="1">
        <v>45906</v>
      </c>
      <c r="C260" t="s">
        <v>28</v>
      </c>
      <c r="D260">
        <v>39</v>
      </c>
      <c r="E260" t="s">
        <v>14</v>
      </c>
      <c r="F260">
        <v>4</v>
      </c>
      <c r="G260" t="s">
        <v>21</v>
      </c>
      <c r="H260">
        <v>0</v>
      </c>
      <c r="I260">
        <v>48</v>
      </c>
      <c r="J260">
        <v>5</v>
      </c>
      <c r="K260" t="s">
        <v>16</v>
      </c>
      <c r="L260" t="s">
        <v>17</v>
      </c>
      <c r="M260">
        <f>IF(Table1[[#This Row],[ألغى الاشتراك]]="نعم",1,0)</f>
        <v>0</v>
      </c>
      <c r="N260">
        <f>IF(Table1[[#This Row],[وسيلة الدفع]]="بطاقة",1,0)</f>
        <v>0</v>
      </c>
      <c r="O260">
        <f>IF(Table1[[#This Row],[وسيلة الدفع]]="محفظة",1,0)</f>
        <v>1</v>
      </c>
      <c r="P260">
        <f>IF(Table1[[#This Row],[وسيلة الدفع]]="تحويل",1,0)</f>
        <v>0</v>
      </c>
      <c r="Q260">
        <f>IF(Table1[[#This Row],[حضر التهيئة]]="نعم",1,0)</f>
        <v>1</v>
      </c>
      <c r="R260">
        <f>IF(Table1[[#This Row],[دورة الفوترة]]="شهري",1,0)</f>
        <v>1</v>
      </c>
    </row>
    <row r="261" spans="1:18" x14ac:dyDescent="0.25">
      <c r="A261" t="s">
        <v>281</v>
      </c>
      <c r="B261" s="1">
        <v>45345</v>
      </c>
      <c r="C261" t="s">
        <v>13</v>
      </c>
      <c r="D261">
        <v>89</v>
      </c>
      <c r="E261" t="s">
        <v>14</v>
      </c>
      <c r="F261">
        <v>18</v>
      </c>
      <c r="G261" t="s">
        <v>15</v>
      </c>
      <c r="H261">
        <v>2</v>
      </c>
      <c r="I261">
        <v>18</v>
      </c>
      <c r="J261">
        <v>0</v>
      </c>
      <c r="K261" t="s">
        <v>16</v>
      </c>
      <c r="L261" t="s">
        <v>17</v>
      </c>
      <c r="M261">
        <f>IF(Table1[[#This Row],[ألغى الاشتراك]]="نعم",1,0)</f>
        <v>0</v>
      </c>
      <c r="N261">
        <f>IF(Table1[[#This Row],[وسيلة الدفع]]="بطاقة",1,0)</f>
        <v>1</v>
      </c>
      <c r="O261">
        <f>IF(Table1[[#This Row],[وسيلة الدفع]]="محفظة",1,0)</f>
        <v>0</v>
      </c>
      <c r="P261">
        <f>IF(Table1[[#This Row],[وسيلة الدفع]]="تحويل",1,0)</f>
        <v>0</v>
      </c>
      <c r="Q261">
        <f>IF(Table1[[#This Row],[حضر التهيئة]]="نعم",1,0)</f>
        <v>1</v>
      </c>
      <c r="R261">
        <f>IF(Table1[[#This Row],[دورة الفوترة]]="شهري",1,0)</f>
        <v>1</v>
      </c>
    </row>
    <row r="262" spans="1:18" x14ac:dyDescent="0.25">
      <c r="A262" t="s">
        <v>282</v>
      </c>
      <c r="B262" s="1">
        <v>45969</v>
      </c>
      <c r="C262" t="s">
        <v>28</v>
      </c>
      <c r="D262">
        <v>39</v>
      </c>
      <c r="E262" t="s">
        <v>14</v>
      </c>
      <c r="F262">
        <v>25</v>
      </c>
      <c r="G262" t="s">
        <v>23</v>
      </c>
      <c r="H262">
        <v>6</v>
      </c>
      <c r="I262">
        <v>55</v>
      </c>
      <c r="J262">
        <v>0</v>
      </c>
      <c r="K262" t="s">
        <v>17</v>
      </c>
      <c r="L262" t="s">
        <v>17</v>
      </c>
      <c r="M262">
        <f>IF(Table1[[#This Row],[ألغى الاشتراك]]="نعم",1,0)</f>
        <v>0</v>
      </c>
      <c r="N262">
        <f>IF(Table1[[#This Row],[وسيلة الدفع]]="بطاقة",1,0)</f>
        <v>0</v>
      </c>
      <c r="O262">
        <f>IF(Table1[[#This Row],[وسيلة الدفع]]="محفظة",1,0)</f>
        <v>0</v>
      </c>
      <c r="P262">
        <f>IF(Table1[[#This Row],[وسيلة الدفع]]="تحويل",1,0)</f>
        <v>1</v>
      </c>
      <c r="Q262">
        <f>IF(Table1[[#This Row],[حضر التهيئة]]="نعم",1,0)</f>
        <v>0</v>
      </c>
      <c r="R262">
        <f>IF(Table1[[#This Row],[دورة الفوترة]]="شهري",1,0)</f>
        <v>1</v>
      </c>
    </row>
    <row r="263" spans="1:18" x14ac:dyDescent="0.25">
      <c r="A263" t="s">
        <v>283</v>
      </c>
      <c r="B263" s="1">
        <v>45918</v>
      </c>
      <c r="C263" t="s">
        <v>19</v>
      </c>
      <c r="D263">
        <v>189</v>
      </c>
      <c r="E263" t="s">
        <v>20</v>
      </c>
      <c r="F263">
        <v>14</v>
      </c>
      <c r="G263" t="s">
        <v>21</v>
      </c>
      <c r="H263">
        <v>3</v>
      </c>
      <c r="I263">
        <v>18</v>
      </c>
      <c r="J263">
        <v>5</v>
      </c>
      <c r="K263" t="s">
        <v>17</v>
      </c>
      <c r="L263" t="s">
        <v>17</v>
      </c>
      <c r="M263">
        <f>IF(Table1[[#This Row],[ألغى الاشتراك]]="نعم",1,0)</f>
        <v>0</v>
      </c>
      <c r="N263">
        <f>IF(Table1[[#This Row],[وسيلة الدفع]]="بطاقة",1,0)</f>
        <v>0</v>
      </c>
      <c r="O263">
        <f>IF(Table1[[#This Row],[وسيلة الدفع]]="محفظة",1,0)</f>
        <v>1</v>
      </c>
      <c r="P263">
        <f>IF(Table1[[#This Row],[وسيلة الدفع]]="تحويل",1,0)</f>
        <v>0</v>
      </c>
      <c r="Q263">
        <f>IF(Table1[[#This Row],[حضر التهيئة]]="نعم",1,0)</f>
        <v>0</v>
      </c>
      <c r="R263">
        <f>IF(Table1[[#This Row],[دورة الفوترة]]="شهري",1,0)</f>
        <v>0</v>
      </c>
    </row>
    <row r="264" spans="1:18" x14ac:dyDescent="0.25">
      <c r="A264" t="s">
        <v>284</v>
      </c>
      <c r="B264" s="1">
        <v>45568</v>
      </c>
      <c r="C264" t="s">
        <v>28</v>
      </c>
      <c r="D264">
        <v>39</v>
      </c>
      <c r="E264" t="s">
        <v>14</v>
      </c>
      <c r="F264">
        <v>16</v>
      </c>
      <c r="G264" t="s">
        <v>23</v>
      </c>
      <c r="H264">
        <v>1</v>
      </c>
      <c r="I264">
        <v>54</v>
      </c>
      <c r="J264">
        <v>0</v>
      </c>
      <c r="K264" t="s">
        <v>16</v>
      </c>
      <c r="L264" t="s">
        <v>17</v>
      </c>
      <c r="M264">
        <f>IF(Table1[[#This Row],[ألغى الاشتراك]]="نعم",1,0)</f>
        <v>0</v>
      </c>
      <c r="N264">
        <f>IF(Table1[[#This Row],[وسيلة الدفع]]="بطاقة",1,0)</f>
        <v>0</v>
      </c>
      <c r="O264">
        <f>IF(Table1[[#This Row],[وسيلة الدفع]]="محفظة",1,0)</f>
        <v>0</v>
      </c>
      <c r="P264">
        <f>IF(Table1[[#This Row],[وسيلة الدفع]]="تحويل",1,0)</f>
        <v>1</v>
      </c>
      <c r="Q264">
        <f>IF(Table1[[#This Row],[حضر التهيئة]]="نعم",1,0)</f>
        <v>1</v>
      </c>
      <c r="R264">
        <f>IF(Table1[[#This Row],[دورة الفوترة]]="شهري",1,0)</f>
        <v>1</v>
      </c>
    </row>
    <row r="265" spans="1:18" x14ac:dyDescent="0.25">
      <c r="A265" t="s">
        <v>285</v>
      </c>
      <c r="B265" s="1">
        <v>45513</v>
      </c>
      <c r="C265" t="s">
        <v>19</v>
      </c>
      <c r="D265">
        <v>189</v>
      </c>
      <c r="E265" t="s">
        <v>14</v>
      </c>
      <c r="F265">
        <v>13</v>
      </c>
      <c r="G265" t="s">
        <v>21</v>
      </c>
      <c r="H265">
        <v>0</v>
      </c>
      <c r="I265">
        <v>23</v>
      </c>
      <c r="J265">
        <v>25</v>
      </c>
      <c r="K265" t="s">
        <v>17</v>
      </c>
      <c r="L265" t="s">
        <v>17</v>
      </c>
      <c r="M265">
        <f>IF(Table1[[#This Row],[ألغى الاشتراك]]="نعم",1,0)</f>
        <v>0</v>
      </c>
      <c r="N265">
        <f>IF(Table1[[#This Row],[وسيلة الدفع]]="بطاقة",1,0)</f>
        <v>0</v>
      </c>
      <c r="O265">
        <f>IF(Table1[[#This Row],[وسيلة الدفع]]="محفظة",1,0)</f>
        <v>1</v>
      </c>
      <c r="P265">
        <f>IF(Table1[[#This Row],[وسيلة الدفع]]="تحويل",1,0)</f>
        <v>0</v>
      </c>
      <c r="Q265">
        <f>IF(Table1[[#This Row],[حضر التهيئة]]="نعم",1,0)</f>
        <v>0</v>
      </c>
      <c r="R265">
        <f>IF(Table1[[#This Row],[دورة الفوترة]]="شهري",1,0)</f>
        <v>1</v>
      </c>
    </row>
    <row r="266" spans="1:18" x14ac:dyDescent="0.25">
      <c r="A266" t="s">
        <v>286</v>
      </c>
      <c r="B266" s="1">
        <v>45791</v>
      </c>
      <c r="C266" t="s">
        <v>13</v>
      </c>
      <c r="D266">
        <v>89</v>
      </c>
      <c r="E266" t="s">
        <v>14</v>
      </c>
      <c r="F266">
        <v>27</v>
      </c>
      <c r="G266" t="s">
        <v>23</v>
      </c>
      <c r="H266">
        <v>1</v>
      </c>
      <c r="I266">
        <v>29</v>
      </c>
      <c r="J266">
        <v>0</v>
      </c>
      <c r="K266" t="s">
        <v>16</v>
      </c>
      <c r="L266" t="s">
        <v>17</v>
      </c>
      <c r="M266">
        <f>IF(Table1[[#This Row],[ألغى الاشتراك]]="نعم",1,0)</f>
        <v>0</v>
      </c>
      <c r="N266">
        <f>IF(Table1[[#This Row],[وسيلة الدفع]]="بطاقة",1,0)</f>
        <v>0</v>
      </c>
      <c r="O266">
        <f>IF(Table1[[#This Row],[وسيلة الدفع]]="محفظة",1,0)</f>
        <v>0</v>
      </c>
      <c r="P266">
        <f>IF(Table1[[#This Row],[وسيلة الدفع]]="تحويل",1,0)</f>
        <v>1</v>
      </c>
      <c r="Q266">
        <f>IF(Table1[[#This Row],[حضر التهيئة]]="نعم",1,0)</f>
        <v>1</v>
      </c>
      <c r="R266">
        <f>IF(Table1[[#This Row],[دورة الفوترة]]="شهري",1,0)</f>
        <v>1</v>
      </c>
    </row>
    <row r="267" spans="1:18" x14ac:dyDescent="0.25">
      <c r="A267" t="s">
        <v>287</v>
      </c>
      <c r="B267" s="1">
        <v>45454</v>
      </c>
      <c r="C267" t="s">
        <v>19</v>
      </c>
      <c r="D267">
        <v>189</v>
      </c>
      <c r="E267" t="s">
        <v>20</v>
      </c>
      <c r="F267">
        <v>20</v>
      </c>
      <c r="G267" t="s">
        <v>23</v>
      </c>
      <c r="H267">
        <v>0</v>
      </c>
      <c r="I267">
        <v>10</v>
      </c>
      <c r="J267">
        <v>0</v>
      </c>
      <c r="K267" t="s">
        <v>16</v>
      </c>
      <c r="L267" t="s">
        <v>17</v>
      </c>
      <c r="M267">
        <f>IF(Table1[[#This Row],[ألغى الاشتراك]]="نعم",1,0)</f>
        <v>0</v>
      </c>
      <c r="N267">
        <f>IF(Table1[[#This Row],[وسيلة الدفع]]="بطاقة",1,0)</f>
        <v>0</v>
      </c>
      <c r="O267">
        <f>IF(Table1[[#This Row],[وسيلة الدفع]]="محفظة",1,0)</f>
        <v>0</v>
      </c>
      <c r="P267">
        <f>IF(Table1[[#This Row],[وسيلة الدفع]]="تحويل",1,0)</f>
        <v>1</v>
      </c>
      <c r="Q267">
        <f>IF(Table1[[#This Row],[حضر التهيئة]]="نعم",1,0)</f>
        <v>1</v>
      </c>
      <c r="R267">
        <f>IF(Table1[[#This Row],[دورة الفوترة]]="شهري",1,0)</f>
        <v>0</v>
      </c>
    </row>
    <row r="268" spans="1:18" x14ac:dyDescent="0.25">
      <c r="A268" t="s">
        <v>288</v>
      </c>
      <c r="B268" s="1">
        <v>45651</v>
      </c>
      <c r="C268" t="s">
        <v>13</v>
      </c>
      <c r="D268">
        <v>89</v>
      </c>
      <c r="E268" t="s">
        <v>14</v>
      </c>
      <c r="F268">
        <v>3</v>
      </c>
      <c r="G268" t="s">
        <v>21</v>
      </c>
      <c r="H268">
        <v>10</v>
      </c>
      <c r="I268">
        <v>25</v>
      </c>
      <c r="J268">
        <v>25</v>
      </c>
      <c r="K268" t="s">
        <v>17</v>
      </c>
      <c r="L268" t="s">
        <v>17</v>
      </c>
      <c r="M268">
        <f>IF(Table1[[#This Row],[ألغى الاشتراك]]="نعم",1,0)</f>
        <v>0</v>
      </c>
      <c r="N268">
        <f>IF(Table1[[#This Row],[وسيلة الدفع]]="بطاقة",1,0)</f>
        <v>0</v>
      </c>
      <c r="O268">
        <f>IF(Table1[[#This Row],[وسيلة الدفع]]="محفظة",1,0)</f>
        <v>1</v>
      </c>
      <c r="P268">
        <f>IF(Table1[[#This Row],[وسيلة الدفع]]="تحويل",1,0)</f>
        <v>0</v>
      </c>
      <c r="Q268">
        <f>IF(Table1[[#This Row],[حضر التهيئة]]="نعم",1,0)</f>
        <v>0</v>
      </c>
      <c r="R268">
        <f>IF(Table1[[#This Row],[دورة الفوترة]]="شهري",1,0)</f>
        <v>1</v>
      </c>
    </row>
    <row r="269" spans="1:18" x14ac:dyDescent="0.25">
      <c r="A269" t="s">
        <v>289</v>
      </c>
      <c r="B269" s="1">
        <v>45914</v>
      </c>
      <c r="C269" t="s">
        <v>19</v>
      </c>
      <c r="D269">
        <v>189</v>
      </c>
      <c r="E269" t="s">
        <v>20</v>
      </c>
      <c r="F269">
        <v>27</v>
      </c>
      <c r="G269" t="s">
        <v>15</v>
      </c>
      <c r="H269">
        <v>1</v>
      </c>
      <c r="I269">
        <v>29</v>
      </c>
      <c r="J269">
        <v>0</v>
      </c>
      <c r="K269" t="s">
        <v>16</v>
      </c>
      <c r="L269" t="s">
        <v>17</v>
      </c>
      <c r="M269">
        <f>IF(Table1[[#This Row],[ألغى الاشتراك]]="نعم",1,0)</f>
        <v>0</v>
      </c>
      <c r="N269">
        <f>IF(Table1[[#This Row],[وسيلة الدفع]]="بطاقة",1,0)</f>
        <v>1</v>
      </c>
      <c r="O269">
        <f>IF(Table1[[#This Row],[وسيلة الدفع]]="محفظة",1,0)</f>
        <v>0</v>
      </c>
      <c r="P269">
        <f>IF(Table1[[#This Row],[وسيلة الدفع]]="تحويل",1,0)</f>
        <v>0</v>
      </c>
      <c r="Q269">
        <f>IF(Table1[[#This Row],[حضر التهيئة]]="نعم",1,0)</f>
        <v>1</v>
      </c>
      <c r="R269">
        <f>IF(Table1[[#This Row],[دورة الفوترة]]="شهري",1,0)</f>
        <v>0</v>
      </c>
    </row>
    <row r="270" spans="1:18" x14ac:dyDescent="0.25">
      <c r="A270" t="s">
        <v>290</v>
      </c>
      <c r="B270" s="1">
        <v>45858</v>
      </c>
      <c r="C270" t="s">
        <v>13</v>
      </c>
      <c r="D270">
        <v>89</v>
      </c>
      <c r="E270" t="s">
        <v>14</v>
      </c>
      <c r="F270">
        <v>26</v>
      </c>
      <c r="G270" t="s">
        <v>21</v>
      </c>
      <c r="H270">
        <v>4</v>
      </c>
      <c r="I270">
        <v>36</v>
      </c>
      <c r="J270">
        <v>15</v>
      </c>
      <c r="K270" t="s">
        <v>16</v>
      </c>
      <c r="L270" t="s">
        <v>17</v>
      </c>
      <c r="M270">
        <f>IF(Table1[[#This Row],[ألغى الاشتراك]]="نعم",1,0)</f>
        <v>0</v>
      </c>
      <c r="N270">
        <f>IF(Table1[[#This Row],[وسيلة الدفع]]="بطاقة",1,0)</f>
        <v>0</v>
      </c>
      <c r="O270">
        <f>IF(Table1[[#This Row],[وسيلة الدفع]]="محفظة",1,0)</f>
        <v>1</v>
      </c>
      <c r="P270">
        <f>IF(Table1[[#This Row],[وسيلة الدفع]]="تحويل",1,0)</f>
        <v>0</v>
      </c>
      <c r="Q270">
        <f>IF(Table1[[#This Row],[حضر التهيئة]]="نعم",1,0)</f>
        <v>1</v>
      </c>
      <c r="R270">
        <f>IF(Table1[[#This Row],[دورة الفوترة]]="شهري",1,0)</f>
        <v>1</v>
      </c>
    </row>
    <row r="271" spans="1:18" x14ac:dyDescent="0.25">
      <c r="A271" t="s">
        <v>291</v>
      </c>
      <c r="B271" s="1">
        <v>45643</v>
      </c>
      <c r="C271" t="s">
        <v>19</v>
      </c>
      <c r="D271">
        <v>189</v>
      </c>
      <c r="E271" t="s">
        <v>14</v>
      </c>
      <c r="F271">
        <v>24</v>
      </c>
      <c r="G271" t="s">
        <v>21</v>
      </c>
      <c r="H271">
        <v>9</v>
      </c>
      <c r="I271">
        <v>46</v>
      </c>
      <c r="J271">
        <v>0</v>
      </c>
      <c r="K271" t="s">
        <v>16</v>
      </c>
      <c r="L271" t="s">
        <v>17</v>
      </c>
      <c r="M271">
        <f>IF(Table1[[#This Row],[ألغى الاشتراك]]="نعم",1,0)</f>
        <v>0</v>
      </c>
      <c r="N271">
        <f>IF(Table1[[#This Row],[وسيلة الدفع]]="بطاقة",1,0)</f>
        <v>0</v>
      </c>
      <c r="O271">
        <f>IF(Table1[[#This Row],[وسيلة الدفع]]="محفظة",1,0)</f>
        <v>1</v>
      </c>
      <c r="P271">
        <f>IF(Table1[[#This Row],[وسيلة الدفع]]="تحويل",1,0)</f>
        <v>0</v>
      </c>
      <c r="Q271">
        <f>IF(Table1[[#This Row],[حضر التهيئة]]="نعم",1,0)</f>
        <v>1</v>
      </c>
      <c r="R271">
        <f>IF(Table1[[#This Row],[دورة الفوترة]]="شهري",1,0)</f>
        <v>1</v>
      </c>
    </row>
    <row r="272" spans="1:18" x14ac:dyDescent="0.25">
      <c r="A272" t="s">
        <v>292</v>
      </c>
      <c r="B272" s="1">
        <v>45922</v>
      </c>
      <c r="C272" t="s">
        <v>13</v>
      </c>
      <c r="D272">
        <v>89</v>
      </c>
      <c r="E272" t="s">
        <v>14</v>
      </c>
      <c r="F272">
        <v>3</v>
      </c>
      <c r="G272" t="s">
        <v>21</v>
      </c>
      <c r="H272">
        <v>0</v>
      </c>
      <c r="I272">
        <v>9</v>
      </c>
      <c r="J272">
        <v>0</v>
      </c>
      <c r="K272" t="s">
        <v>17</v>
      </c>
      <c r="L272" t="s">
        <v>17</v>
      </c>
      <c r="M272">
        <f>IF(Table1[[#This Row],[ألغى الاشتراك]]="نعم",1,0)</f>
        <v>0</v>
      </c>
      <c r="N272">
        <f>IF(Table1[[#This Row],[وسيلة الدفع]]="بطاقة",1,0)</f>
        <v>0</v>
      </c>
      <c r="O272">
        <f>IF(Table1[[#This Row],[وسيلة الدفع]]="محفظة",1,0)</f>
        <v>1</v>
      </c>
      <c r="P272">
        <f>IF(Table1[[#This Row],[وسيلة الدفع]]="تحويل",1,0)</f>
        <v>0</v>
      </c>
      <c r="Q272">
        <f>IF(Table1[[#This Row],[حضر التهيئة]]="نعم",1,0)</f>
        <v>0</v>
      </c>
      <c r="R272">
        <f>IF(Table1[[#This Row],[دورة الفوترة]]="شهري",1,0)</f>
        <v>1</v>
      </c>
    </row>
    <row r="273" spans="1:18" x14ac:dyDescent="0.25">
      <c r="A273" t="s">
        <v>293</v>
      </c>
      <c r="B273" s="1">
        <v>45349</v>
      </c>
      <c r="C273" t="s">
        <v>13</v>
      </c>
      <c r="D273">
        <v>89</v>
      </c>
      <c r="E273" t="s">
        <v>14</v>
      </c>
      <c r="F273">
        <v>6</v>
      </c>
      <c r="G273" t="s">
        <v>15</v>
      </c>
      <c r="H273">
        <v>0</v>
      </c>
      <c r="I273">
        <v>38</v>
      </c>
      <c r="J273">
        <v>0</v>
      </c>
      <c r="K273" t="s">
        <v>16</v>
      </c>
      <c r="L273" t="s">
        <v>17</v>
      </c>
      <c r="M273">
        <f>IF(Table1[[#This Row],[ألغى الاشتراك]]="نعم",1,0)</f>
        <v>0</v>
      </c>
      <c r="N273">
        <f>IF(Table1[[#This Row],[وسيلة الدفع]]="بطاقة",1,0)</f>
        <v>1</v>
      </c>
      <c r="O273">
        <f>IF(Table1[[#This Row],[وسيلة الدفع]]="محفظة",1,0)</f>
        <v>0</v>
      </c>
      <c r="P273">
        <f>IF(Table1[[#This Row],[وسيلة الدفع]]="تحويل",1,0)</f>
        <v>0</v>
      </c>
      <c r="Q273">
        <f>IF(Table1[[#This Row],[حضر التهيئة]]="نعم",1,0)</f>
        <v>1</v>
      </c>
      <c r="R273">
        <f>IF(Table1[[#This Row],[دورة الفوترة]]="شهري",1,0)</f>
        <v>1</v>
      </c>
    </row>
    <row r="274" spans="1:18" x14ac:dyDescent="0.25">
      <c r="A274" t="s">
        <v>294</v>
      </c>
      <c r="B274" s="1">
        <v>45521</v>
      </c>
      <c r="C274" t="s">
        <v>19</v>
      </c>
      <c r="D274">
        <v>189</v>
      </c>
      <c r="E274" t="s">
        <v>14</v>
      </c>
      <c r="F274">
        <v>3</v>
      </c>
      <c r="G274" t="s">
        <v>23</v>
      </c>
      <c r="H274">
        <v>1</v>
      </c>
      <c r="I274">
        <v>43</v>
      </c>
      <c r="J274">
        <v>25</v>
      </c>
      <c r="K274" t="s">
        <v>17</v>
      </c>
      <c r="L274" t="s">
        <v>17</v>
      </c>
      <c r="M274">
        <f>IF(Table1[[#This Row],[ألغى الاشتراك]]="نعم",1,0)</f>
        <v>0</v>
      </c>
      <c r="N274">
        <f>IF(Table1[[#This Row],[وسيلة الدفع]]="بطاقة",1,0)</f>
        <v>0</v>
      </c>
      <c r="O274">
        <f>IF(Table1[[#This Row],[وسيلة الدفع]]="محفظة",1,0)</f>
        <v>0</v>
      </c>
      <c r="P274">
        <f>IF(Table1[[#This Row],[وسيلة الدفع]]="تحويل",1,0)</f>
        <v>1</v>
      </c>
      <c r="Q274">
        <f>IF(Table1[[#This Row],[حضر التهيئة]]="نعم",1,0)</f>
        <v>0</v>
      </c>
      <c r="R274">
        <f>IF(Table1[[#This Row],[دورة الفوترة]]="شهري",1,0)</f>
        <v>1</v>
      </c>
    </row>
    <row r="275" spans="1:18" x14ac:dyDescent="0.25">
      <c r="A275" t="s">
        <v>295</v>
      </c>
      <c r="B275" s="1">
        <v>45675</v>
      </c>
      <c r="C275" t="s">
        <v>19</v>
      </c>
      <c r="D275">
        <v>189</v>
      </c>
      <c r="E275" t="s">
        <v>14</v>
      </c>
      <c r="F275">
        <v>13</v>
      </c>
      <c r="G275" t="s">
        <v>21</v>
      </c>
      <c r="H275">
        <v>1</v>
      </c>
      <c r="I275">
        <v>27</v>
      </c>
      <c r="J275">
        <v>0</v>
      </c>
      <c r="K275" t="s">
        <v>16</v>
      </c>
      <c r="L275" t="s">
        <v>17</v>
      </c>
      <c r="M275">
        <f>IF(Table1[[#This Row],[ألغى الاشتراك]]="نعم",1,0)</f>
        <v>0</v>
      </c>
      <c r="N275">
        <f>IF(Table1[[#This Row],[وسيلة الدفع]]="بطاقة",1,0)</f>
        <v>0</v>
      </c>
      <c r="O275">
        <f>IF(Table1[[#This Row],[وسيلة الدفع]]="محفظة",1,0)</f>
        <v>1</v>
      </c>
      <c r="P275">
        <f>IF(Table1[[#This Row],[وسيلة الدفع]]="تحويل",1,0)</f>
        <v>0</v>
      </c>
      <c r="Q275">
        <f>IF(Table1[[#This Row],[حضر التهيئة]]="نعم",1,0)</f>
        <v>1</v>
      </c>
      <c r="R275">
        <f>IF(Table1[[#This Row],[دورة الفوترة]]="شهري",1,0)</f>
        <v>1</v>
      </c>
    </row>
    <row r="276" spans="1:18" x14ac:dyDescent="0.25">
      <c r="A276" t="s">
        <v>296</v>
      </c>
      <c r="B276" s="1">
        <v>45576</v>
      </c>
      <c r="C276" t="s">
        <v>13</v>
      </c>
      <c r="D276">
        <v>89</v>
      </c>
      <c r="E276" t="s">
        <v>20</v>
      </c>
      <c r="F276">
        <v>24</v>
      </c>
      <c r="G276" t="s">
        <v>23</v>
      </c>
      <c r="H276">
        <v>3</v>
      </c>
      <c r="I276">
        <v>52</v>
      </c>
      <c r="J276">
        <v>0</v>
      </c>
      <c r="K276" t="s">
        <v>16</v>
      </c>
      <c r="L276" t="s">
        <v>17</v>
      </c>
      <c r="M276">
        <f>IF(Table1[[#This Row],[ألغى الاشتراك]]="نعم",1,0)</f>
        <v>0</v>
      </c>
      <c r="N276">
        <f>IF(Table1[[#This Row],[وسيلة الدفع]]="بطاقة",1,0)</f>
        <v>0</v>
      </c>
      <c r="O276">
        <f>IF(Table1[[#This Row],[وسيلة الدفع]]="محفظة",1,0)</f>
        <v>0</v>
      </c>
      <c r="P276">
        <f>IF(Table1[[#This Row],[وسيلة الدفع]]="تحويل",1,0)</f>
        <v>1</v>
      </c>
      <c r="Q276">
        <f>IF(Table1[[#This Row],[حضر التهيئة]]="نعم",1,0)</f>
        <v>1</v>
      </c>
      <c r="R276">
        <f>IF(Table1[[#This Row],[دورة الفوترة]]="شهري",1,0)</f>
        <v>0</v>
      </c>
    </row>
    <row r="277" spans="1:18" x14ac:dyDescent="0.25">
      <c r="A277" t="s">
        <v>297</v>
      </c>
      <c r="B277" s="1">
        <v>45977</v>
      </c>
      <c r="C277" t="s">
        <v>28</v>
      </c>
      <c r="D277">
        <v>39</v>
      </c>
      <c r="E277" t="s">
        <v>14</v>
      </c>
      <c r="F277">
        <v>17</v>
      </c>
      <c r="G277" t="s">
        <v>21</v>
      </c>
      <c r="H277">
        <v>2</v>
      </c>
      <c r="I277">
        <v>33</v>
      </c>
      <c r="J277">
        <v>0</v>
      </c>
      <c r="K277" t="s">
        <v>17</v>
      </c>
      <c r="L277" t="s">
        <v>16</v>
      </c>
      <c r="M277">
        <f>IF(Table1[[#This Row],[ألغى الاشتراك]]="نعم",1,0)</f>
        <v>1</v>
      </c>
      <c r="N277">
        <f>IF(Table1[[#This Row],[وسيلة الدفع]]="بطاقة",1,0)</f>
        <v>0</v>
      </c>
      <c r="O277">
        <f>IF(Table1[[#This Row],[وسيلة الدفع]]="محفظة",1,0)</f>
        <v>1</v>
      </c>
      <c r="P277">
        <f>IF(Table1[[#This Row],[وسيلة الدفع]]="تحويل",1,0)</f>
        <v>0</v>
      </c>
      <c r="Q277">
        <f>IF(Table1[[#This Row],[حضر التهيئة]]="نعم",1,0)</f>
        <v>0</v>
      </c>
      <c r="R277">
        <f>IF(Table1[[#This Row],[دورة الفوترة]]="شهري",1,0)</f>
        <v>1</v>
      </c>
    </row>
    <row r="278" spans="1:18" x14ac:dyDescent="0.25">
      <c r="A278" t="s">
        <v>298</v>
      </c>
      <c r="B278" s="1">
        <v>45627</v>
      </c>
      <c r="C278" t="s">
        <v>28</v>
      </c>
      <c r="D278">
        <v>39</v>
      </c>
      <c r="E278" t="s">
        <v>14</v>
      </c>
      <c r="F278">
        <v>12</v>
      </c>
      <c r="G278" t="s">
        <v>15</v>
      </c>
      <c r="H278">
        <v>8</v>
      </c>
      <c r="I278">
        <v>20</v>
      </c>
      <c r="J278">
        <v>0</v>
      </c>
      <c r="K278" t="s">
        <v>17</v>
      </c>
      <c r="L278" t="s">
        <v>17</v>
      </c>
      <c r="M278">
        <f>IF(Table1[[#This Row],[ألغى الاشتراك]]="نعم",1,0)</f>
        <v>0</v>
      </c>
      <c r="N278">
        <f>IF(Table1[[#This Row],[وسيلة الدفع]]="بطاقة",1,0)</f>
        <v>1</v>
      </c>
      <c r="O278">
        <f>IF(Table1[[#This Row],[وسيلة الدفع]]="محفظة",1,0)</f>
        <v>0</v>
      </c>
      <c r="P278">
        <f>IF(Table1[[#This Row],[وسيلة الدفع]]="تحويل",1,0)</f>
        <v>0</v>
      </c>
      <c r="Q278">
        <f>IF(Table1[[#This Row],[حضر التهيئة]]="نعم",1,0)</f>
        <v>0</v>
      </c>
      <c r="R278">
        <f>IF(Table1[[#This Row],[دورة الفوترة]]="شهري",1,0)</f>
        <v>1</v>
      </c>
    </row>
    <row r="279" spans="1:18" x14ac:dyDescent="0.25">
      <c r="A279" t="s">
        <v>299</v>
      </c>
      <c r="B279" s="1">
        <v>45667</v>
      </c>
      <c r="C279" t="s">
        <v>13</v>
      </c>
      <c r="D279">
        <v>89</v>
      </c>
      <c r="E279" t="s">
        <v>14</v>
      </c>
      <c r="F279">
        <v>5</v>
      </c>
      <c r="G279" t="s">
        <v>15</v>
      </c>
      <c r="H279">
        <v>1</v>
      </c>
      <c r="I279">
        <v>27</v>
      </c>
      <c r="J279">
        <v>0</v>
      </c>
      <c r="K279" t="s">
        <v>16</v>
      </c>
      <c r="L279" t="s">
        <v>17</v>
      </c>
      <c r="M279">
        <f>IF(Table1[[#This Row],[ألغى الاشتراك]]="نعم",1,0)</f>
        <v>0</v>
      </c>
      <c r="N279">
        <f>IF(Table1[[#This Row],[وسيلة الدفع]]="بطاقة",1,0)</f>
        <v>1</v>
      </c>
      <c r="O279">
        <f>IF(Table1[[#This Row],[وسيلة الدفع]]="محفظة",1,0)</f>
        <v>0</v>
      </c>
      <c r="P279">
        <f>IF(Table1[[#This Row],[وسيلة الدفع]]="تحويل",1,0)</f>
        <v>0</v>
      </c>
      <c r="Q279">
        <f>IF(Table1[[#This Row],[حضر التهيئة]]="نعم",1,0)</f>
        <v>1</v>
      </c>
      <c r="R279">
        <f>IF(Table1[[#This Row],[دورة الفوترة]]="شهري",1,0)</f>
        <v>1</v>
      </c>
    </row>
    <row r="280" spans="1:18" x14ac:dyDescent="0.25">
      <c r="A280" t="s">
        <v>300</v>
      </c>
      <c r="B280" s="1">
        <v>45842</v>
      </c>
      <c r="C280" t="s">
        <v>13</v>
      </c>
      <c r="D280">
        <v>89</v>
      </c>
      <c r="E280" t="s">
        <v>20</v>
      </c>
      <c r="F280">
        <v>8</v>
      </c>
      <c r="G280" t="s">
        <v>23</v>
      </c>
      <c r="H280">
        <v>0</v>
      </c>
      <c r="I280">
        <v>10</v>
      </c>
      <c r="J280">
        <v>15</v>
      </c>
      <c r="K280" t="s">
        <v>16</v>
      </c>
      <c r="L280" t="s">
        <v>17</v>
      </c>
      <c r="M280">
        <f>IF(Table1[[#This Row],[ألغى الاشتراك]]="نعم",1,0)</f>
        <v>0</v>
      </c>
      <c r="N280">
        <f>IF(Table1[[#This Row],[وسيلة الدفع]]="بطاقة",1,0)</f>
        <v>0</v>
      </c>
      <c r="O280">
        <f>IF(Table1[[#This Row],[وسيلة الدفع]]="محفظة",1,0)</f>
        <v>0</v>
      </c>
      <c r="P280">
        <f>IF(Table1[[#This Row],[وسيلة الدفع]]="تحويل",1,0)</f>
        <v>1</v>
      </c>
      <c r="Q280">
        <f>IF(Table1[[#This Row],[حضر التهيئة]]="نعم",1,0)</f>
        <v>1</v>
      </c>
      <c r="R280">
        <f>IF(Table1[[#This Row],[دورة الفوترة]]="شهري",1,0)</f>
        <v>0</v>
      </c>
    </row>
    <row r="281" spans="1:18" x14ac:dyDescent="0.25">
      <c r="A281" t="s">
        <v>301</v>
      </c>
      <c r="B281" s="1">
        <v>45651</v>
      </c>
      <c r="C281" t="s">
        <v>28</v>
      </c>
      <c r="D281">
        <v>39</v>
      </c>
      <c r="E281" t="s">
        <v>20</v>
      </c>
      <c r="F281">
        <v>30</v>
      </c>
      <c r="G281" t="s">
        <v>15</v>
      </c>
      <c r="H281">
        <v>1</v>
      </c>
      <c r="I281">
        <v>6</v>
      </c>
      <c r="J281">
        <v>0</v>
      </c>
      <c r="K281" t="s">
        <v>16</v>
      </c>
      <c r="L281" t="s">
        <v>17</v>
      </c>
      <c r="M281">
        <f>IF(Table1[[#This Row],[ألغى الاشتراك]]="نعم",1,0)</f>
        <v>0</v>
      </c>
      <c r="N281">
        <f>IF(Table1[[#This Row],[وسيلة الدفع]]="بطاقة",1,0)</f>
        <v>1</v>
      </c>
      <c r="O281">
        <f>IF(Table1[[#This Row],[وسيلة الدفع]]="محفظة",1,0)</f>
        <v>0</v>
      </c>
      <c r="P281">
        <f>IF(Table1[[#This Row],[وسيلة الدفع]]="تحويل",1,0)</f>
        <v>0</v>
      </c>
      <c r="Q281">
        <f>IF(Table1[[#This Row],[حضر التهيئة]]="نعم",1,0)</f>
        <v>1</v>
      </c>
      <c r="R281">
        <f>IF(Table1[[#This Row],[دورة الفوترة]]="شهري",1,0)</f>
        <v>0</v>
      </c>
    </row>
    <row r="282" spans="1:18" x14ac:dyDescent="0.25">
      <c r="A282" t="s">
        <v>302</v>
      </c>
      <c r="B282" s="1">
        <v>45795</v>
      </c>
      <c r="C282" t="s">
        <v>13</v>
      </c>
      <c r="D282">
        <v>89</v>
      </c>
      <c r="E282" t="s">
        <v>20</v>
      </c>
      <c r="F282">
        <v>17</v>
      </c>
      <c r="G282" t="s">
        <v>23</v>
      </c>
      <c r="H282">
        <v>1</v>
      </c>
      <c r="I282">
        <v>53</v>
      </c>
      <c r="J282">
        <v>0</v>
      </c>
      <c r="K282" t="s">
        <v>16</v>
      </c>
      <c r="L282" t="s">
        <v>17</v>
      </c>
      <c r="M282">
        <f>IF(Table1[[#This Row],[ألغى الاشتراك]]="نعم",1,0)</f>
        <v>0</v>
      </c>
      <c r="N282">
        <f>IF(Table1[[#This Row],[وسيلة الدفع]]="بطاقة",1,0)</f>
        <v>0</v>
      </c>
      <c r="O282">
        <f>IF(Table1[[#This Row],[وسيلة الدفع]]="محفظة",1,0)</f>
        <v>0</v>
      </c>
      <c r="P282">
        <f>IF(Table1[[#This Row],[وسيلة الدفع]]="تحويل",1,0)</f>
        <v>1</v>
      </c>
      <c r="Q282">
        <f>IF(Table1[[#This Row],[حضر التهيئة]]="نعم",1,0)</f>
        <v>1</v>
      </c>
      <c r="R282">
        <f>IF(Table1[[#This Row],[دورة الفوترة]]="شهري",1,0)</f>
        <v>0</v>
      </c>
    </row>
    <row r="283" spans="1:18" x14ac:dyDescent="0.25">
      <c r="A283" t="s">
        <v>303</v>
      </c>
      <c r="B283" s="1">
        <v>45588</v>
      </c>
      <c r="C283" t="s">
        <v>13</v>
      </c>
      <c r="D283">
        <v>89</v>
      </c>
      <c r="E283" t="s">
        <v>14</v>
      </c>
      <c r="F283">
        <v>26</v>
      </c>
      <c r="G283" t="s">
        <v>23</v>
      </c>
      <c r="H283">
        <v>0</v>
      </c>
      <c r="I283">
        <v>40</v>
      </c>
      <c r="J283">
        <v>0</v>
      </c>
      <c r="K283" t="s">
        <v>17</v>
      </c>
      <c r="L283" t="s">
        <v>17</v>
      </c>
      <c r="M283">
        <f>IF(Table1[[#This Row],[ألغى الاشتراك]]="نعم",1,0)</f>
        <v>0</v>
      </c>
      <c r="N283">
        <f>IF(Table1[[#This Row],[وسيلة الدفع]]="بطاقة",1,0)</f>
        <v>0</v>
      </c>
      <c r="O283">
        <f>IF(Table1[[#This Row],[وسيلة الدفع]]="محفظة",1,0)</f>
        <v>0</v>
      </c>
      <c r="P283">
        <f>IF(Table1[[#This Row],[وسيلة الدفع]]="تحويل",1,0)</f>
        <v>1</v>
      </c>
      <c r="Q283">
        <f>IF(Table1[[#This Row],[حضر التهيئة]]="نعم",1,0)</f>
        <v>0</v>
      </c>
      <c r="R283">
        <f>IF(Table1[[#This Row],[دورة الفوترة]]="شهري",1,0)</f>
        <v>1</v>
      </c>
    </row>
    <row r="284" spans="1:18" x14ac:dyDescent="0.25">
      <c r="A284" t="s">
        <v>304</v>
      </c>
      <c r="B284" s="1">
        <v>45736</v>
      </c>
      <c r="C284" t="s">
        <v>28</v>
      </c>
      <c r="D284">
        <v>39</v>
      </c>
      <c r="E284" t="s">
        <v>14</v>
      </c>
      <c r="F284">
        <v>29</v>
      </c>
      <c r="G284" t="s">
        <v>23</v>
      </c>
      <c r="H284">
        <v>3</v>
      </c>
      <c r="I284">
        <v>49</v>
      </c>
      <c r="J284">
        <v>0</v>
      </c>
      <c r="K284" t="s">
        <v>17</v>
      </c>
      <c r="L284" t="s">
        <v>17</v>
      </c>
      <c r="M284">
        <f>IF(Table1[[#This Row],[ألغى الاشتراك]]="نعم",1,0)</f>
        <v>0</v>
      </c>
      <c r="N284">
        <f>IF(Table1[[#This Row],[وسيلة الدفع]]="بطاقة",1,0)</f>
        <v>0</v>
      </c>
      <c r="O284">
        <f>IF(Table1[[#This Row],[وسيلة الدفع]]="محفظة",1,0)</f>
        <v>0</v>
      </c>
      <c r="P284">
        <f>IF(Table1[[#This Row],[وسيلة الدفع]]="تحويل",1,0)</f>
        <v>1</v>
      </c>
      <c r="Q284">
        <f>IF(Table1[[#This Row],[حضر التهيئة]]="نعم",1,0)</f>
        <v>0</v>
      </c>
      <c r="R284">
        <f>IF(Table1[[#This Row],[دورة الفوترة]]="شهري",1,0)</f>
        <v>1</v>
      </c>
    </row>
    <row r="285" spans="1:18" x14ac:dyDescent="0.25">
      <c r="A285" t="s">
        <v>305</v>
      </c>
      <c r="B285" s="1">
        <v>45407</v>
      </c>
      <c r="C285" t="s">
        <v>19</v>
      </c>
      <c r="D285">
        <v>189</v>
      </c>
      <c r="E285" t="s">
        <v>14</v>
      </c>
      <c r="F285">
        <v>8</v>
      </c>
      <c r="G285" t="s">
        <v>23</v>
      </c>
      <c r="H285">
        <v>6</v>
      </c>
      <c r="I285">
        <v>40</v>
      </c>
      <c r="J285">
        <v>0</v>
      </c>
      <c r="K285" t="s">
        <v>17</v>
      </c>
      <c r="L285" t="s">
        <v>17</v>
      </c>
      <c r="M285">
        <f>IF(Table1[[#This Row],[ألغى الاشتراك]]="نعم",1,0)</f>
        <v>0</v>
      </c>
      <c r="N285">
        <f>IF(Table1[[#This Row],[وسيلة الدفع]]="بطاقة",1,0)</f>
        <v>0</v>
      </c>
      <c r="O285">
        <f>IF(Table1[[#This Row],[وسيلة الدفع]]="محفظة",1,0)</f>
        <v>0</v>
      </c>
      <c r="P285">
        <f>IF(Table1[[#This Row],[وسيلة الدفع]]="تحويل",1,0)</f>
        <v>1</v>
      </c>
      <c r="Q285">
        <f>IF(Table1[[#This Row],[حضر التهيئة]]="نعم",1,0)</f>
        <v>0</v>
      </c>
      <c r="R285">
        <f>IF(Table1[[#This Row],[دورة الفوترة]]="شهري",1,0)</f>
        <v>1</v>
      </c>
    </row>
    <row r="286" spans="1:18" x14ac:dyDescent="0.25">
      <c r="A286" t="s">
        <v>306</v>
      </c>
      <c r="B286" s="1">
        <v>45906</v>
      </c>
      <c r="C286" t="s">
        <v>13</v>
      </c>
      <c r="D286">
        <v>89</v>
      </c>
      <c r="E286" t="s">
        <v>14</v>
      </c>
      <c r="F286">
        <v>19</v>
      </c>
      <c r="G286" t="s">
        <v>15</v>
      </c>
      <c r="H286">
        <v>10</v>
      </c>
      <c r="I286">
        <v>3</v>
      </c>
      <c r="J286">
        <v>0</v>
      </c>
      <c r="K286" t="s">
        <v>16</v>
      </c>
      <c r="L286" t="s">
        <v>17</v>
      </c>
      <c r="M286">
        <f>IF(Table1[[#This Row],[ألغى الاشتراك]]="نعم",1,0)</f>
        <v>0</v>
      </c>
      <c r="N286">
        <f>IF(Table1[[#This Row],[وسيلة الدفع]]="بطاقة",1,0)</f>
        <v>1</v>
      </c>
      <c r="O286">
        <f>IF(Table1[[#This Row],[وسيلة الدفع]]="محفظة",1,0)</f>
        <v>0</v>
      </c>
      <c r="P286">
        <f>IF(Table1[[#This Row],[وسيلة الدفع]]="تحويل",1,0)</f>
        <v>0</v>
      </c>
      <c r="Q286">
        <f>IF(Table1[[#This Row],[حضر التهيئة]]="نعم",1,0)</f>
        <v>1</v>
      </c>
      <c r="R286">
        <f>IF(Table1[[#This Row],[دورة الفوترة]]="شهري",1,0)</f>
        <v>1</v>
      </c>
    </row>
    <row r="287" spans="1:18" x14ac:dyDescent="0.25">
      <c r="A287" t="s">
        <v>307</v>
      </c>
      <c r="B287" s="1">
        <v>45325</v>
      </c>
      <c r="C287" t="s">
        <v>19</v>
      </c>
      <c r="D287">
        <v>189</v>
      </c>
      <c r="E287" t="s">
        <v>14</v>
      </c>
      <c r="F287">
        <v>16</v>
      </c>
      <c r="G287" t="s">
        <v>23</v>
      </c>
      <c r="H287">
        <v>3</v>
      </c>
      <c r="I287">
        <v>32</v>
      </c>
      <c r="J287">
        <v>0</v>
      </c>
      <c r="K287" t="s">
        <v>17</v>
      </c>
      <c r="L287" t="s">
        <v>17</v>
      </c>
      <c r="M287">
        <f>IF(Table1[[#This Row],[ألغى الاشتراك]]="نعم",1,0)</f>
        <v>0</v>
      </c>
      <c r="N287">
        <f>IF(Table1[[#This Row],[وسيلة الدفع]]="بطاقة",1,0)</f>
        <v>0</v>
      </c>
      <c r="O287">
        <f>IF(Table1[[#This Row],[وسيلة الدفع]]="محفظة",1,0)</f>
        <v>0</v>
      </c>
      <c r="P287">
        <f>IF(Table1[[#This Row],[وسيلة الدفع]]="تحويل",1,0)</f>
        <v>1</v>
      </c>
      <c r="Q287">
        <f>IF(Table1[[#This Row],[حضر التهيئة]]="نعم",1,0)</f>
        <v>0</v>
      </c>
      <c r="R287">
        <f>IF(Table1[[#This Row],[دورة الفوترة]]="شهري",1,0)</f>
        <v>1</v>
      </c>
    </row>
    <row r="288" spans="1:18" x14ac:dyDescent="0.25">
      <c r="A288" t="s">
        <v>308</v>
      </c>
      <c r="B288" s="1">
        <v>45724</v>
      </c>
      <c r="C288" t="s">
        <v>13</v>
      </c>
      <c r="D288">
        <v>89</v>
      </c>
      <c r="E288" t="s">
        <v>14</v>
      </c>
      <c r="F288">
        <v>23</v>
      </c>
      <c r="G288" t="s">
        <v>23</v>
      </c>
      <c r="H288">
        <v>3</v>
      </c>
      <c r="I288">
        <v>5</v>
      </c>
      <c r="J288">
        <v>0</v>
      </c>
      <c r="K288" t="s">
        <v>17</v>
      </c>
      <c r="L288" t="s">
        <v>17</v>
      </c>
      <c r="M288">
        <f>IF(Table1[[#This Row],[ألغى الاشتراك]]="نعم",1,0)</f>
        <v>0</v>
      </c>
      <c r="N288">
        <f>IF(Table1[[#This Row],[وسيلة الدفع]]="بطاقة",1,0)</f>
        <v>0</v>
      </c>
      <c r="O288">
        <f>IF(Table1[[#This Row],[وسيلة الدفع]]="محفظة",1,0)</f>
        <v>0</v>
      </c>
      <c r="P288">
        <f>IF(Table1[[#This Row],[وسيلة الدفع]]="تحويل",1,0)</f>
        <v>1</v>
      </c>
      <c r="Q288">
        <f>IF(Table1[[#This Row],[حضر التهيئة]]="نعم",1,0)</f>
        <v>0</v>
      </c>
      <c r="R288">
        <f>IF(Table1[[#This Row],[دورة الفوترة]]="شهري",1,0)</f>
        <v>1</v>
      </c>
    </row>
    <row r="289" spans="1:18" x14ac:dyDescent="0.25">
      <c r="A289" t="s">
        <v>309</v>
      </c>
      <c r="B289" s="1">
        <v>45399</v>
      </c>
      <c r="C289" t="s">
        <v>19</v>
      </c>
      <c r="D289">
        <v>189</v>
      </c>
      <c r="E289" t="s">
        <v>14</v>
      </c>
      <c r="F289">
        <v>22</v>
      </c>
      <c r="G289" t="s">
        <v>23</v>
      </c>
      <c r="H289">
        <v>2</v>
      </c>
      <c r="I289">
        <v>20</v>
      </c>
      <c r="J289">
        <v>0</v>
      </c>
      <c r="K289" t="s">
        <v>16</v>
      </c>
      <c r="L289" t="s">
        <v>17</v>
      </c>
      <c r="M289">
        <f>IF(Table1[[#This Row],[ألغى الاشتراك]]="نعم",1,0)</f>
        <v>0</v>
      </c>
      <c r="N289">
        <f>IF(Table1[[#This Row],[وسيلة الدفع]]="بطاقة",1,0)</f>
        <v>0</v>
      </c>
      <c r="O289">
        <f>IF(Table1[[#This Row],[وسيلة الدفع]]="محفظة",1,0)</f>
        <v>0</v>
      </c>
      <c r="P289">
        <f>IF(Table1[[#This Row],[وسيلة الدفع]]="تحويل",1,0)</f>
        <v>1</v>
      </c>
      <c r="Q289">
        <f>IF(Table1[[#This Row],[حضر التهيئة]]="نعم",1,0)</f>
        <v>1</v>
      </c>
      <c r="R289">
        <f>IF(Table1[[#This Row],[دورة الفوترة]]="شهري",1,0)</f>
        <v>1</v>
      </c>
    </row>
    <row r="290" spans="1:18" x14ac:dyDescent="0.25">
      <c r="A290" t="s">
        <v>310</v>
      </c>
      <c r="B290" s="1">
        <v>45918</v>
      </c>
      <c r="C290" t="s">
        <v>13</v>
      </c>
      <c r="D290">
        <v>89</v>
      </c>
      <c r="E290" t="s">
        <v>14</v>
      </c>
      <c r="F290">
        <v>23</v>
      </c>
      <c r="G290" t="s">
        <v>15</v>
      </c>
      <c r="H290">
        <v>2</v>
      </c>
      <c r="I290">
        <v>7</v>
      </c>
      <c r="J290">
        <v>0</v>
      </c>
      <c r="K290" t="s">
        <v>17</v>
      </c>
      <c r="L290" t="s">
        <v>17</v>
      </c>
      <c r="M290">
        <f>IF(Table1[[#This Row],[ألغى الاشتراك]]="نعم",1,0)</f>
        <v>0</v>
      </c>
      <c r="N290">
        <f>IF(Table1[[#This Row],[وسيلة الدفع]]="بطاقة",1,0)</f>
        <v>1</v>
      </c>
      <c r="O290">
        <f>IF(Table1[[#This Row],[وسيلة الدفع]]="محفظة",1,0)</f>
        <v>0</v>
      </c>
      <c r="P290">
        <f>IF(Table1[[#This Row],[وسيلة الدفع]]="تحويل",1,0)</f>
        <v>0</v>
      </c>
      <c r="Q290">
        <f>IF(Table1[[#This Row],[حضر التهيئة]]="نعم",1,0)</f>
        <v>0</v>
      </c>
      <c r="R290">
        <f>IF(Table1[[#This Row],[دورة الفوترة]]="شهري",1,0)</f>
        <v>1</v>
      </c>
    </row>
    <row r="291" spans="1:18" x14ac:dyDescent="0.25">
      <c r="A291" t="s">
        <v>311</v>
      </c>
      <c r="B291" s="1">
        <v>45329</v>
      </c>
      <c r="C291" t="s">
        <v>13</v>
      </c>
      <c r="D291">
        <v>89</v>
      </c>
      <c r="E291" t="s">
        <v>14</v>
      </c>
      <c r="F291">
        <v>28</v>
      </c>
      <c r="G291" t="s">
        <v>23</v>
      </c>
      <c r="H291">
        <v>0</v>
      </c>
      <c r="I291">
        <v>10</v>
      </c>
      <c r="J291">
        <v>0</v>
      </c>
      <c r="K291" t="s">
        <v>17</v>
      </c>
      <c r="L291" t="s">
        <v>16</v>
      </c>
      <c r="M291">
        <f>IF(Table1[[#This Row],[ألغى الاشتراك]]="نعم",1,0)</f>
        <v>1</v>
      </c>
      <c r="N291">
        <f>IF(Table1[[#This Row],[وسيلة الدفع]]="بطاقة",1,0)</f>
        <v>0</v>
      </c>
      <c r="O291">
        <f>IF(Table1[[#This Row],[وسيلة الدفع]]="محفظة",1,0)</f>
        <v>0</v>
      </c>
      <c r="P291">
        <f>IF(Table1[[#This Row],[وسيلة الدفع]]="تحويل",1,0)</f>
        <v>1</v>
      </c>
      <c r="Q291">
        <f>IF(Table1[[#This Row],[حضر التهيئة]]="نعم",1,0)</f>
        <v>0</v>
      </c>
      <c r="R291">
        <f>IF(Table1[[#This Row],[دورة الفوترة]]="شهري",1,0)</f>
        <v>1</v>
      </c>
    </row>
    <row r="292" spans="1:18" x14ac:dyDescent="0.25">
      <c r="A292" t="s">
        <v>312</v>
      </c>
      <c r="B292" s="1">
        <v>45736</v>
      </c>
      <c r="C292" t="s">
        <v>28</v>
      </c>
      <c r="D292">
        <v>39</v>
      </c>
      <c r="E292" t="s">
        <v>20</v>
      </c>
      <c r="F292">
        <v>13</v>
      </c>
      <c r="G292" t="s">
        <v>15</v>
      </c>
      <c r="H292">
        <v>10</v>
      </c>
      <c r="I292">
        <v>45</v>
      </c>
      <c r="J292">
        <v>0</v>
      </c>
      <c r="K292" t="s">
        <v>17</v>
      </c>
      <c r="L292" t="s">
        <v>17</v>
      </c>
      <c r="M292">
        <f>IF(Table1[[#This Row],[ألغى الاشتراك]]="نعم",1,0)</f>
        <v>0</v>
      </c>
      <c r="N292">
        <f>IF(Table1[[#This Row],[وسيلة الدفع]]="بطاقة",1,0)</f>
        <v>1</v>
      </c>
      <c r="O292">
        <f>IF(Table1[[#This Row],[وسيلة الدفع]]="محفظة",1,0)</f>
        <v>0</v>
      </c>
      <c r="P292">
        <f>IF(Table1[[#This Row],[وسيلة الدفع]]="تحويل",1,0)</f>
        <v>0</v>
      </c>
      <c r="Q292">
        <f>IF(Table1[[#This Row],[حضر التهيئة]]="نعم",1,0)</f>
        <v>0</v>
      </c>
      <c r="R292">
        <f>IF(Table1[[#This Row],[دورة الفوترة]]="شهري",1,0)</f>
        <v>0</v>
      </c>
    </row>
    <row r="293" spans="1:18" x14ac:dyDescent="0.25">
      <c r="A293" t="s">
        <v>313</v>
      </c>
      <c r="B293" s="1">
        <v>45513</v>
      </c>
      <c r="C293" t="s">
        <v>19</v>
      </c>
      <c r="D293">
        <v>189</v>
      </c>
      <c r="E293" t="s">
        <v>20</v>
      </c>
      <c r="F293">
        <v>22</v>
      </c>
      <c r="G293" t="s">
        <v>15</v>
      </c>
      <c r="H293">
        <v>0</v>
      </c>
      <c r="I293">
        <v>38</v>
      </c>
      <c r="J293">
        <v>0</v>
      </c>
      <c r="K293" t="s">
        <v>16</v>
      </c>
      <c r="L293" t="s">
        <v>17</v>
      </c>
      <c r="M293">
        <f>IF(Table1[[#This Row],[ألغى الاشتراك]]="نعم",1,0)</f>
        <v>0</v>
      </c>
      <c r="N293">
        <f>IF(Table1[[#This Row],[وسيلة الدفع]]="بطاقة",1,0)</f>
        <v>1</v>
      </c>
      <c r="O293">
        <f>IF(Table1[[#This Row],[وسيلة الدفع]]="محفظة",1,0)</f>
        <v>0</v>
      </c>
      <c r="P293">
        <f>IF(Table1[[#This Row],[وسيلة الدفع]]="تحويل",1,0)</f>
        <v>0</v>
      </c>
      <c r="Q293">
        <f>IF(Table1[[#This Row],[حضر التهيئة]]="نعم",1,0)</f>
        <v>1</v>
      </c>
      <c r="R293">
        <f>IF(Table1[[#This Row],[دورة الفوترة]]="شهري",1,0)</f>
        <v>0</v>
      </c>
    </row>
    <row r="294" spans="1:18" x14ac:dyDescent="0.25">
      <c r="A294" t="s">
        <v>314</v>
      </c>
      <c r="B294" s="1">
        <v>45592</v>
      </c>
      <c r="C294" t="s">
        <v>19</v>
      </c>
      <c r="D294">
        <v>189</v>
      </c>
      <c r="E294" t="s">
        <v>14</v>
      </c>
      <c r="F294">
        <v>29</v>
      </c>
      <c r="G294" t="s">
        <v>21</v>
      </c>
      <c r="H294">
        <v>2</v>
      </c>
      <c r="I294">
        <v>41</v>
      </c>
      <c r="J294">
        <v>10</v>
      </c>
      <c r="K294" t="s">
        <v>16</v>
      </c>
      <c r="L294" t="s">
        <v>17</v>
      </c>
      <c r="M294">
        <f>IF(Table1[[#This Row],[ألغى الاشتراك]]="نعم",1,0)</f>
        <v>0</v>
      </c>
      <c r="N294">
        <f>IF(Table1[[#This Row],[وسيلة الدفع]]="بطاقة",1,0)</f>
        <v>0</v>
      </c>
      <c r="O294">
        <f>IF(Table1[[#This Row],[وسيلة الدفع]]="محفظة",1,0)</f>
        <v>1</v>
      </c>
      <c r="P294">
        <f>IF(Table1[[#This Row],[وسيلة الدفع]]="تحويل",1,0)</f>
        <v>0</v>
      </c>
      <c r="Q294">
        <f>IF(Table1[[#This Row],[حضر التهيئة]]="نعم",1,0)</f>
        <v>1</v>
      </c>
      <c r="R294">
        <f>IF(Table1[[#This Row],[دورة الفوترة]]="شهري",1,0)</f>
        <v>1</v>
      </c>
    </row>
    <row r="295" spans="1:18" x14ac:dyDescent="0.25">
      <c r="A295" t="s">
        <v>315</v>
      </c>
      <c r="B295" s="1">
        <v>45744</v>
      </c>
      <c r="C295" t="s">
        <v>28</v>
      </c>
      <c r="D295">
        <v>39</v>
      </c>
      <c r="E295" t="s">
        <v>14</v>
      </c>
      <c r="F295">
        <v>11</v>
      </c>
      <c r="G295" t="s">
        <v>23</v>
      </c>
      <c r="H295">
        <v>8</v>
      </c>
      <c r="I295">
        <v>9</v>
      </c>
      <c r="J295">
        <v>0</v>
      </c>
      <c r="K295" t="s">
        <v>17</v>
      </c>
      <c r="L295" t="s">
        <v>16</v>
      </c>
      <c r="M295">
        <f>IF(Table1[[#This Row],[ألغى الاشتراك]]="نعم",1,0)</f>
        <v>1</v>
      </c>
      <c r="N295">
        <f>IF(Table1[[#This Row],[وسيلة الدفع]]="بطاقة",1,0)</f>
        <v>0</v>
      </c>
      <c r="O295">
        <f>IF(Table1[[#This Row],[وسيلة الدفع]]="محفظة",1,0)</f>
        <v>0</v>
      </c>
      <c r="P295">
        <f>IF(Table1[[#This Row],[وسيلة الدفع]]="تحويل",1,0)</f>
        <v>1</v>
      </c>
      <c r="Q295">
        <f>IF(Table1[[#This Row],[حضر التهيئة]]="نعم",1,0)</f>
        <v>0</v>
      </c>
      <c r="R295">
        <f>IF(Table1[[#This Row],[دورة الفوترة]]="شهري",1,0)</f>
        <v>1</v>
      </c>
    </row>
    <row r="296" spans="1:18" x14ac:dyDescent="0.25">
      <c r="A296" t="s">
        <v>316</v>
      </c>
      <c r="B296" s="1">
        <v>45627</v>
      </c>
      <c r="C296" t="s">
        <v>13</v>
      </c>
      <c r="D296">
        <v>89</v>
      </c>
      <c r="E296" t="s">
        <v>14</v>
      </c>
      <c r="F296">
        <v>30</v>
      </c>
      <c r="G296" t="s">
        <v>23</v>
      </c>
      <c r="H296">
        <v>2</v>
      </c>
      <c r="I296">
        <v>54</v>
      </c>
      <c r="J296">
        <v>0</v>
      </c>
      <c r="K296" t="s">
        <v>16</v>
      </c>
      <c r="L296" t="s">
        <v>16</v>
      </c>
      <c r="M296">
        <f>IF(Table1[[#This Row],[ألغى الاشتراك]]="نعم",1,0)</f>
        <v>1</v>
      </c>
      <c r="N296">
        <f>IF(Table1[[#This Row],[وسيلة الدفع]]="بطاقة",1,0)</f>
        <v>0</v>
      </c>
      <c r="O296">
        <f>IF(Table1[[#This Row],[وسيلة الدفع]]="محفظة",1,0)</f>
        <v>0</v>
      </c>
      <c r="P296">
        <f>IF(Table1[[#This Row],[وسيلة الدفع]]="تحويل",1,0)</f>
        <v>1</v>
      </c>
      <c r="Q296">
        <f>IF(Table1[[#This Row],[حضر التهيئة]]="نعم",1,0)</f>
        <v>1</v>
      </c>
      <c r="R296">
        <f>IF(Table1[[#This Row],[دورة الفوترة]]="شهري",1,0)</f>
        <v>1</v>
      </c>
    </row>
    <row r="297" spans="1:18" x14ac:dyDescent="0.25">
      <c r="A297" t="s">
        <v>317</v>
      </c>
      <c r="B297" s="1">
        <v>45791</v>
      </c>
      <c r="C297" t="s">
        <v>19</v>
      </c>
      <c r="D297">
        <v>189</v>
      </c>
      <c r="E297" t="s">
        <v>20</v>
      </c>
      <c r="F297">
        <v>19</v>
      </c>
      <c r="G297" t="s">
        <v>21</v>
      </c>
      <c r="H297">
        <v>0</v>
      </c>
      <c r="I297">
        <v>31</v>
      </c>
      <c r="J297">
        <v>0</v>
      </c>
      <c r="K297" t="s">
        <v>17</v>
      </c>
      <c r="L297" t="s">
        <v>17</v>
      </c>
      <c r="M297">
        <f>IF(Table1[[#This Row],[ألغى الاشتراك]]="نعم",1,0)</f>
        <v>0</v>
      </c>
      <c r="N297">
        <f>IF(Table1[[#This Row],[وسيلة الدفع]]="بطاقة",1,0)</f>
        <v>0</v>
      </c>
      <c r="O297">
        <f>IF(Table1[[#This Row],[وسيلة الدفع]]="محفظة",1,0)</f>
        <v>1</v>
      </c>
      <c r="P297">
        <f>IF(Table1[[#This Row],[وسيلة الدفع]]="تحويل",1,0)</f>
        <v>0</v>
      </c>
      <c r="Q297">
        <f>IF(Table1[[#This Row],[حضر التهيئة]]="نعم",1,0)</f>
        <v>0</v>
      </c>
      <c r="R297">
        <f>IF(Table1[[#This Row],[دورة الفوترة]]="شهري",1,0)</f>
        <v>0</v>
      </c>
    </row>
    <row r="298" spans="1:18" x14ac:dyDescent="0.25">
      <c r="A298" t="s">
        <v>318</v>
      </c>
      <c r="B298" s="1">
        <v>45470</v>
      </c>
      <c r="C298" t="s">
        <v>13</v>
      </c>
      <c r="D298">
        <v>89</v>
      </c>
      <c r="E298" t="s">
        <v>14</v>
      </c>
      <c r="F298">
        <v>18</v>
      </c>
      <c r="G298" t="s">
        <v>15</v>
      </c>
      <c r="H298">
        <v>6</v>
      </c>
      <c r="I298">
        <v>52</v>
      </c>
      <c r="J298">
        <v>0</v>
      </c>
      <c r="K298" t="s">
        <v>16</v>
      </c>
      <c r="L298" t="s">
        <v>17</v>
      </c>
      <c r="M298">
        <f>IF(Table1[[#This Row],[ألغى الاشتراك]]="نعم",1,0)</f>
        <v>0</v>
      </c>
      <c r="N298">
        <f>IF(Table1[[#This Row],[وسيلة الدفع]]="بطاقة",1,0)</f>
        <v>1</v>
      </c>
      <c r="O298">
        <f>IF(Table1[[#This Row],[وسيلة الدفع]]="محفظة",1,0)</f>
        <v>0</v>
      </c>
      <c r="P298">
        <f>IF(Table1[[#This Row],[وسيلة الدفع]]="تحويل",1,0)</f>
        <v>0</v>
      </c>
      <c r="Q298">
        <f>IF(Table1[[#This Row],[حضر التهيئة]]="نعم",1,0)</f>
        <v>1</v>
      </c>
      <c r="R298">
        <f>IF(Table1[[#This Row],[دورة الفوترة]]="شهري",1,0)</f>
        <v>1</v>
      </c>
    </row>
    <row r="299" spans="1:18" x14ac:dyDescent="0.25">
      <c r="A299" t="s">
        <v>319</v>
      </c>
      <c r="B299" s="1">
        <v>45395</v>
      </c>
      <c r="C299" t="s">
        <v>19</v>
      </c>
      <c r="D299">
        <v>189</v>
      </c>
      <c r="E299" t="s">
        <v>20</v>
      </c>
      <c r="F299">
        <v>1</v>
      </c>
      <c r="G299" t="s">
        <v>23</v>
      </c>
      <c r="H299">
        <v>7</v>
      </c>
      <c r="I299">
        <v>17</v>
      </c>
      <c r="J299">
        <v>25</v>
      </c>
      <c r="K299" t="s">
        <v>16</v>
      </c>
      <c r="L299" t="s">
        <v>17</v>
      </c>
      <c r="M299">
        <f>IF(Table1[[#This Row],[ألغى الاشتراك]]="نعم",1,0)</f>
        <v>0</v>
      </c>
      <c r="N299">
        <f>IF(Table1[[#This Row],[وسيلة الدفع]]="بطاقة",1,0)</f>
        <v>0</v>
      </c>
      <c r="O299">
        <f>IF(Table1[[#This Row],[وسيلة الدفع]]="محفظة",1,0)</f>
        <v>0</v>
      </c>
      <c r="P299">
        <f>IF(Table1[[#This Row],[وسيلة الدفع]]="تحويل",1,0)</f>
        <v>1</v>
      </c>
      <c r="Q299">
        <f>IF(Table1[[#This Row],[حضر التهيئة]]="نعم",1,0)</f>
        <v>1</v>
      </c>
      <c r="R299">
        <f>IF(Table1[[#This Row],[دورة الفوترة]]="شهري",1,0)</f>
        <v>0</v>
      </c>
    </row>
    <row r="300" spans="1:18" x14ac:dyDescent="0.25">
      <c r="A300" t="s">
        <v>320</v>
      </c>
      <c r="B300" s="1">
        <v>45918</v>
      </c>
      <c r="C300" t="s">
        <v>19</v>
      </c>
      <c r="D300">
        <v>189</v>
      </c>
      <c r="E300" t="s">
        <v>14</v>
      </c>
      <c r="F300">
        <v>3</v>
      </c>
      <c r="G300" t="s">
        <v>21</v>
      </c>
      <c r="H300">
        <v>2</v>
      </c>
      <c r="I300">
        <v>37</v>
      </c>
      <c r="J300">
        <v>0</v>
      </c>
      <c r="K300" t="s">
        <v>17</v>
      </c>
      <c r="L300" t="s">
        <v>17</v>
      </c>
      <c r="M300">
        <f>IF(Table1[[#This Row],[ألغى الاشتراك]]="نعم",1,0)</f>
        <v>0</v>
      </c>
      <c r="N300">
        <f>IF(Table1[[#This Row],[وسيلة الدفع]]="بطاقة",1,0)</f>
        <v>0</v>
      </c>
      <c r="O300">
        <f>IF(Table1[[#This Row],[وسيلة الدفع]]="محفظة",1,0)</f>
        <v>1</v>
      </c>
      <c r="P300">
        <f>IF(Table1[[#This Row],[وسيلة الدفع]]="تحويل",1,0)</f>
        <v>0</v>
      </c>
      <c r="Q300">
        <f>IF(Table1[[#This Row],[حضر التهيئة]]="نعم",1,0)</f>
        <v>0</v>
      </c>
      <c r="R300">
        <f>IF(Table1[[#This Row],[دورة الفوترة]]="شهري",1,0)</f>
        <v>1</v>
      </c>
    </row>
    <row r="301" spans="1:18" x14ac:dyDescent="0.25">
      <c r="A301" t="s">
        <v>321</v>
      </c>
      <c r="B301" s="1">
        <v>45858</v>
      </c>
      <c r="C301" t="s">
        <v>19</v>
      </c>
      <c r="D301">
        <v>189</v>
      </c>
      <c r="E301" t="s">
        <v>20</v>
      </c>
      <c r="F301">
        <v>20</v>
      </c>
      <c r="G301" t="s">
        <v>15</v>
      </c>
      <c r="H301">
        <v>2</v>
      </c>
      <c r="I301">
        <v>2</v>
      </c>
      <c r="J301">
        <v>15</v>
      </c>
      <c r="K301" t="s">
        <v>17</v>
      </c>
      <c r="L301" t="s">
        <v>17</v>
      </c>
      <c r="M301">
        <f>IF(Table1[[#This Row],[ألغى الاشتراك]]="نعم",1,0)</f>
        <v>0</v>
      </c>
      <c r="N301">
        <f>IF(Table1[[#This Row],[وسيلة الدفع]]="بطاقة",1,0)</f>
        <v>1</v>
      </c>
      <c r="O301">
        <f>IF(Table1[[#This Row],[وسيلة الدفع]]="محفظة",1,0)</f>
        <v>0</v>
      </c>
      <c r="P301">
        <f>IF(Table1[[#This Row],[وسيلة الدفع]]="تحويل",1,0)</f>
        <v>0</v>
      </c>
      <c r="Q301">
        <f>IF(Table1[[#This Row],[حضر التهيئة]]="نعم",1,0)</f>
        <v>0</v>
      </c>
      <c r="R301">
        <f>IF(Table1[[#This Row],[دورة الفوترة]]="شهري",1,0)</f>
        <v>0</v>
      </c>
    </row>
    <row r="302" spans="1:18" x14ac:dyDescent="0.25">
      <c r="A302" t="s">
        <v>322</v>
      </c>
      <c r="B302" s="1">
        <v>45399</v>
      </c>
      <c r="C302" t="s">
        <v>28</v>
      </c>
      <c r="D302">
        <v>39</v>
      </c>
      <c r="E302" t="s">
        <v>20</v>
      </c>
      <c r="F302">
        <v>24</v>
      </c>
      <c r="G302" t="s">
        <v>15</v>
      </c>
      <c r="H302">
        <v>7</v>
      </c>
      <c r="I302">
        <v>6</v>
      </c>
      <c r="J302">
        <v>0</v>
      </c>
      <c r="K302" t="s">
        <v>16</v>
      </c>
      <c r="L302" t="s">
        <v>17</v>
      </c>
      <c r="M302">
        <f>IF(Table1[[#This Row],[ألغى الاشتراك]]="نعم",1,0)</f>
        <v>0</v>
      </c>
      <c r="N302">
        <f>IF(Table1[[#This Row],[وسيلة الدفع]]="بطاقة",1,0)</f>
        <v>1</v>
      </c>
      <c r="O302">
        <f>IF(Table1[[#This Row],[وسيلة الدفع]]="محفظة",1,0)</f>
        <v>0</v>
      </c>
      <c r="P302">
        <f>IF(Table1[[#This Row],[وسيلة الدفع]]="تحويل",1,0)</f>
        <v>0</v>
      </c>
      <c r="Q302">
        <f>IF(Table1[[#This Row],[حضر التهيئة]]="نعم",1,0)</f>
        <v>1</v>
      </c>
      <c r="R302">
        <f>IF(Table1[[#This Row],[دورة الفوترة]]="شهري",1,0)</f>
        <v>0</v>
      </c>
    </row>
    <row r="303" spans="1:18" x14ac:dyDescent="0.25">
      <c r="A303" t="s">
        <v>323</v>
      </c>
      <c r="B303" s="1">
        <v>45667</v>
      </c>
      <c r="C303" t="s">
        <v>19</v>
      </c>
      <c r="D303">
        <v>189</v>
      </c>
      <c r="E303" t="s">
        <v>20</v>
      </c>
      <c r="F303">
        <v>25</v>
      </c>
      <c r="G303" t="s">
        <v>23</v>
      </c>
      <c r="H303">
        <v>1</v>
      </c>
      <c r="I303">
        <v>23</v>
      </c>
      <c r="J303">
        <v>0</v>
      </c>
      <c r="K303" t="s">
        <v>16</v>
      </c>
      <c r="L303" t="s">
        <v>17</v>
      </c>
      <c r="M303">
        <f>IF(Table1[[#This Row],[ألغى الاشتراك]]="نعم",1,0)</f>
        <v>0</v>
      </c>
      <c r="N303">
        <f>IF(Table1[[#This Row],[وسيلة الدفع]]="بطاقة",1,0)</f>
        <v>0</v>
      </c>
      <c r="O303">
        <f>IF(Table1[[#This Row],[وسيلة الدفع]]="محفظة",1,0)</f>
        <v>0</v>
      </c>
      <c r="P303">
        <f>IF(Table1[[#This Row],[وسيلة الدفع]]="تحويل",1,0)</f>
        <v>1</v>
      </c>
      <c r="Q303">
        <f>IF(Table1[[#This Row],[حضر التهيئة]]="نعم",1,0)</f>
        <v>1</v>
      </c>
      <c r="R303">
        <f>IF(Table1[[#This Row],[دورة الفوترة]]="شهري",1,0)</f>
        <v>0</v>
      </c>
    </row>
    <row r="304" spans="1:18" x14ac:dyDescent="0.25">
      <c r="A304" t="s">
        <v>324</v>
      </c>
      <c r="B304" s="1">
        <v>45450</v>
      </c>
      <c r="C304" t="s">
        <v>13</v>
      </c>
      <c r="D304">
        <v>89</v>
      </c>
      <c r="E304" t="s">
        <v>20</v>
      </c>
      <c r="F304">
        <v>14</v>
      </c>
      <c r="G304" t="s">
        <v>15</v>
      </c>
      <c r="H304">
        <v>5</v>
      </c>
      <c r="I304">
        <v>46</v>
      </c>
      <c r="J304">
        <v>0</v>
      </c>
      <c r="K304" t="s">
        <v>16</v>
      </c>
      <c r="L304" t="s">
        <v>17</v>
      </c>
      <c r="M304">
        <f>IF(Table1[[#This Row],[ألغى الاشتراك]]="نعم",1,0)</f>
        <v>0</v>
      </c>
      <c r="N304">
        <f>IF(Table1[[#This Row],[وسيلة الدفع]]="بطاقة",1,0)</f>
        <v>1</v>
      </c>
      <c r="O304">
        <f>IF(Table1[[#This Row],[وسيلة الدفع]]="محفظة",1,0)</f>
        <v>0</v>
      </c>
      <c r="P304">
        <f>IF(Table1[[#This Row],[وسيلة الدفع]]="تحويل",1,0)</f>
        <v>0</v>
      </c>
      <c r="Q304">
        <f>IF(Table1[[#This Row],[حضر التهيئة]]="نعم",1,0)</f>
        <v>1</v>
      </c>
      <c r="R304">
        <f>IF(Table1[[#This Row],[دورة الفوترة]]="شهري",1,0)</f>
        <v>0</v>
      </c>
    </row>
    <row r="305" spans="1:18" x14ac:dyDescent="0.25">
      <c r="A305" t="s">
        <v>325</v>
      </c>
      <c r="B305" s="1">
        <v>45740</v>
      </c>
      <c r="C305" t="s">
        <v>13</v>
      </c>
      <c r="D305">
        <v>89</v>
      </c>
      <c r="E305" t="s">
        <v>14</v>
      </c>
      <c r="F305">
        <v>29</v>
      </c>
      <c r="G305" t="s">
        <v>21</v>
      </c>
      <c r="H305">
        <v>10</v>
      </c>
      <c r="I305">
        <v>21</v>
      </c>
      <c r="J305">
        <v>0</v>
      </c>
      <c r="K305" t="s">
        <v>17</v>
      </c>
      <c r="L305" t="s">
        <v>16</v>
      </c>
      <c r="M305">
        <f>IF(Table1[[#This Row],[ألغى الاشتراك]]="نعم",1,0)</f>
        <v>1</v>
      </c>
      <c r="N305">
        <f>IF(Table1[[#This Row],[وسيلة الدفع]]="بطاقة",1,0)</f>
        <v>0</v>
      </c>
      <c r="O305">
        <f>IF(Table1[[#This Row],[وسيلة الدفع]]="محفظة",1,0)</f>
        <v>1</v>
      </c>
      <c r="P305">
        <f>IF(Table1[[#This Row],[وسيلة الدفع]]="تحويل",1,0)</f>
        <v>0</v>
      </c>
      <c r="Q305">
        <f>IF(Table1[[#This Row],[حضر التهيئة]]="نعم",1,0)</f>
        <v>0</v>
      </c>
      <c r="R305">
        <f>IF(Table1[[#This Row],[دورة الفوترة]]="شهري",1,0)</f>
        <v>1</v>
      </c>
    </row>
    <row r="306" spans="1:18" x14ac:dyDescent="0.25">
      <c r="A306" t="s">
        <v>326</v>
      </c>
      <c r="B306" s="1">
        <v>45627</v>
      </c>
      <c r="C306" t="s">
        <v>19</v>
      </c>
      <c r="D306">
        <v>189</v>
      </c>
      <c r="E306" t="s">
        <v>20</v>
      </c>
      <c r="F306">
        <v>30</v>
      </c>
      <c r="G306" t="s">
        <v>15</v>
      </c>
      <c r="H306">
        <v>1</v>
      </c>
      <c r="I306">
        <v>30</v>
      </c>
      <c r="J306">
        <v>0</v>
      </c>
      <c r="K306" t="s">
        <v>16</v>
      </c>
      <c r="L306" t="s">
        <v>17</v>
      </c>
      <c r="M306">
        <f>IF(Table1[[#This Row],[ألغى الاشتراك]]="نعم",1,0)</f>
        <v>0</v>
      </c>
      <c r="N306">
        <f>IF(Table1[[#This Row],[وسيلة الدفع]]="بطاقة",1,0)</f>
        <v>1</v>
      </c>
      <c r="O306">
        <f>IF(Table1[[#This Row],[وسيلة الدفع]]="محفظة",1,0)</f>
        <v>0</v>
      </c>
      <c r="P306">
        <f>IF(Table1[[#This Row],[وسيلة الدفع]]="تحويل",1,0)</f>
        <v>0</v>
      </c>
      <c r="Q306">
        <f>IF(Table1[[#This Row],[حضر التهيئة]]="نعم",1,0)</f>
        <v>1</v>
      </c>
      <c r="R306">
        <f>IF(Table1[[#This Row],[دورة الفوترة]]="شهري",1,0)</f>
        <v>0</v>
      </c>
    </row>
    <row r="307" spans="1:18" x14ac:dyDescent="0.25">
      <c r="A307" t="s">
        <v>327</v>
      </c>
      <c r="B307" s="1">
        <v>45926</v>
      </c>
      <c r="C307" t="s">
        <v>13</v>
      </c>
      <c r="D307">
        <v>89</v>
      </c>
      <c r="E307" t="s">
        <v>14</v>
      </c>
      <c r="F307">
        <v>17</v>
      </c>
      <c r="G307" t="s">
        <v>21</v>
      </c>
      <c r="H307">
        <v>2</v>
      </c>
      <c r="I307">
        <v>27</v>
      </c>
      <c r="J307">
        <v>0</v>
      </c>
      <c r="K307" t="s">
        <v>16</v>
      </c>
      <c r="L307" t="s">
        <v>17</v>
      </c>
      <c r="M307">
        <f>IF(Table1[[#This Row],[ألغى الاشتراك]]="نعم",1,0)</f>
        <v>0</v>
      </c>
      <c r="N307">
        <f>IF(Table1[[#This Row],[وسيلة الدفع]]="بطاقة",1,0)</f>
        <v>0</v>
      </c>
      <c r="O307">
        <f>IF(Table1[[#This Row],[وسيلة الدفع]]="محفظة",1,0)</f>
        <v>1</v>
      </c>
      <c r="P307">
        <f>IF(Table1[[#This Row],[وسيلة الدفع]]="تحويل",1,0)</f>
        <v>0</v>
      </c>
      <c r="Q307">
        <f>IF(Table1[[#This Row],[حضر التهيئة]]="نعم",1,0)</f>
        <v>1</v>
      </c>
      <c r="R307">
        <f>IF(Table1[[#This Row],[دورة الفوترة]]="شهري",1,0)</f>
        <v>1</v>
      </c>
    </row>
    <row r="308" spans="1:18" x14ac:dyDescent="0.25">
      <c r="A308" t="s">
        <v>328</v>
      </c>
      <c r="B308" s="1">
        <v>45858</v>
      </c>
      <c r="C308" t="s">
        <v>19</v>
      </c>
      <c r="D308">
        <v>189</v>
      </c>
      <c r="E308" t="s">
        <v>14</v>
      </c>
      <c r="F308">
        <v>8</v>
      </c>
      <c r="G308" t="s">
        <v>23</v>
      </c>
      <c r="H308">
        <v>5</v>
      </c>
      <c r="I308">
        <v>38</v>
      </c>
      <c r="J308">
        <v>15</v>
      </c>
      <c r="K308" t="s">
        <v>17</v>
      </c>
      <c r="L308" t="s">
        <v>17</v>
      </c>
      <c r="M308">
        <f>IF(Table1[[#This Row],[ألغى الاشتراك]]="نعم",1,0)</f>
        <v>0</v>
      </c>
      <c r="N308">
        <f>IF(Table1[[#This Row],[وسيلة الدفع]]="بطاقة",1,0)</f>
        <v>0</v>
      </c>
      <c r="O308">
        <f>IF(Table1[[#This Row],[وسيلة الدفع]]="محفظة",1,0)</f>
        <v>0</v>
      </c>
      <c r="P308">
        <f>IF(Table1[[#This Row],[وسيلة الدفع]]="تحويل",1,0)</f>
        <v>1</v>
      </c>
      <c r="Q308">
        <f>IF(Table1[[#This Row],[حضر التهيئة]]="نعم",1,0)</f>
        <v>0</v>
      </c>
      <c r="R308">
        <f>IF(Table1[[#This Row],[دورة الفوترة]]="شهري",1,0)</f>
        <v>1</v>
      </c>
    </row>
    <row r="309" spans="1:18" x14ac:dyDescent="0.25">
      <c r="A309" t="s">
        <v>329</v>
      </c>
      <c r="B309" s="1">
        <v>45509</v>
      </c>
      <c r="C309" t="s">
        <v>13</v>
      </c>
      <c r="D309">
        <v>89</v>
      </c>
      <c r="E309" t="s">
        <v>14</v>
      </c>
      <c r="F309">
        <v>6</v>
      </c>
      <c r="G309" t="s">
        <v>23</v>
      </c>
      <c r="H309">
        <v>0</v>
      </c>
      <c r="I309">
        <v>16</v>
      </c>
      <c r="J309">
        <v>0</v>
      </c>
      <c r="K309" t="s">
        <v>17</v>
      </c>
      <c r="L309" t="s">
        <v>17</v>
      </c>
      <c r="M309">
        <f>IF(Table1[[#This Row],[ألغى الاشتراك]]="نعم",1,0)</f>
        <v>0</v>
      </c>
      <c r="N309">
        <f>IF(Table1[[#This Row],[وسيلة الدفع]]="بطاقة",1,0)</f>
        <v>0</v>
      </c>
      <c r="O309">
        <f>IF(Table1[[#This Row],[وسيلة الدفع]]="محفظة",1,0)</f>
        <v>0</v>
      </c>
      <c r="P309">
        <f>IF(Table1[[#This Row],[وسيلة الدفع]]="تحويل",1,0)</f>
        <v>1</v>
      </c>
      <c r="Q309">
        <f>IF(Table1[[#This Row],[حضر التهيئة]]="نعم",1,0)</f>
        <v>0</v>
      </c>
      <c r="R309">
        <f>IF(Table1[[#This Row],[دورة الفوترة]]="شهري",1,0)</f>
        <v>1</v>
      </c>
    </row>
    <row r="310" spans="1:18" x14ac:dyDescent="0.25">
      <c r="A310" t="s">
        <v>330</v>
      </c>
      <c r="B310" s="1">
        <v>45659</v>
      </c>
      <c r="C310" t="s">
        <v>13</v>
      </c>
      <c r="D310">
        <v>89</v>
      </c>
      <c r="E310" t="s">
        <v>20</v>
      </c>
      <c r="F310">
        <v>9</v>
      </c>
      <c r="G310" t="s">
        <v>15</v>
      </c>
      <c r="H310">
        <v>2</v>
      </c>
      <c r="I310">
        <v>59</v>
      </c>
      <c r="J310">
        <v>0</v>
      </c>
      <c r="K310" t="s">
        <v>16</v>
      </c>
      <c r="L310" t="s">
        <v>17</v>
      </c>
      <c r="M310">
        <f>IF(Table1[[#This Row],[ألغى الاشتراك]]="نعم",1,0)</f>
        <v>0</v>
      </c>
      <c r="N310">
        <f>IF(Table1[[#This Row],[وسيلة الدفع]]="بطاقة",1,0)</f>
        <v>1</v>
      </c>
      <c r="O310">
        <f>IF(Table1[[#This Row],[وسيلة الدفع]]="محفظة",1,0)</f>
        <v>0</v>
      </c>
      <c r="P310">
        <f>IF(Table1[[#This Row],[وسيلة الدفع]]="تحويل",1,0)</f>
        <v>0</v>
      </c>
      <c r="Q310">
        <f>IF(Table1[[#This Row],[حضر التهيئة]]="نعم",1,0)</f>
        <v>1</v>
      </c>
      <c r="R310">
        <f>IF(Table1[[#This Row],[دورة الفوترة]]="شهري",1,0)</f>
        <v>0</v>
      </c>
    </row>
    <row r="311" spans="1:18" x14ac:dyDescent="0.25">
      <c r="A311" t="s">
        <v>331</v>
      </c>
      <c r="B311" s="1">
        <v>45345</v>
      </c>
      <c r="C311" t="s">
        <v>13</v>
      </c>
      <c r="D311">
        <v>89</v>
      </c>
      <c r="E311" t="s">
        <v>20</v>
      </c>
      <c r="F311">
        <v>16</v>
      </c>
      <c r="G311" t="s">
        <v>21</v>
      </c>
      <c r="H311">
        <v>1</v>
      </c>
      <c r="I311">
        <v>48</v>
      </c>
      <c r="J311">
        <v>0</v>
      </c>
      <c r="K311" t="s">
        <v>16</v>
      </c>
      <c r="L311" t="s">
        <v>17</v>
      </c>
      <c r="M311">
        <f>IF(Table1[[#This Row],[ألغى الاشتراك]]="نعم",1,0)</f>
        <v>0</v>
      </c>
      <c r="N311">
        <f>IF(Table1[[#This Row],[وسيلة الدفع]]="بطاقة",1,0)</f>
        <v>0</v>
      </c>
      <c r="O311">
        <f>IF(Table1[[#This Row],[وسيلة الدفع]]="محفظة",1,0)</f>
        <v>1</v>
      </c>
      <c r="P311">
        <f>IF(Table1[[#This Row],[وسيلة الدفع]]="تحويل",1,0)</f>
        <v>0</v>
      </c>
      <c r="Q311">
        <f>IF(Table1[[#This Row],[حضر التهيئة]]="نعم",1,0)</f>
        <v>1</v>
      </c>
      <c r="R311">
        <f>IF(Table1[[#This Row],[دورة الفوترة]]="شهري",1,0)</f>
        <v>0</v>
      </c>
    </row>
    <row r="312" spans="1:18" x14ac:dyDescent="0.25">
      <c r="A312" t="s">
        <v>332</v>
      </c>
      <c r="B312" s="1">
        <v>45842</v>
      </c>
      <c r="C312" t="s">
        <v>19</v>
      </c>
      <c r="D312">
        <v>189</v>
      </c>
      <c r="E312" t="s">
        <v>14</v>
      </c>
      <c r="F312">
        <v>27</v>
      </c>
      <c r="G312" t="s">
        <v>21</v>
      </c>
      <c r="H312">
        <v>0</v>
      </c>
      <c r="I312">
        <v>53</v>
      </c>
      <c r="J312">
        <v>0</v>
      </c>
      <c r="K312" t="s">
        <v>16</v>
      </c>
      <c r="L312" t="s">
        <v>17</v>
      </c>
      <c r="M312">
        <f>IF(Table1[[#This Row],[ألغى الاشتراك]]="نعم",1,0)</f>
        <v>0</v>
      </c>
      <c r="N312">
        <f>IF(Table1[[#This Row],[وسيلة الدفع]]="بطاقة",1,0)</f>
        <v>0</v>
      </c>
      <c r="O312">
        <f>IF(Table1[[#This Row],[وسيلة الدفع]]="محفظة",1,0)</f>
        <v>1</v>
      </c>
      <c r="P312">
        <f>IF(Table1[[#This Row],[وسيلة الدفع]]="تحويل",1,0)</f>
        <v>0</v>
      </c>
      <c r="Q312">
        <f>IF(Table1[[#This Row],[حضر التهيئة]]="نعم",1,0)</f>
        <v>1</v>
      </c>
      <c r="R312">
        <f>IF(Table1[[#This Row],[دورة الفوترة]]="شهري",1,0)</f>
        <v>1</v>
      </c>
    </row>
    <row r="313" spans="1:18" x14ac:dyDescent="0.25">
      <c r="A313" t="s">
        <v>333</v>
      </c>
      <c r="B313" s="1">
        <v>45505</v>
      </c>
      <c r="C313" t="s">
        <v>19</v>
      </c>
      <c r="D313">
        <v>189</v>
      </c>
      <c r="E313" t="s">
        <v>20</v>
      </c>
      <c r="F313">
        <v>18</v>
      </c>
      <c r="G313" t="s">
        <v>23</v>
      </c>
      <c r="H313">
        <v>2</v>
      </c>
      <c r="I313">
        <v>38</v>
      </c>
      <c r="J313">
        <v>0</v>
      </c>
      <c r="K313" t="s">
        <v>17</v>
      </c>
      <c r="L313" t="s">
        <v>17</v>
      </c>
      <c r="M313">
        <f>IF(Table1[[#This Row],[ألغى الاشتراك]]="نعم",1,0)</f>
        <v>0</v>
      </c>
      <c r="N313">
        <f>IF(Table1[[#This Row],[وسيلة الدفع]]="بطاقة",1,0)</f>
        <v>0</v>
      </c>
      <c r="O313">
        <f>IF(Table1[[#This Row],[وسيلة الدفع]]="محفظة",1,0)</f>
        <v>0</v>
      </c>
      <c r="P313">
        <f>IF(Table1[[#This Row],[وسيلة الدفع]]="تحويل",1,0)</f>
        <v>1</v>
      </c>
      <c r="Q313">
        <f>IF(Table1[[#This Row],[حضر التهيئة]]="نعم",1,0)</f>
        <v>0</v>
      </c>
      <c r="R313">
        <f>IF(Table1[[#This Row],[دورة الفوترة]]="شهري",1,0)</f>
        <v>0</v>
      </c>
    </row>
    <row r="314" spans="1:18" x14ac:dyDescent="0.25">
      <c r="A314" t="s">
        <v>334</v>
      </c>
      <c r="B314" s="1">
        <v>45795</v>
      </c>
      <c r="C314" t="s">
        <v>19</v>
      </c>
      <c r="D314">
        <v>189</v>
      </c>
      <c r="E314" t="s">
        <v>14</v>
      </c>
      <c r="F314">
        <v>15</v>
      </c>
      <c r="G314" t="s">
        <v>23</v>
      </c>
      <c r="H314">
        <v>7</v>
      </c>
      <c r="I314">
        <v>43</v>
      </c>
      <c r="J314">
        <v>0</v>
      </c>
      <c r="K314" t="s">
        <v>17</v>
      </c>
      <c r="L314" t="s">
        <v>16</v>
      </c>
      <c r="M314">
        <f>IF(Table1[[#This Row],[ألغى الاشتراك]]="نعم",1,0)</f>
        <v>1</v>
      </c>
      <c r="N314">
        <f>IF(Table1[[#This Row],[وسيلة الدفع]]="بطاقة",1,0)</f>
        <v>0</v>
      </c>
      <c r="O314">
        <f>IF(Table1[[#This Row],[وسيلة الدفع]]="محفظة",1,0)</f>
        <v>0</v>
      </c>
      <c r="P314">
        <f>IF(Table1[[#This Row],[وسيلة الدفع]]="تحويل",1,0)</f>
        <v>1</v>
      </c>
      <c r="Q314">
        <f>IF(Table1[[#This Row],[حضر التهيئة]]="نعم",1,0)</f>
        <v>0</v>
      </c>
      <c r="R314">
        <f>IF(Table1[[#This Row],[دورة الفوترة]]="شهري",1,0)</f>
        <v>1</v>
      </c>
    </row>
    <row r="315" spans="1:18" x14ac:dyDescent="0.25">
      <c r="A315" t="s">
        <v>335</v>
      </c>
      <c r="B315" s="1">
        <v>45862</v>
      </c>
      <c r="C315" t="s">
        <v>13</v>
      </c>
      <c r="D315">
        <v>89</v>
      </c>
      <c r="E315" t="s">
        <v>20</v>
      </c>
      <c r="F315">
        <v>28</v>
      </c>
      <c r="G315" t="s">
        <v>21</v>
      </c>
      <c r="H315">
        <v>5</v>
      </c>
      <c r="I315">
        <v>40</v>
      </c>
      <c r="J315">
        <v>15</v>
      </c>
      <c r="K315" t="s">
        <v>17</v>
      </c>
      <c r="L315" t="s">
        <v>17</v>
      </c>
      <c r="M315">
        <f>IF(Table1[[#This Row],[ألغى الاشتراك]]="نعم",1,0)</f>
        <v>0</v>
      </c>
      <c r="N315">
        <f>IF(Table1[[#This Row],[وسيلة الدفع]]="بطاقة",1,0)</f>
        <v>0</v>
      </c>
      <c r="O315">
        <f>IF(Table1[[#This Row],[وسيلة الدفع]]="محفظة",1,0)</f>
        <v>1</v>
      </c>
      <c r="P315">
        <f>IF(Table1[[#This Row],[وسيلة الدفع]]="تحويل",1,0)</f>
        <v>0</v>
      </c>
      <c r="Q315">
        <f>IF(Table1[[#This Row],[حضر التهيئة]]="نعم",1,0)</f>
        <v>0</v>
      </c>
      <c r="R315">
        <f>IF(Table1[[#This Row],[دورة الفوترة]]="شهري",1,0)</f>
        <v>0</v>
      </c>
    </row>
    <row r="316" spans="1:18" x14ac:dyDescent="0.25">
      <c r="A316" t="s">
        <v>336</v>
      </c>
      <c r="B316" s="1">
        <v>45647</v>
      </c>
      <c r="C316" t="s">
        <v>28</v>
      </c>
      <c r="D316">
        <v>39</v>
      </c>
      <c r="E316" t="s">
        <v>14</v>
      </c>
      <c r="F316">
        <v>24</v>
      </c>
      <c r="G316" t="s">
        <v>15</v>
      </c>
      <c r="H316">
        <v>6</v>
      </c>
      <c r="I316">
        <v>54</v>
      </c>
      <c r="J316">
        <v>0</v>
      </c>
      <c r="K316" t="s">
        <v>16</v>
      </c>
      <c r="L316" t="s">
        <v>16</v>
      </c>
      <c r="M316">
        <f>IF(Table1[[#This Row],[ألغى الاشتراك]]="نعم",1,0)</f>
        <v>1</v>
      </c>
      <c r="N316">
        <f>IF(Table1[[#This Row],[وسيلة الدفع]]="بطاقة",1,0)</f>
        <v>1</v>
      </c>
      <c r="O316">
        <f>IF(Table1[[#This Row],[وسيلة الدفع]]="محفظة",1,0)</f>
        <v>0</v>
      </c>
      <c r="P316">
        <f>IF(Table1[[#This Row],[وسيلة الدفع]]="تحويل",1,0)</f>
        <v>0</v>
      </c>
      <c r="Q316">
        <f>IF(Table1[[#This Row],[حضر التهيئة]]="نعم",1,0)</f>
        <v>1</v>
      </c>
      <c r="R316">
        <f>IF(Table1[[#This Row],[دورة الفوترة]]="شهري",1,0)</f>
        <v>1</v>
      </c>
    </row>
    <row r="317" spans="1:18" x14ac:dyDescent="0.25">
      <c r="A317" t="s">
        <v>337</v>
      </c>
      <c r="B317" s="1">
        <v>45791</v>
      </c>
      <c r="C317" t="s">
        <v>13</v>
      </c>
      <c r="D317">
        <v>89</v>
      </c>
      <c r="E317" t="s">
        <v>14</v>
      </c>
      <c r="F317">
        <v>27</v>
      </c>
      <c r="G317" t="s">
        <v>23</v>
      </c>
      <c r="H317">
        <v>0</v>
      </c>
      <c r="I317">
        <v>7</v>
      </c>
      <c r="J317">
        <v>0</v>
      </c>
      <c r="K317" t="s">
        <v>16</v>
      </c>
      <c r="L317" t="s">
        <v>17</v>
      </c>
      <c r="M317">
        <f>IF(Table1[[#This Row],[ألغى الاشتراك]]="نعم",1,0)</f>
        <v>0</v>
      </c>
      <c r="N317">
        <f>IF(Table1[[#This Row],[وسيلة الدفع]]="بطاقة",1,0)</f>
        <v>0</v>
      </c>
      <c r="O317">
        <f>IF(Table1[[#This Row],[وسيلة الدفع]]="محفظة",1,0)</f>
        <v>0</v>
      </c>
      <c r="P317">
        <f>IF(Table1[[#This Row],[وسيلة الدفع]]="تحويل",1,0)</f>
        <v>1</v>
      </c>
      <c r="Q317">
        <f>IF(Table1[[#This Row],[حضر التهيئة]]="نعم",1,0)</f>
        <v>1</v>
      </c>
      <c r="R317">
        <f>IF(Table1[[#This Row],[دورة الفوترة]]="شهري",1,0)</f>
        <v>1</v>
      </c>
    </row>
    <row r="318" spans="1:18" x14ac:dyDescent="0.25">
      <c r="A318" t="s">
        <v>338</v>
      </c>
      <c r="B318" s="1">
        <v>45842</v>
      </c>
      <c r="C318" t="s">
        <v>28</v>
      </c>
      <c r="D318">
        <v>39</v>
      </c>
      <c r="E318" t="s">
        <v>20</v>
      </c>
      <c r="F318">
        <v>22</v>
      </c>
      <c r="G318" t="s">
        <v>15</v>
      </c>
      <c r="H318">
        <v>6</v>
      </c>
      <c r="I318">
        <v>18</v>
      </c>
      <c r="J318">
        <v>15</v>
      </c>
      <c r="K318" t="s">
        <v>17</v>
      </c>
      <c r="L318" t="s">
        <v>17</v>
      </c>
      <c r="M318">
        <f>IF(Table1[[#This Row],[ألغى الاشتراك]]="نعم",1,0)</f>
        <v>0</v>
      </c>
      <c r="N318">
        <f>IF(Table1[[#This Row],[وسيلة الدفع]]="بطاقة",1,0)</f>
        <v>1</v>
      </c>
      <c r="O318">
        <f>IF(Table1[[#This Row],[وسيلة الدفع]]="محفظة",1,0)</f>
        <v>0</v>
      </c>
      <c r="P318">
        <f>IF(Table1[[#This Row],[وسيلة الدفع]]="تحويل",1,0)</f>
        <v>0</v>
      </c>
      <c r="Q318">
        <f>IF(Table1[[#This Row],[حضر التهيئة]]="نعم",1,0)</f>
        <v>0</v>
      </c>
      <c r="R318">
        <f>IF(Table1[[#This Row],[دورة الفوترة]]="شهري",1,0)</f>
        <v>0</v>
      </c>
    </row>
    <row r="319" spans="1:18" x14ac:dyDescent="0.25">
      <c r="A319" t="s">
        <v>339</v>
      </c>
      <c r="B319" s="1">
        <v>45635</v>
      </c>
      <c r="C319" t="s">
        <v>28</v>
      </c>
      <c r="D319">
        <v>39</v>
      </c>
      <c r="E319" t="s">
        <v>20</v>
      </c>
      <c r="F319">
        <v>14</v>
      </c>
      <c r="G319" t="s">
        <v>21</v>
      </c>
      <c r="H319">
        <v>2</v>
      </c>
      <c r="I319">
        <v>18</v>
      </c>
      <c r="J319">
        <v>0</v>
      </c>
      <c r="K319" t="s">
        <v>16</v>
      </c>
      <c r="L319" t="s">
        <v>17</v>
      </c>
      <c r="M319">
        <f>IF(Table1[[#This Row],[ألغى الاشتراك]]="نعم",1,0)</f>
        <v>0</v>
      </c>
      <c r="N319">
        <f>IF(Table1[[#This Row],[وسيلة الدفع]]="بطاقة",1,0)</f>
        <v>0</v>
      </c>
      <c r="O319">
        <f>IF(Table1[[#This Row],[وسيلة الدفع]]="محفظة",1,0)</f>
        <v>1</v>
      </c>
      <c r="P319">
        <f>IF(Table1[[#This Row],[وسيلة الدفع]]="تحويل",1,0)</f>
        <v>0</v>
      </c>
      <c r="Q319">
        <f>IF(Table1[[#This Row],[حضر التهيئة]]="نعم",1,0)</f>
        <v>1</v>
      </c>
      <c r="R319">
        <f>IF(Table1[[#This Row],[دورة الفوترة]]="شهري",1,0)</f>
        <v>0</v>
      </c>
    </row>
    <row r="320" spans="1:18" x14ac:dyDescent="0.25">
      <c r="A320" t="s">
        <v>340</v>
      </c>
      <c r="B320" s="1">
        <v>45675</v>
      </c>
      <c r="C320" t="s">
        <v>28</v>
      </c>
      <c r="D320">
        <v>39</v>
      </c>
      <c r="E320" t="s">
        <v>14</v>
      </c>
      <c r="F320">
        <v>5</v>
      </c>
      <c r="G320" t="s">
        <v>21</v>
      </c>
      <c r="H320">
        <v>2</v>
      </c>
      <c r="I320">
        <v>31</v>
      </c>
      <c r="J320">
        <v>0</v>
      </c>
      <c r="K320" t="s">
        <v>17</v>
      </c>
      <c r="L320" t="s">
        <v>17</v>
      </c>
      <c r="M320">
        <f>IF(Table1[[#This Row],[ألغى الاشتراك]]="نعم",1,0)</f>
        <v>0</v>
      </c>
      <c r="N320">
        <f>IF(Table1[[#This Row],[وسيلة الدفع]]="بطاقة",1,0)</f>
        <v>0</v>
      </c>
      <c r="O320">
        <f>IF(Table1[[#This Row],[وسيلة الدفع]]="محفظة",1,0)</f>
        <v>1</v>
      </c>
      <c r="P320">
        <f>IF(Table1[[#This Row],[وسيلة الدفع]]="تحويل",1,0)</f>
        <v>0</v>
      </c>
      <c r="Q320">
        <f>IF(Table1[[#This Row],[حضر التهيئة]]="نعم",1,0)</f>
        <v>0</v>
      </c>
      <c r="R320">
        <f>IF(Table1[[#This Row],[دورة الفوترة]]="شهري",1,0)</f>
        <v>1</v>
      </c>
    </row>
    <row r="321" spans="1:18" x14ac:dyDescent="0.25">
      <c r="A321" t="s">
        <v>341</v>
      </c>
      <c r="B321" s="1">
        <v>45337</v>
      </c>
      <c r="C321" t="s">
        <v>28</v>
      </c>
      <c r="D321">
        <v>39</v>
      </c>
      <c r="E321" t="s">
        <v>20</v>
      </c>
      <c r="F321">
        <v>10</v>
      </c>
      <c r="G321" t="s">
        <v>23</v>
      </c>
      <c r="H321">
        <v>1</v>
      </c>
      <c r="I321">
        <v>4</v>
      </c>
      <c r="J321">
        <v>0</v>
      </c>
      <c r="K321" t="s">
        <v>17</v>
      </c>
      <c r="L321" t="s">
        <v>17</v>
      </c>
      <c r="M321">
        <f>IF(Table1[[#This Row],[ألغى الاشتراك]]="نعم",1,0)</f>
        <v>0</v>
      </c>
      <c r="N321">
        <f>IF(Table1[[#This Row],[وسيلة الدفع]]="بطاقة",1,0)</f>
        <v>0</v>
      </c>
      <c r="O321">
        <f>IF(Table1[[#This Row],[وسيلة الدفع]]="محفظة",1,0)</f>
        <v>0</v>
      </c>
      <c r="P321">
        <f>IF(Table1[[#This Row],[وسيلة الدفع]]="تحويل",1,0)</f>
        <v>1</v>
      </c>
      <c r="Q321">
        <f>IF(Table1[[#This Row],[حضر التهيئة]]="نعم",1,0)</f>
        <v>0</v>
      </c>
      <c r="R321">
        <f>IF(Table1[[#This Row],[دورة الفوترة]]="شهري",1,0)</f>
        <v>0</v>
      </c>
    </row>
    <row r="322" spans="1:18" x14ac:dyDescent="0.25">
      <c r="A322" t="s">
        <v>342</v>
      </c>
      <c r="B322" s="1">
        <v>45977</v>
      </c>
      <c r="C322" t="s">
        <v>28</v>
      </c>
      <c r="D322">
        <v>39</v>
      </c>
      <c r="E322" t="s">
        <v>20</v>
      </c>
      <c r="F322">
        <v>29</v>
      </c>
      <c r="G322" t="s">
        <v>21</v>
      </c>
      <c r="H322">
        <v>2</v>
      </c>
      <c r="I322">
        <v>5</v>
      </c>
      <c r="J322">
        <v>0</v>
      </c>
      <c r="K322" t="s">
        <v>16</v>
      </c>
      <c r="L322" t="s">
        <v>17</v>
      </c>
      <c r="M322">
        <f>IF(Table1[[#This Row],[ألغى الاشتراك]]="نعم",1,0)</f>
        <v>0</v>
      </c>
      <c r="N322">
        <f>IF(Table1[[#This Row],[وسيلة الدفع]]="بطاقة",1,0)</f>
        <v>0</v>
      </c>
      <c r="O322">
        <f>IF(Table1[[#This Row],[وسيلة الدفع]]="محفظة",1,0)</f>
        <v>1</v>
      </c>
      <c r="P322">
        <f>IF(Table1[[#This Row],[وسيلة الدفع]]="تحويل",1,0)</f>
        <v>0</v>
      </c>
      <c r="Q322">
        <f>IF(Table1[[#This Row],[حضر التهيئة]]="نعم",1,0)</f>
        <v>1</v>
      </c>
      <c r="R322">
        <f>IF(Table1[[#This Row],[دورة الفوترة]]="شهري",1,0)</f>
        <v>0</v>
      </c>
    </row>
    <row r="323" spans="1:18" x14ac:dyDescent="0.25">
      <c r="A323" t="s">
        <v>343</v>
      </c>
      <c r="B323" s="1">
        <v>45639</v>
      </c>
      <c r="C323" t="s">
        <v>13</v>
      </c>
      <c r="D323">
        <v>89</v>
      </c>
      <c r="E323" t="s">
        <v>14</v>
      </c>
      <c r="F323">
        <v>20</v>
      </c>
      <c r="G323" t="s">
        <v>23</v>
      </c>
      <c r="H323">
        <v>1</v>
      </c>
      <c r="I323">
        <v>48</v>
      </c>
      <c r="J323">
        <v>0</v>
      </c>
      <c r="K323" t="s">
        <v>16</v>
      </c>
      <c r="L323" t="s">
        <v>17</v>
      </c>
      <c r="M323">
        <f>IF(Table1[[#This Row],[ألغى الاشتراك]]="نعم",1,0)</f>
        <v>0</v>
      </c>
      <c r="N323">
        <f>IF(Table1[[#This Row],[وسيلة الدفع]]="بطاقة",1,0)</f>
        <v>0</v>
      </c>
      <c r="O323">
        <f>IF(Table1[[#This Row],[وسيلة الدفع]]="محفظة",1,0)</f>
        <v>0</v>
      </c>
      <c r="P323">
        <f>IF(Table1[[#This Row],[وسيلة الدفع]]="تحويل",1,0)</f>
        <v>1</v>
      </c>
      <c r="Q323">
        <f>IF(Table1[[#This Row],[حضر التهيئة]]="نعم",1,0)</f>
        <v>1</v>
      </c>
      <c r="R323">
        <f>IF(Table1[[#This Row],[دورة الفوترة]]="شهري",1,0)</f>
        <v>1</v>
      </c>
    </row>
    <row r="324" spans="1:18" x14ac:dyDescent="0.25">
      <c r="A324" t="s">
        <v>344</v>
      </c>
      <c r="B324" s="1">
        <v>45791</v>
      </c>
      <c r="C324" t="s">
        <v>19</v>
      </c>
      <c r="D324">
        <v>189</v>
      </c>
      <c r="E324" t="s">
        <v>20</v>
      </c>
      <c r="F324">
        <v>7</v>
      </c>
      <c r="G324" t="s">
        <v>15</v>
      </c>
      <c r="H324">
        <v>2</v>
      </c>
      <c r="I324">
        <v>43</v>
      </c>
      <c r="J324">
        <v>0</v>
      </c>
      <c r="K324" t="s">
        <v>17</v>
      </c>
      <c r="L324" t="s">
        <v>17</v>
      </c>
      <c r="M324">
        <f>IF(Table1[[#This Row],[ألغى الاشتراك]]="نعم",1,0)</f>
        <v>0</v>
      </c>
      <c r="N324">
        <f>IF(Table1[[#This Row],[وسيلة الدفع]]="بطاقة",1,0)</f>
        <v>1</v>
      </c>
      <c r="O324">
        <f>IF(Table1[[#This Row],[وسيلة الدفع]]="محفظة",1,0)</f>
        <v>0</v>
      </c>
      <c r="P324">
        <f>IF(Table1[[#This Row],[وسيلة الدفع]]="تحويل",1,0)</f>
        <v>0</v>
      </c>
      <c r="Q324">
        <f>IF(Table1[[#This Row],[حضر التهيئة]]="نعم",1,0)</f>
        <v>0</v>
      </c>
      <c r="R324">
        <f>IF(Table1[[#This Row],[دورة الفوترة]]="شهري",1,0)</f>
        <v>0</v>
      </c>
    </row>
    <row r="325" spans="1:18" x14ac:dyDescent="0.25">
      <c r="A325" t="s">
        <v>345</v>
      </c>
      <c r="B325" s="1">
        <v>45450</v>
      </c>
      <c r="C325" t="s">
        <v>28</v>
      </c>
      <c r="D325">
        <v>39</v>
      </c>
      <c r="E325" t="s">
        <v>14</v>
      </c>
      <c r="F325">
        <v>10</v>
      </c>
      <c r="G325" t="s">
        <v>21</v>
      </c>
      <c r="H325">
        <v>0</v>
      </c>
      <c r="I325">
        <v>8</v>
      </c>
      <c r="J325">
        <v>0</v>
      </c>
      <c r="K325" t="s">
        <v>16</v>
      </c>
      <c r="L325" t="s">
        <v>16</v>
      </c>
      <c r="M325">
        <f>IF(Table1[[#This Row],[ألغى الاشتراك]]="نعم",1,0)</f>
        <v>1</v>
      </c>
      <c r="N325">
        <f>IF(Table1[[#This Row],[وسيلة الدفع]]="بطاقة",1,0)</f>
        <v>0</v>
      </c>
      <c r="O325">
        <f>IF(Table1[[#This Row],[وسيلة الدفع]]="محفظة",1,0)</f>
        <v>1</v>
      </c>
      <c r="P325">
        <f>IF(Table1[[#This Row],[وسيلة الدفع]]="تحويل",1,0)</f>
        <v>0</v>
      </c>
      <c r="Q325">
        <f>IF(Table1[[#This Row],[حضر التهيئة]]="نعم",1,0)</f>
        <v>1</v>
      </c>
      <c r="R325">
        <f>IF(Table1[[#This Row],[دورة الفوترة]]="شهري",1,0)</f>
        <v>1</v>
      </c>
    </row>
    <row r="326" spans="1:18" x14ac:dyDescent="0.25">
      <c r="A326" t="s">
        <v>346</v>
      </c>
      <c r="B326" s="1">
        <v>45740</v>
      </c>
      <c r="C326" t="s">
        <v>19</v>
      </c>
      <c r="D326">
        <v>189</v>
      </c>
      <c r="E326" t="s">
        <v>14</v>
      </c>
      <c r="F326">
        <v>17</v>
      </c>
      <c r="G326" t="s">
        <v>15</v>
      </c>
      <c r="H326">
        <v>0</v>
      </c>
      <c r="I326">
        <v>31</v>
      </c>
      <c r="J326">
        <v>0</v>
      </c>
      <c r="K326" t="s">
        <v>16</v>
      </c>
      <c r="L326" t="s">
        <v>17</v>
      </c>
      <c r="M326">
        <f>IF(Table1[[#This Row],[ألغى الاشتراك]]="نعم",1,0)</f>
        <v>0</v>
      </c>
      <c r="N326">
        <f>IF(Table1[[#This Row],[وسيلة الدفع]]="بطاقة",1,0)</f>
        <v>1</v>
      </c>
      <c r="O326">
        <f>IF(Table1[[#This Row],[وسيلة الدفع]]="محفظة",1,0)</f>
        <v>0</v>
      </c>
      <c r="P326">
        <f>IF(Table1[[#This Row],[وسيلة الدفع]]="تحويل",1,0)</f>
        <v>0</v>
      </c>
      <c r="Q326">
        <f>IF(Table1[[#This Row],[حضر التهيئة]]="نعم",1,0)</f>
        <v>1</v>
      </c>
      <c r="R326">
        <f>IF(Table1[[#This Row],[دورة الفوترة]]="شهري",1,0)</f>
        <v>1</v>
      </c>
    </row>
    <row r="327" spans="1:18" x14ac:dyDescent="0.25">
      <c r="A327" t="s">
        <v>347</v>
      </c>
      <c r="B327" s="1">
        <v>45651</v>
      </c>
      <c r="C327" t="s">
        <v>28</v>
      </c>
      <c r="D327">
        <v>39</v>
      </c>
      <c r="E327" t="s">
        <v>14</v>
      </c>
      <c r="F327">
        <v>26</v>
      </c>
      <c r="G327" t="s">
        <v>21</v>
      </c>
      <c r="H327">
        <v>0</v>
      </c>
      <c r="I327">
        <v>48</v>
      </c>
      <c r="J327">
        <v>0</v>
      </c>
      <c r="K327" t="s">
        <v>16</v>
      </c>
      <c r="L327" t="s">
        <v>17</v>
      </c>
      <c r="M327">
        <f>IF(Table1[[#This Row],[ألغى الاشتراك]]="نعم",1,0)</f>
        <v>0</v>
      </c>
      <c r="N327">
        <f>IF(Table1[[#This Row],[وسيلة الدفع]]="بطاقة",1,0)</f>
        <v>0</v>
      </c>
      <c r="O327">
        <f>IF(Table1[[#This Row],[وسيلة الدفع]]="محفظة",1,0)</f>
        <v>1</v>
      </c>
      <c r="P327">
        <f>IF(Table1[[#This Row],[وسيلة الدفع]]="تحويل",1,0)</f>
        <v>0</v>
      </c>
      <c r="Q327">
        <f>IF(Table1[[#This Row],[حضر التهيئة]]="نعم",1,0)</f>
        <v>1</v>
      </c>
      <c r="R327">
        <f>IF(Table1[[#This Row],[دورة الفوترة]]="شهري",1,0)</f>
        <v>1</v>
      </c>
    </row>
    <row r="328" spans="1:18" x14ac:dyDescent="0.25">
      <c r="A328" t="s">
        <v>348</v>
      </c>
      <c r="B328" s="1">
        <v>45914</v>
      </c>
      <c r="C328" t="s">
        <v>19</v>
      </c>
      <c r="D328">
        <v>189</v>
      </c>
      <c r="E328" t="s">
        <v>14</v>
      </c>
      <c r="F328">
        <v>21</v>
      </c>
      <c r="G328" t="s">
        <v>15</v>
      </c>
      <c r="H328">
        <v>2</v>
      </c>
      <c r="I328">
        <v>19</v>
      </c>
      <c r="J328">
        <v>0</v>
      </c>
      <c r="K328" t="s">
        <v>16</v>
      </c>
      <c r="L328" t="s">
        <v>17</v>
      </c>
      <c r="M328">
        <f>IF(Table1[[#This Row],[ألغى الاشتراك]]="نعم",1,0)</f>
        <v>0</v>
      </c>
      <c r="N328">
        <f>IF(Table1[[#This Row],[وسيلة الدفع]]="بطاقة",1,0)</f>
        <v>1</v>
      </c>
      <c r="O328">
        <f>IF(Table1[[#This Row],[وسيلة الدفع]]="محفظة",1,0)</f>
        <v>0</v>
      </c>
      <c r="P328">
        <f>IF(Table1[[#This Row],[وسيلة الدفع]]="تحويل",1,0)</f>
        <v>0</v>
      </c>
      <c r="Q328">
        <f>IF(Table1[[#This Row],[حضر التهيئة]]="نعم",1,0)</f>
        <v>1</v>
      </c>
      <c r="R328">
        <f>IF(Table1[[#This Row],[دورة الفوترة]]="شهري",1,0)</f>
        <v>1</v>
      </c>
    </row>
    <row r="329" spans="1:18" x14ac:dyDescent="0.25">
      <c r="A329" t="s">
        <v>349</v>
      </c>
      <c r="B329" s="1">
        <v>45450</v>
      </c>
      <c r="C329" t="s">
        <v>13</v>
      </c>
      <c r="D329">
        <v>89</v>
      </c>
      <c r="E329" t="s">
        <v>14</v>
      </c>
      <c r="F329">
        <v>2</v>
      </c>
      <c r="G329" t="s">
        <v>23</v>
      </c>
      <c r="H329">
        <v>2</v>
      </c>
      <c r="I329">
        <v>36</v>
      </c>
      <c r="J329">
        <v>0</v>
      </c>
      <c r="K329" t="s">
        <v>16</v>
      </c>
      <c r="L329" t="s">
        <v>17</v>
      </c>
      <c r="M329">
        <f>IF(Table1[[#This Row],[ألغى الاشتراك]]="نعم",1,0)</f>
        <v>0</v>
      </c>
      <c r="N329">
        <f>IF(Table1[[#This Row],[وسيلة الدفع]]="بطاقة",1,0)</f>
        <v>0</v>
      </c>
      <c r="O329">
        <f>IF(Table1[[#This Row],[وسيلة الدفع]]="محفظة",1,0)</f>
        <v>0</v>
      </c>
      <c r="P329">
        <f>IF(Table1[[#This Row],[وسيلة الدفع]]="تحويل",1,0)</f>
        <v>1</v>
      </c>
      <c r="Q329">
        <f>IF(Table1[[#This Row],[حضر التهيئة]]="نعم",1,0)</f>
        <v>1</v>
      </c>
      <c r="R329">
        <f>IF(Table1[[#This Row],[دورة الفوترة]]="شهري",1,0)</f>
        <v>1</v>
      </c>
    </row>
    <row r="330" spans="1:18" x14ac:dyDescent="0.25">
      <c r="A330" t="s">
        <v>350</v>
      </c>
      <c r="B330" s="1">
        <v>45509</v>
      </c>
      <c r="C330" t="s">
        <v>28</v>
      </c>
      <c r="D330">
        <v>39</v>
      </c>
      <c r="E330" t="s">
        <v>20</v>
      </c>
      <c r="F330">
        <v>1</v>
      </c>
      <c r="G330" t="s">
        <v>21</v>
      </c>
      <c r="H330">
        <v>0</v>
      </c>
      <c r="I330">
        <v>33</v>
      </c>
      <c r="J330">
        <v>25</v>
      </c>
      <c r="K330" t="s">
        <v>16</v>
      </c>
      <c r="L330" t="s">
        <v>17</v>
      </c>
      <c r="M330">
        <f>IF(Table1[[#This Row],[ألغى الاشتراك]]="نعم",1,0)</f>
        <v>0</v>
      </c>
      <c r="N330">
        <f>IF(Table1[[#This Row],[وسيلة الدفع]]="بطاقة",1,0)</f>
        <v>0</v>
      </c>
      <c r="O330">
        <f>IF(Table1[[#This Row],[وسيلة الدفع]]="محفظة",1,0)</f>
        <v>1</v>
      </c>
      <c r="P330">
        <f>IF(Table1[[#This Row],[وسيلة الدفع]]="تحويل",1,0)</f>
        <v>0</v>
      </c>
      <c r="Q330">
        <f>IF(Table1[[#This Row],[حضر التهيئة]]="نعم",1,0)</f>
        <v>1</v>
      </c>
      <c r="R330">
        <f>IF(Table1[[#This Row],[دورة الفوترة]]="شهري",1,0)</f>
        <v>0</v>
      </c>
    </row>
    <row r="331" spans="1:18" x14ac:dyDescent="0.25">
      <c r="A331" t="s">
        <v>351</v>
      </c>
      <c r="B331" s="1">
        <v>45910</v>
      </c>
      <c r="C331" t="s">
        <v>28</v>
      </c>
      <c r="D331">
        <v>39</v>
      </c>
      <c r="E331" t="s">
        <v>14</v>
      </c>
      <c r="F331">
        <v>23</v>
      </c>
      <c r="G331" t="s">
        <v>23</v>
      </c>
      <c r="H331">
        <v>2</v>
      </c>
      <c r="I331">
        <v>21</v>
      </c>
      <c r="J331">
        <v>0</v>
      </c>
      <c r="K331" t="s">
        <v>16</v>
      </c>
      <c r="L331" t="s">
        <v>17</v>
      </c>
      <c r="M331">
        <f>IF(Table1[[#This Row],[ألغى الاشتراك]]="نعم",1,0)</f>
        <v>0</v>
      </c>
      <c r="N331">
        <f>IF(Table1[[#This Row],[وسيلة الدفع]]="بطاقة",1,0)</f>
        <v>0</v>
      </c>
      <c r="O331">
        <f>IF(Table1[[#This Row],[وسيلة الدفع]]="محفظة",1,0)</f>
        <v>0</v>
      </c>
      <c r="P331">
        <f>IF(Table1[[#This Row],[وسيلة الدفع]]="تحويل",1,0)</f>
        <v>1</v>
      </c>
      <c r="Q331">
        <f>IF(Table1[[#This Row],[حضر التهيئة]]="نعم",1,0)</f>
        <v>1</v>
      </c>
      <c r="R331">
        <f>IF(Table1[[#This Row],[دورة الفوترة]]="شهري",1,0)</f>
        <v>1</v>
      </c>
    </row>
    <row r="332" spans="1:18" x14ac:dyDescent="0.25">
      <c r="A332" t="s">
        <v>352</v>
      </c>
      <c r="B332" s="1">
        <v>45740</v>
      </c>
      <c r="C332" t="s">
        <v>19</v>
      </c>
      <c r="D332">
        <v>189</v>
      </c>
      <c r="E332" t="s">
        <v>20</v>
      </c>
      <c r="F332">
        <v>2</v>
      </c>
      <c r="G332" t="s">
        <v>15</v>
      </c>
      <c r="H332">
        <v>6</v>
      </c>
      <c r="I332">
        <v>10</v>
      </c>
      <c r="J332">
        <v>15</v>
      </c>
      <c r="K332" t="s">
        <v>17</v>
      </c>
      <c r="L332" t="s">
        <v>17</v>
      </c>
      <c r="M332">
        <f>IF(Table1[[#This Row],[ألغى الاشتراك]]="نعم",1,0)</f>
        <v>0</v>
      </c>
      <c r="N332">
        <f>IF(Table1[[#This Row],[وسيلة الدفع]]="بطاقة",1,0)</f>
        <v>1</v>
      </c>
      <c r="O332">
        <f>IF(Table1[[#This Row],[وسيلة الدفع]]="محفظة",1,0)</f>
        <v>0</v>
      </c>
      <c r="P332">
        <f>IF(Table1[[#This Row],[وسيلة الدفع]]="تحويل",1,0)</f>
        <v>0</v>
      </c>
      <c r="Q332">
        <f>IF(Table1[[#This Row],[حضر التهيئة]]="نعم",1,0)</f>
        <v>0</v>
      </c>
      <c r="R332">
        <f>IF(Table1[[#This Row],[دورة الفوترة]]="شهري",1,0)</f>
        <v>0</v>
      </c>
    </row>
    <row r="333" spans="1:18" x14ac:dyDescent="0.25">
      <c r="A333" t="s">
        <v>353</v>
      </c>
      <c r="B333" s="1">
        <v>45391</v>
      </c>
      <c r="C333" t="s">
        <v>28</v>
      </c>
      <c r="D333">
        <v>39</v>
      </c>
      <c r="E333" t="s">
        <v>20</v>
      </c>
      <c r="F333">
        <v>8</v>
      </c>
      <c r="G333" t="s">
        <v>15</v>
      </c>
      <c r="H333">
        <v>6</v>
      </c>
      <c r="I333">
        <v>56</v>
      </c>
      <c r="J333">
        <v>0</v>
      </c>
      <c r="K333" t="s">
        <v>17</v>
      </c>
      <c r="L333" t="s">
        <v>17</v>
      </c>
      <c r="M333">
        <f>IF(Table1[[#This Row],[ألغى الاشتراك]]="نعم",1,0)</f>
        <v>0</v>
      </c>
      <c r="N333">
        <f>IF(Table1[[#This Row],[وسيلة الدفع]]="بطاقة",1,0)</f>
        <v>1</v>
      </c>
      <c r="O333">
        <f>IF(Table1[[#This Row],[وسيلة الدفع]]="محفظة",1,0)</f>
        <v>0</v>
      </c>
      <c r="P333">
        <f>IF(Table1[[#This Row],[وسيلة الدفع]]="تحويل",1,0)</f>
        <v>0</v>
      </c>
      <c r="Q333">
        <f>IF(Table1[[#This Row],[حضر التهيئة]]="نعم",1,0)</f>
        <v>0</v>
      </c>
      <c r="R333">
        <f>IF(Table1[[#This Row],[دورة الفوترة]]="شهري",1,0)</f>
        <v>0</v>
      </c>
    </row>
    <row r="334" spans="1:18" x14ac:dyDescent="0.25">
      <c r="A334" t="s">
        <v>354</v>
      </c>
      <c r="B334" s="1">
        <v>45576</v>
      </c>
      <c r="C334" t="s">
        <v>19</v>
      </c>
      <c r="D334">
        <v>189</v>
      </c>
      <c r="E334" t="s">
        <v>20</v>
      </c>
      <c r="F334">
        <v>9</v>
      </c>
      <c r="G334" t="s">
        <v>21</v>
      </c>
      <c r="H334">
        <v>2</v>
      </c>
      <c r="I334">
        <v>43</v>
      </c>
      <c r="J334">
        <v>10</v>
      </c>
      <c r="K334" t="s">
        <v>16</v>
      </c>
      <c r="L334" t="s">
        <v>17</v>
      </c>
      <c r="M334">
        <f>IF(Table1[[#This Row],[ألغى الاشتراك]]="نعم",1,0)</f>
        <v>0</v>
      </c>
      <c r="N334">
        <f>IF(Table1[[#This Row],[وسيلة الدفع]]="بطاقة",1,0)</f>
        <v>0</v>
      </c>
      <c r="O334">
        <f>IF(Table1[[#This Row],[وسيلة الدفع]]="محفظة",1,0)</f>
        <v>1</v>
      </c>
      <c r="P334">
        <f>IF(Table1[[#This Row],[وسيلة الدفع]]="تحويل",1,0)</f>
        <v>0</v>
      </c>
      <c r="Q334">
        <f>IF(Table1[[#This Row],[حضر التهيئة]]="نعم",1,0)</f>
        <v>1</v>
      </c>
      <c r="R334">
        <f>IF(Table1[[#This Row],[دورة الفوترة]]="شهري",1,0)</f>
        <v>0</v>
      </c>
    </row>
    <row r="335" spans="1:18" x14ac:dyDescent="0.25">
      <c r="A335" t="s">
        <v>355</v>
      </c>
      <c r="B335" s="1">
        <v>45724</v>
      </c>
      <c r="C335" t="s">
        <v>13</v>
      </c>
      <c r="D335">
        <v>89</v>
      </c>
      <c r="E335" t="s">
        <v>20</v>
      </c>
      <c r="F335">
        <v>19</v>
      </c>
      <c r="G335" t="s">
        <v>21</v>
      </c>
      <c r="H335">
        <v>2</v>
      </c>
      <c r="I335">
        <v>11</v>
      </c>
      <c r="J335">
        <v>0</v>
      </c>
      <c r="K335" t="s">
        <v>16</v>
      </c>
      <c r="L335" t="s">
        <v>16</v>
      </c>
      <c r="M335">
        <f>IF(Table1[[#This Row],[ألغى الاشتراك]]="نعم",1,0)</f>
        <v>1</v>
      </c>
      <c r="N335">
        <f>IF(Table1[[#This Row],[وسيلة الدفع]]="بطاقة",1,0)</f>
        <v>0</v>
      </c>
      <c r="O335">
        <f>IF(Table1[[#This Row],[وسيلة الدفع]]="محفظة",1,0)</f>
        <v>1</v>
      </c>
      <c r="P335">
        <f>IF(Table1[[#This Row],[وسيلة الدفع]]="تحويل",1,0)</f>
        <v>0</v>
      </c>
      <c r="Q335">
        <f>IF(Table1[[#This Row],[حضر التهيئة]]="نعم",1,0)</f>
        <v>1</v>
      </c>
      <c r="R335">
        <f>IF(Table1[[#This Row],[دورة الفوترة]]="شهري",1,0)</f>
        <v>0</v>
      </c>
    </row>
    <row r="336" spans="1:18" x14ac:dyDescent="0.25">
      <c r="A336" t="s">
        <v>356</v>
      </c>
      <c r="B336" s="1">
        <v>45509</v>
      </c>
      <c r="C336" t="s">
        <v>28</v>
      </c>
      <c r="D336">
        <v>39</v>
      </c>
      <c r="E336" t="s">
        <v>20</v>
      </c>
      <c r="F336">
        <v>10</v>
      </c>
      <c r="G336" t="s">
        <v>23</v>
      </c>
      <c r="H336">
        <v>7</v>
      </c>
      <c r="I336">
        <v>22</v>
      </c>
      <c r="J336">
        <v>0</v>
      </c>
      <c r="K336" t="s">
        <v>17</v>
      </c>
      <c r="L336" t="s">
        <v>17</v>
      </c>
      <c r="M336">
        <f>IF(Table1[[#This Row],[ألغى الاشتراك]]="نعم",1,0)</f>
        <v>0</v>
      </c>
      <c r="N336">
        <f>IF(Table1[[#This Row],[وسيلة الدفع]]="بطاقة",1,0)</f>
        <v>0</v>
      </c>
      <c r="O336">
        <f>IF(Table1[[#This Row],[وسيلة الدفع]]="محفظة",1,0)</f>
        <v>0</v>
      </c>
      <c r="P336">
        <f>IF(Table1[[#This Row],[وسيلة الدفع]]="تحويل",1,0)</f>
        <v>1</v>
      </c>
      <c r="Q336">
        <f>IF(Table1[[#This Row],[حضر التهيئة]]="نعم",1,0)</f>
        <v>0</v>
      </c>
      <c r="R336">
        <f>IF(Table1[[#This Row],[دورة الفوترة]]="شهري",1,0)</f>
        <v>0</v>
      </c>
    </row>
    <row r="337" spans="1:18" x14ac:dyDescent="0.25">
      <c r="A337" t="s">
        <v>357</v>
      </c>
      <c r="B337" s="1">
        <v>45584</v>
      </c>
      <c r="C337" t="s">
        <v>28</v>
      </c>
      <c r="D337">
        <v>39</v>
      </c>
      <c r="E337" t="s">
        <v>20</v>
      </c>
      <c r="F337">
        <v>11</v>
      </c>
      <c r="G337" t="s">
        <v>23</v>
      </c>
      <c r="H337">
        <v>1</v>
      </c>
      <c r="I337">
        <v>45</v>
      </c>
      <c r="J337">
        <v>10</v>
      </c>
      <c r="K337" t="s">
        <v>16</v>
      </c>
      <c r="L337" t="s">
        <v>17</v>
      </c>
      <c r="M337">
        <f>IF(Table1[[#This Row],[ألغى الاشتراك]]="نعم",1,0)</f>
        <v>0</v>
      </c>
      <c r="N337">
        <f>IF(Table1[[#This Row],[وسيلة الدفع]]="بطاقة",1,0)</f>
        <v>0</v>
      </c>
      <c r="O337">
        <f>IF(Table1[[#This Row],[وسيلة الدفع]]="محفظة",1,0)</f>
        <v>0</v>
      </c>
      <c r="P337">
        <f>IF(Table1[[#This Row],[وسيلة الدفع]]="تحويل",1,0)</f>
        <v>1</v>
      </c>
      <c r="Q337">
        <f>IF(Table1[[#This Row],[حضر التهيئة]]="نعم",1,0)</f>
        <v>1</v>
      </c>
      <c r="R337">
        <f>IF(Table1[[#This Row],[دورة الفوترة]]="شهري",1,0)</f>
        <v>0</v>
      </c>
    </row>
    <row r="338" spans="1:18" x14ac:dyDescent="0.25">
      <c r="A338" t="s">
        <v>358</v>
      </c>
      <c r="B338" s="1">
        <v>45635</v>
      </c>
      <c r="C338" t="s">
        <v>28</v>
      </c>
      <c r="D338">
        <v>39</v>
      </c>
      <c r="E338" t="s">
        <v>14</v>
      </c>
      <c r="F338">
        <v>21</v>
      </c>
      <c r="G338" t="s">
        <v>15</v>
      </c>
      <c r="H338">
        <v>2</v>
      </c>
      <c r="I338">
        <v>53</v>
      </c>
      <c r="J338">
        <v>25</v>
      </c>
      <c r="K338" t="s">
        <v>16</v>
      </c>
      <c r="L338" t="s">
        <v>17</v>
      </c>
      <c r="M338">
        <f>IF(Table1[[#This Row],[ألغى الاشتراك]]="نعم",1,0)</f>
        <v>0</v>
      </c>
      <c r="N338">
        <f>IF(Table1[[#This Row],[وسيلة الدفع]]="بطاقة",1,0)</f>
        <v>1</v>
      </c>
      <c r="O338">
        <f>IF(Table1[[#This Row],[وسيلة الدفع]]="محفظة",1,0)</f>
        <v>0</v>
      </c>
      <c r="P338">
        <f>IF(Table1[[#This Row],[وسيلة الدفع]]="تحويل",1,0)</f>
        <v>0</v>
      </c>
      <c r="Q338">
        <f>IF(Table1[[#This Row],[حضر التهيئة]]="نعم",1,0)</f>
        <v>1</v>
      </c>
      <c r="R338">
        <f>IF(Table1[[#This Row],[دورة الفوترة]]="شهري",1,0)</f>
        <v>1</v>
      </c>
    </row>
    <row r="339" spans="1:18" x14ac:dyDescent="0.25">
      <c r="A339" t="s">
        <v>359</v>
      </c>
      <c r="B339" s="1">
        <v>45783</v>
      </c>
      <c r="C339" t="s">
        <v>19</v>
      </c>
      <c r="D339">
        <v>189</v>
      </c>
      <c r="E339" t="s">
        <v>14</v>
      </c>
      <c r="F339">
        <v>23</v>
      </c>
      <c r="G339" t="s">
        <v>23</v>
      </c>
      <c r="H339">
        <v>1</v>
      </c>
      <c r="I339">
        <v>31</v>
      </c>
      <c r="J339">
        <v>0</v>
      </c>
      <c r="K339" t="s">
        <v>16</v>
      </c>
      <c r="L339" t="s">
        <v>16</v>
      </c>
      <c r="M339">
        <f>IF(Table1[[#This Row],[ألغى الاشتراك]]="نعم",1,0)</f>
        <v>1</v>
      </c>
      <c r="N339">
        <f>IF(Table1[[#This Row],[وسيلة الدفع]]="بطاقة",1,0)</f>
        <v>0</v>
      </c>
      <c r="O339">
        <f>IF(Table1[[#This Row],[وسيلة الدفع]]="محفظة",1,0)</f>
        <v>0</v>
      </c>
      <c r="P339">
        <f>IF(Table1[[#This Row],[وسيلة الدفع]]="تحويل",1,0)</f>
        <v>1</v>
      </c>
      <c r="Q339">
        <f>IF(Table1[[#This Row],[حضر التهيئة]]="نعم",1,0)</f>
        <v>1</v>
      </c>
      <c r="R339">
        <f>IF(Table1[[#This Row],[دورة الفوترة]]="شهري",1,0)</f>
        <v>1</v>
      </c>
    </row>
    <row r="340" spans="1:18" x14ac:dyDescent="0.25">
      <c r="A340" t="s">
        <v>360</v>
      </c>
      <c r="B340" s="1">
        <v>45846</v>
      </c>
      <c r="C340" t="s">
        <v>13</v>
      </c>
      <c r="D340">
        <v>89</v>
      </c>
      <c r="E340" t="s">
        <v>14</v>
      </c>
      <c r="F340">
        <v>4</v>
      </c>
      <c r="G340" t="s">
        <v>23</v>
      </c>
      <c r="H340">
        <v>1</v>
      </c>
      <c r="I340">
        <v>46</v>
      </c>
      <c r="J340">
        <v>15</v>
      </c>
      <c r="K340" t="s">
        <v>16</v>
      </c>
      <c r="L340" t="s">
        <v>17</v>
      </c>
      <c r="M340">
        <f>IF(Table1[[#This Row],[ألغى الاشتراك]]="نعم",1,0)</f>
        <v>0</v>
      </c>
      <c r="N340">
        <f>IF(Table1[[#This Row],[وسيلة الدفع]]="بطاقة",1,0)</f>
        <v>0</v>
      </c>
      <c r="O340">
        <f>IF(Table1[[#This Row],[وسيلة الدفع]]="محفظة",1,0)</f>
        <v>0</v>
      </c>
      <c r="P340">
        <f>IF(Table1[[#This Row],[وسيلة الدفع]]="تحويل",1,0)</f>
        <v>1</v>
      </c>
      <c r="Q340">
        <f>IF(Table1[[#This Row],[حضر التهيئة]]="نعم",1,0)</f>
        <v>1</v>
      </c>
      <c r="R340">
        <f>IF(Table1[[#This Row],[دورة الفوترة]]="شهري",1,0)</f>
        <v>1</v>
      </c>
    </row>
    <row r="341" spans="1:18" x14ac:dyDescent="0.25">
      <c r="A341" t="s">
        <v>361</v>
      </c>
      <c r="B341" s="1">
        <v>45395</v>
      </c>
      <c r="C341" t="s">
        <v>13</v>
      </c>
      <c r="D341">
        <v>89</v>
      </c>
      <c r="E341" t="s">
        <v>14</v>
      </c>
      <c r="F341">
        <v>12</v>
      </c>
      <c r="G341" t="s">
        <v>21</v>
      </c>
      <c r="H341">
        <v>2</v>
      </c>
      <c r="I341">
        <v>10</v>
      </c>
      <c r="J341">
        <v>0</v>
      </c>
      <c r="K341" t="s">
        <v>17</v>
      </c>
      <c r="L341" t="s">
        <v>16</v>
      </c>
      <c r="M341">
        <f>IF(Table1[[#This Row],[ألغى الاشتراك]]="نعم",1,0)</f>
        <v>1</v>
      </c>
      <c r="N341">
        <f>IF(Table1[[#This Row],[وسيلة الدفع]]="بطاقة",1,0)</f>
        <v>0</v>
      </c>
      <c r="O341">
        <f>IF(Table1[[#This Row],[وسيلة الدفع]]="محفظة",1,0)</f>
        <v>1</v>
      </c>
      <c r="P341">
        <f>IF(Table1[[#This Row],[وسيلة الدفع]]="تحويل",1,0)</f>
        <v>0</v>
      </c>
      <c r="Q341">
        <f>IF(Table1[[#This Row],[حضر التهيئة]]="نعم",1,0)</f>
        <v>0</v>
      </c>
      <c r="R341">
        <f>IF(Table1[[#This Row],[دورة الفوترة]]="شهري",1,0)</f>
        <v>1</v>
      </c>
    </row>
    <row r="342" spans="1:18" x14ac:dyDescent="0.25">
      <c r="A342" t="s">
        <v>362</v>
      </c>
      <c r="B342" s="1">
        <v>45791</v>
      </c>
      <c r="C342" t="s">
        <v>28</v>
      </c>
      <c r="D342">
        <v>39</v>
      </c>
      <c r="E342" t="s">
        <v>14</v>
      </c>
      <c r="F342">
        <v>19</v>
      </c>
      <c r="G342" t="s">
        <v>15</v>
      </c>
      <c r="H342">
        <v>5</v>
      </c>
      <c r="I342">
        <v>23</v>
      </c>
      <c r="J342">
        <v>0</v>
      </c>
      <c r="K342" t="s">
        <v>16</v>
      </c>
      <c r="L342" t="s">
        <v>16</v>
      </c>
      <c r="M342">
        <f>IF(Table1[[#This Row],[ألغى الاشتراك]]="نعم",1,0)</f>
        <v>1</v>
      </c>
      <c r="N342">
        <f>IF(Table1[[#This Row],[وسيلة الدفع]]="بطاقة",1,0)</f>
        <v>1</v>
      </c>
      <c r="O342">
        <f>IF(Table1[[#This Row],[وسيلة الدفع]]="محفظة",1,0)</f>
        <v>0</v>
      </c>
      <c r="P342">
        <f>IF(Table1[[#This Row],[وسيلة الدفع]]="تحويل",1,0)</f>
        <v>0</v>
      </c>
      <c r="Q342">
        <f>IF(Table1[[#This Row],[حضر التهيئة]]="نعم",1,0)</f>
        <v>1</v>
      </c>
      <c r="R342">
        <f>IF(Table1[[#This Row],[دورة الفوترة]]="شهري",1,0)</f>
        <v>1</v>
      </c>
    </row>
    <row r="343" spans="1:18" x14ac:dyDescent="0.25">
      <c r="A343" t="s">
        <v>363</v>
      </c>
      <c r="B343" s="1">
        <v>45329</v>
      </c>
      <c r="C343" t="s">
        <v>19</v>
      </c>
      <c r="D343">
        <v>189</v>
      </c>
      <c r="E343" t="s">
        <v>14</v>
      </c>
      <c r="F343">
        <v>8</v>
      </c>
      <c r="G343" t="s">
        <v>21</v>
      </c>
      <c r="H343">
        <v>0</v>
      </c>
      <c r="I343">
        <v>36</v>
      </c>
      <c r="J343">
        <v>0</v>
      </c>
      <c r="K343" t="s">
        <v>17</v>
      </c>
      <c r="L343" t="s">
        <v>17</v>
      </c>
      <c r="M343">
        <f>IF(Table1[[#This Row],[ألغى الاشتراك]]="نعم",1,0)</f>
        <v>0</v>
      </c>
      <c r="N343">
        <f>IF(Table1[[#This Row],[وسيلة الدفع]]="بطاقة",1,0)</f>
        <v>0</v>
      </c>
      <c r="O343">
        <f>IF(Table1[[#This Row],[وسيلة الدفع]]="محفظة",1,0)</f>
        <v>1</v>
      </c>
      <c r="P343">
        <f>IF(Table1[[#This Row],[وسيلة الدفع]]="تحويل",1,0)</f>
        <v>0</v>
      </c>
      <c r="Q343">
        <f>IF(Table1[[#This Row],[حضر التهيئة]]="نعم",1,0)</f>
        <v>0</v>
      </c>
      <c r="R343">
        <f>IF(Table1[[#This Row],[دورة الفوترة]]="شهري",1,0)</f>
        <v>1</v>
      </c>
    </row>
    <row r="344" spans="1:18" x14ac:dyDescent="0.25">
      <c r="A344" t="s">
        <v>364</v>
      </c>
      <c r="B344" s="1">
        <v>45403</v>
      </c>
      <c r="C344" t="s">
        <v>28</v>
      </c>
      <c r="D344">
        <v>39</v>
      </c>
      <c r="E344" t="s">
        <v>20</v>
      </c>
      <c r="F344">
        <v>27</v>
      </c>
      <c r="G344" t="s">
        <v>15</v>
      </c>
      <c r="H344">
        <v>8</v>
      </c>
      <c r="I344">
        <v>5</v>
      </c>
      <c r="J344">
        <v>25</v>
      </c>
      <c r="K344" t="s">
        <v>17</v>
      </c>
      <c r="L344" t="s">
        <v>17</v>
      </c>
      <c r="M344">
        <f>IF(Table1[[#This Row],[ألغى الاشتراك]]="نعم",1,0)</f>
        <v>0</v>
      </c>
      <c r="N344">
        <f>IF(Table1[[#This Row],[وسيلة الدفع]]="بطاقة",1,0)</f>
        <v>1</v>
      </c>
      <c r="O344">
        <f>IF(Table1[[#This Row],[وسيلة الدفع]]="محفظة",1,0)</f>
        <v>0</v>
      </c>
      <c r="P344">
        <f>IF(Table1[[#This Row],[وسيلة الدفع]]="تحويل",1,0)</f>
        <v>0</v>
      </c>
      <c r="Q344">
        <f>IF(Table1[[#This Row],[حضر التهيئة]]="نعم",1,0)</f>
        <v>0</v>
      </c>
      <c r="R344">
        <f>IF(Table1[[#This Row],[دورة الفوترة]]="شهري",1,0)</f>
        <v>0</v>
      </c>
    </row>
    <row r="345" spans="1:18" x14ac:dyDescent="0.25">
      <c r="A345" t="s">
        <v>365</v>
      </c>
      <c r="B345" s="1">
        <v>45667</v>
      </c>
      <c r="C345" t="s">
        <v>13</v>
      </c>
      <c r="D345">
        <v>89</v>
      </c>
      <c r="E345" t="s">
        <v>14</v>
      </c>
      <c r="F345">
        <v>5</v>
      </c>
      <c r="G345" t="s">
        <v>21</v>
      </c>
      <c r="H345">
        <v>4</v>
      </c>
      <c r="I345">
        <v>35</v>
      </c>
      <c r="J345">
        <v>0</v>
      </c>
      <c r="K345" t="s">
        <v>17</v>
      </c>
      <c r="L345" t="s">
        <v>17</v>
      </c>
      <c r="M345">
        <f>IF(Table1[[#This Row],[ألغى الاشتراك]]="نعم",1,0)</f>
        <v>0</v>
      </c>
      <c r="N345">
        <f>IF(Table1[[#This Row],[وسيلة الدفع]]="بطاقة",1,0)</f>
        <v>0</v>
      </c>
      <c r="O345">
        <f>IF(Table1[[#This Row],[وسيلة الدفع]]="محفظة",1,0)</f>
        <v>1</v>
      </c>
      <c r="P345">
        <f>IF(Table1[[#This Row],[وسيلة الدفع]]="تحويل",1,0)</f>
        <v>0</v>
      </c>
      <c r="Q345">
        <f>IF(Table1[[#This Row],[حضر التهيئة]]="نعم",1,0)</f>
        <v>0</v>
      </c>
      <c r="R345">
        <f>IF(Table1[[#This Row],[دورة الفوترة]]="شهري",1,0)</f>
        <v>1</v>
      </c>
    </row>
    <row r="346" spans="1:18" x14ac:dyDescent="0.25">
      <c r="A346" t="s">
        <v>366</v>
      </c>
      <c r="B346" s="1">
        <v>45450</v>
      </c>
      <c r="C346" t="s">
        <v>28</v>
      </c>
      <c r="D346">
        <v>39</v>
      </c>
      <c r="E346" t="s">
        <v>14</v>
      </c>
      <c r="F346">
        <v>20</v>
      </c>
      <c r="G346" t="s">
        <v>23</v>
      </c>
      <c r="H346">
        <v>2</v>
      </c>
      <c r="I346">
        <v>6</v>
      </c>
      <c r="J346">
        <v>0</v>
      </c>
      <c r="K346" t="s">
        <v>16</v>
      </c>
      <c r="L346" t="s">
        <v>16</v>
      </c>
      <c r="M346">
        <f>IF(Table1[[#This Row],[ألغى الاشتراك]]="نعم",1,0)</f>
        <v>1</v>
      </c>
      <c r="N346">
        <f>IF(Table1[[#This Row],[وسيلة الدفع]]="بطاقة",1,0)</f>
        <v>0</v>
      </c>
      <c r="O346">
        <f>IF(Table1[[#This Row],[وسيلة الدفع]]="محفظة",1,0)</f>
        <v>0</v>
      </c>
      <c r="P346">
        <f>IF(Table1[[#This Row],[وسيلة الدفع]]="تحويل",1,0)</f>
        <v>1</v>
      </c>
      <c r="Q346">
        <f>IF(Table1[[#This Row],[حضر التهيئة]]="نعم",1,0)</f>
        <v>1</v>
      </c>
      <c r="R346">
        <f>IF(Table1[[#This Row],[دورة الفوترة]]="شهري",1,0)</f>
        <v>1</v>
      </c>
    </row>
    <row r="347" spans="1:18" x14ac:dyDescent="0.25">
      <c r="A347" t="s">
        <v>367</v>
      </c>
      <c r="B347" s="1">
        <v>45981</v>
      </c>
      <c r="C347" t="s">
        <v>13</v>
      </c>
      <c r="D347">
        <v>89</v>
      </c>
      <c r="E347" t="s">
        <v>20</v>
      </c>
      <c r="F347">
        <v>27</v>
      </c>
      <c r="G347" t="s">
        <v>21</v>
      </c>
      <c r="H347">
        <v>2</v>
      </c>
      <c r="I347">
        <v>5</v>
      </c>
      <c r="J347">
        <v>0</v>
      </c>
      <c r="K347" t="s">
        <v>16</v>
      </c>
      <c r="L347" t="s">
        <v>17</v>
      </c>
      <c r="M347">
        <f>IF(Table1[[#This Row],[ألغى الاشتراك]]="نعم",1,0)</f>
        <v>0</v>
      </c>
      <c r="N347">
        <f>IF(Table1[[#This Row],[وسيلة الدفع]]="بطاقة",1,0)</f>
        <v>0</v>
      </c>
      <c r="O347">
        <f>IF(Table1[[#This Row],[وسيلة الدفع]]="محفظة",1,0)</f>
        <v>1</v>
      </c>
      <c r="P347">
        <f>IF(Table1[[#This Row],[وسيلة الدفع]]="تحويل",1,0)</f>
        <v>0</v>
      </c>
      <c r="Q347">
        <f>IF(Table1[[#This Row],[حضر التهيئة]]="نعم",1,0)</f>
        <v>1</v>
      </c>
      <c r="R347">
        <f>IF(Table1[[#This Row],[دورة الفوترة]]="شهري",1,0)</f>
        <v>0</v>
      </c>
    </row>
    <row r="348" spans="1:18" x14ac:dyDescent="0.25">
      <c r="A348" t="s">
        <v>368</v>
      </c>
      <c r="B348" s="1">
        <v>45391</v>
      </c>
      <c r="C348" t="s">
        <v>28</v>
      </c>
      <c r="D348">
        <v>39</v>
      </c>
      <c r="E348" t="s">
        <v>14</v>
      </c>
      <c r="F348">
        <v>16</v>
      </c>
      <c r="G348" t="s">
        <v>21</v>
      </c>
      <c r="H348">
        <v>11</v>
      </c>
      <c r="I348">
        <v>30</v>
      </c>
      <c r="J348">
        <v>0</v>
      </c>
      <c r="K348" t="s">
        <v>16</v>
      </c>
      <c r="L348" t="s">
        <v>17</v>
      </c>
      <c r="M348">
        <f>IF(Table1[[#This Row],[ألغى الاشتراك]]="نعم",1,0)</f>
        <v>0</v>
      </c>
      <c r="N348">
        <f>IF(Table1[[#This Row],[وسيلة الدفع]]="بطاقة",1,0)</f>
        <v>0</v>
      </c>
      <c r="O348">
        <f>IF(Table1[[#This Row],[وسيلة الدفع]]="محفظة",1,0)</f>
        <v>1</v>
      </c>
      <c r="P348">
        <f>IF(Table1[[#This Row],[وسيلة الدفع]]="تحويل",1,0)</f>
        <v>0</v>
      </c>
      <c r="Q348">
        <f>IF(Table1[[#This Row],[حضر التهيئة]]="نعم",1,0)</f>
        <v>1</v>
      </c>
      <c r="R348">
        <f>IF(Table1[[#This Row],[دورة الفوترة]]="شهري",1,0)</f>
        <v>1</v>
      </c>
    </row>
    <row r="349" spans="1:18" x14ac:dyDescent="0.25">
      <c r="A349" t="s">
        <v>369</v>
      </c>
      <c r="B349" s="1">
        <v>45791</v>
      </c>
      <c r="C349" t="s">
        <v>19</v>
      </c>
      <c r="D349">
        <v>189</v>
      </c>
      <c r="E349" t="s">
        <v>14</v>
      </c>
      <c r="F349">
        <v>23</v>
      </c>
      <c r="G349" t="s">
        <v>23</v>
      </c>
      <c r="H349">
        <v>1</v>
      </c>
      <c r="I349">
        <v>13</v>
      </c>
      <c r="J349">
        <v>0</v>
      </c>
      <c r="K349" t="s">
        <v>16</v>
      </c>
      <c r="L349" t="s">
        <v>17</v>
      </c>
      <c r="M349">
        <f>IF(Table1[[#This Row],[ألغى الاشتراك]]="نعم",1,0)</f>
        <v>0</v>
      </c>
      <c r="N349">
        <f>IF(Table1[[#This Row],[وسيلة الدفع]]="بطاقة",1,0)</f>
        <v>0</v>
      </c>
      <c r="O349">
        <f>IF(Table1[[#This Row],[وسيلة الدفع]]="محفظة",1,0)</f>
        <v>0</v>
      </c>
      <c r="P349">
        <f>IF(Table1[[#This Row],[وسيلة الدفع]]="تحويل",1,0)</f>
        <v>1</v>
      </c>
      <c r="Q349">
        <f>IF(Table1[[#This Row],[حضر التهيئة]]="نعم",1,0)</f>
        <v>1</v>
      </c>
      <c r="R349">
        <f>IF(Table1[[#This Row],[دورة الفوترة]]="شهري",1,0)</f>
        <v>1</v>
      </c>
    </row>
    <row r="350" spans="1:18" x14ac:dyDescent="0.25">
      <c r="A350" t="s">
        <v>370</v>
      </c>
      <c r="B350" s="1">
        <v>45568</v>
      </c>
      <c r="C350" t="s">
        <v>19</v>
      </c>
      <c r="D350">
        <v>189</v>
      </c>
      <c r="E350" t="s">
        <v>20</v>
      </c>
      <c r="F350">
        <v>8</v>
      </c>
      <c r="G350" t="s">
        <v>15</v>
      </c>
      <c r="H350">
        <v>2</v>
      </c>
      <c r="I350">
        <v>10</v>
      </c>
      <c r="J350">
        <v>0</v>
      </c>
      <c r="K350" t="s">
        <v>16</v>
      </c>
      <c r="L350" t="s">
        <v>17</v>
      </c>
      <c r="M350">
        <f>IF(Table1[[#This Row],[ألغى الاشتراك]]="نعم",1,0)</f>
        <v>0</v>
      </c>
      <c r="N350">
        <f>IF(Table1[[#This Row],[وسيلة الدفع]]="بطاقة",1,0)</f>
        <v>1</v>
      </c>
      <c r="O350">
        <f>IF(Table1[[#This Row],[وسيلة الدفع]]="محفظة",1,0)</f>
        <v>0</v>
      </c>
      <c r="P350">
        <f>IF(Table1[[#This Row],[وسيلة الدفع]]="تحويل",1,0)</f>
        <v>0</v>
      </c>
      <c r="Q350">
        <f>IF(Table1[[#This Row],[حضر التهيئة]]="نعم",1,0)</f>
        <v>1</v>
      </c>
      <c r="R350">
        <f>IF(Table1[[#This Row],[دورة الفوترة]]="شهري",1,0)</f>
        <v>0</v>
      </c>
    </row>
    <row r="351" spans="1:18" x14ac:dyDescent="0.25">
      <c r="A351" t="s">
        <v>371</v>
      </c>
      <c r="B351" s="1">
        <v>45973</v>
      </c>
      <c r="C351" t="s">
        <v>28</v>
      </c>
      <c r="D351">
        <v>39</v>
      </c>
      <c r="E351" t="s">
        <v>14</v>
      </c>
      <c r="F351">
        <v>3</v>
      </c>
      <c r="G351" t="s">
        <v>15</v>
      </c>
      <c r="H351">
        <v>9</v>
      </c>
      <c r="I351">
        <v>39</v>
      </c>
      <c r="J351">
        <v>0</v>
      </c>
      <c r="K351" t="s">
        <v>17</v>
      </c>
      <c r="L351" t="s">
        <v>17</v>
      </c>
      <c r="M351">
        <f>IF(Table1[[#This Row],[ألغى الاشتراك]]="نعم",1,0)</f>
        <v>0</v>
      </c>
      <c r="N351">
        <f>IF(Table1[[#This Row],[وسيلة الدفع]]="بطاقة",1,0)</f>
        <v>1</v>
      </c>
      <c r="O351">
        <f>IF(Table1[[#This Row],[وسيلة الدفع]]="محفظة",1,0)</f>
        <v>0</v>
      </c>
      <c r="P351">
        <f>IF(Table1[[#This Row],[وسيلة الدفع]]="تحويل",1,0)</f>
        <v>0</v>
      </c>
      <c r="Q351">
        <f>IF(Table1[[#This Row],[حضر التهيئة]]="نعم",1,0)</f>
        <v>0</v>
      </c>
      <c r="R351">
        <f>IF(Table1[[#This Row],[دورة الفوترة]]="شهري",1,0)</f>
        <v>1</v>
      </c>
    </row>
    <row r="352" spans="1:18" x14ac:dyDescent="0.25">
      <c r="A352" t="s">
        <v>372</v>
      </c>
      <c r="B352" s="1">
        <v>45647</v>
      </c>
      <c r="C352" t="s">
        <v>19</v>
      </c>
      <c r="D352">
        <v>189</v>
      </c>
      <c r="E352" t="s">
        <v>14</v>
      </c>
      <c r="F352">
        <v>16</v>
      </c>
      <c r="G352" t="s">
        <v>21</v>
      </c>
      <c r="H352">
        <v>0</v>
      </c>
      <c r="I352">
        <v>48</v>
      </c>
      <c r="J352">
        <v>0</v>
      </c>
      <c r="K352" t="s">
        <v>17</v>
      </c>
      <c r="L352" t="s">
        <v>17</v>
      </c>
      <c r="M352">
        <f>IF(Table1[[#This Row],[ألغى الاشتراك]]="نعم",1,0)</f>
        <v>0</v>
      </c>
      <c r="N352">
        <f>IF(Table1[[#This Row],[وسيلة الدفع]]="بطاقة",1,0)</f>
        <v>0</v>
      </c>
      <c r="O352">
        <f>IF(Table1[[#This Row],[وسيلة الدفع]]="محفظة",1,0)</f>
        <v>1</v>
      </c>
      <c r="P352">
        <f>IF(Table1[[#This Row],[وسيلة الدفع]]="تحويل",1,0)</f>
        <v>0</v>
      </c>
      <c r="Q352">
        <f>IF(Table1[[#This Row],[حضر التهيئة]]="نعم",1,0)</f>
        <v>0</v>
      </c>
      <c r="R352">
        <f>IF(Table1[[#This Row],[دورة الفوترة]]="شهري",1,0)</f>
        <v>1</v>
      </c>
    </row>
    <row r="353" spans="1:18" x14ac:dyDescent="0.25">
      <c r="A353" t="s">
        <v>373</v>
      </c>
      <c r="B353" s="1">
        <v>45671</v>
      </c>
      <c r="C353" t="s">
        <v>19</v>
      </c>
      <c r="D353">
        <v>189</v>
      </c>
      <c r="E353" t="s">
        <v>20</v>
      </c>
      <c r="F353">
        <v>11</v>
      </c>
      <c r="G353" t="s">
        <v>23</v>
      </c>
      <c r="H353">
        <v>2</v>
      </c>
      <c r="I353">
        <v>55</v>
      </c>
      <c r="J353">
        <v>0</v>
      </c>
      <c r="K353" t="s">
        <v>16</v>
      </c>
      <c r="L353" t="s">
        <v>17</v>
      </c>
      <c r="M353">
        <f>IF(Table1[[#This Row],[ألغى الاشتراك]]="نعم",1,0)</f>
        <v>0</v>
      </c>
      <c r="N353">
        <f>IF(Table1[[#This Row],[وسيلة الدفع]]="بطاقة",1,0)</f>
        <v>0</v>
      </c>
      <c r="O353">
        <f>IF(Table1[[#This Row],[وسيلة الدفع]]="محفظة",1,0)</f>
        <v>0</v>
      </c>
      <c r="P353">
        <f>IF(Table1[[#This Row],[وسيلة الدفع]]="تحويل",1,0)</f>
        <v>1</v>
      </c>
      <c r="Q353">
        <f>IF(Table1[[#This Row],[حضر التهيئة]]="نعم",1,0)</f>
        <v>1</v>
      </c>
      <c r="R353">
        <f>IF(Table1[[#This Row],[دورة الفوترة]]="شهري",1,0)</f>
        <v>0</v>
      </c>
    </row>
    <row r="354" spans="1:18" x14ac:dyDescent="0.25">
      <c r="A354" t="s">
        <v>374</v>
      </c>
      <c r="B354" s="1">
        <v>45325</v>
      </c>
      <c r="C354" t="s">
        <v>13</v>
      </c>
      <c r="D354">
        <v>89</v>
      </c>
      <c r="E354" t="s">
        <v>14</v>
      </c>
      <c r="F354">
        <v>24</v>
      </c>
      <c r="G354" t="s">
        <v>23</v>
      </c>
      <c r="H354">
        <v>3</v>
      </c>
      <c r="I354">
        <v>50</v>
      </c>
      <c r="J354">
        <v>0</v>
      </c>
      <c r="K354" t="s">
        <v>17</v>
      </c>
      <c r="L354" t="s">
        <v>17</v>
      </c>
      <c r="M354">
        <f>IF(Table1[[#This Row],[ألغى الاشتراك]]="نعم",1,0)</f>
        <v>0</v>
      </c>
      <c r="N354">
        <f>IF(Table1[[#This Row],[وسيلة الدفع]]="بطاقة",1,0)</f>
        <v>0</v>
      </c>
      <c r="O354">
        <f>IF(Table1[[#This Row],[وسيلة الدفع]]="محفظة",1,0)</f>
        <v>0</v>
      </c>
      <c r="P354">
        <f>IF(Table1[[#This Row],[وسيلة الدفع]]="تحويل",1,0)</f>
        <v>1</v>
      </c>
      <c r="Q354">
        <f>IF(Table1[[#This Row],[حضر التهيئة]]="نعم",1,0)</f>
        <v>0</v>
      </c>
      <c r="R354">
        <f>IF(Table1[[#This Row],[دورة الفوترة]]="شهري",1,0)</f>
        <v>1</v>
      </c>
    </row>
    <row r="355" spans="1:18" x14ac:dyDescent="0.25">
      <c r="A355" t="s">
        <v>375</v>
      </c>
      <c r="B355" s="1">
        <v>45985</v>
      </c>
      <c r="C355" t="s">
        <v>19</v>
      </c>
      <c r="D355">
        <v>189</v>
      </c>
      <c r="E355" t="s">
        <v>14</v>
      </c>
      <c r="F355">
        <v>19</v>
      </c>
      <c r="G355" t="s">
        <v>15</v>
      </c>
      <c r="H355">
        <v>11</v>
      </c>
      <c r="I355">
        <v>39</v>
      </c>
      <c r="J355">
        <v>0</v>
      </c>
      <c r="K355" t="s">
        <v>17</v>
      </c>
      <c r="L355" t="s">
        <v>17</v>
      </c>
      <c r="M355">
        <f>IF(Table1[[#This Row],[ألغى الاشتراك]]="نعم",1,0)</f>
        <v>0</v>
      </c>
      <c r="N355">
        <f>IF(Table1[[#This Row],[وسيلة الدفع]]="بطاقة",1,0)</f>
        <v>1</v>
      </c>
      <c r="O355">
        <f>IF(Table1[[#This Row],[وسيلة الدفع]]="محفظة",1,0)</f>
        <v>0</v>
      </c>
      <c r="P355">
        <f>IF(Table1[[#This Row],[وسيلة الدفع]]="تحويل",1,0)</f>
        <v>0</v>
      </c>
      <c r="Q355">
        <f>IF(Table1[[#This Row],[حضر التهيئة]]="نعم",1,0)</f>
        <v>0</v>
      </c>
      <c r="R355">
        <f>IF(Table1[[#This Row],[دورة الفوترة]]="شهري",1,0)</f>
        <v>1</v>
      </c>
    </row>
    <row r="356" spans="1:18" x14ac:dyDescent="0.25">
      <c r="A356" t="s">
        <v>376</v>
      </c>
      <c r="B356" s="1">
        <v>45383</v>
      </c>
      <c r="C356" t="s">
        <v>19</v>
      </c>
      <c r="D356">
        <v>189</v>
      </c>
      <c r="E356" t="s">
        <v>14</v>
      </c>
      <c r="F356">
        <v>12</v>
      </c>
      <c r="G356" t="s">
        <v>21</v>
      </c>
      <c r="H356">
        <v>0</v>
      </c>
      <c r="I356">
        <v>6</v>
      </c>
      <c r="J356">
        <v>0</v>
      </c>
      <c r="K356" t="s">
        <v>17</v>
      </c>
      <c r="L356" t="s">
        <v>16</v>
      </c>
      <c r="M356">
        <f>IF(Table1[[#This Row],[ألغى الاشتراك]]="نعم",1,0)</f>
        <v>1</v>
      </c>
      <c r="N356">
        <f>IF(Table1[[#This Row],[وسيلة الدفع]]="بطاقة",1,0)</f>
        <v>0</v>
      </c>
      <c r="O356">
        <f>IF(Table1[[#This Row],[وسيلة الدفع]]="محفظة",1,0)</f>
        <v>1</v>
      </c>
      <c r="P356">
        <f>IF(Table1[[#This Row],[وسيلة الدفع]]="تحويل",1,0)</f>
        <v>0</v>
      </c>
      <c r="Q356">
        <f>IF(Table1[[#This Row],[حضر التهيئة]]="نعم",1,0)</f>
        <v>0</v>
      </c>
      <c r="R356">
        <f>IF(Table1[[#This Row],[دورة الفوترة]]="شهري",1,0)</f>
        <v>1</v>
      </c>
    </row>
    <row r="357" spans="1:18" x14ac:dyDescent="0.25">
      <c r="A357" t="s">
        <v>377</v>
      </c>
      <c r="B357" s="1">
        <v>45799</v>
      </c>
      <c r="C357" t="s">
        <v>19</v>
      </c>
      <c r="D357">
        <v>189</v>
      </c>
      <c r="E357" t="s">
        <v>14</v>
      </c>
      <c r="F357">
        <v>11</v>
      </c>
      <c r="G357" t="s">
        <v>23</v>
      </c>
      <c r="H357">
        <v>1</v>
      </c>
      <c r="I357">
        <v>5</v>
      </c>
      <c r="J357">
        <v>0</v>
      </c>
      <c r="K357" t="s">
        <v>16</v>
      </c>
      <c r="L357" t="s">
        <v>17</v>
      </c>
      <c r="M357">
        <f>IF(Table1[[#This Row],[ألغى الاشتراك]]="نعم",1,0)</f>
        <v>0</v>
      </c>
      <c r="N357">
        <f>IF(Table1[[#This Row],[وسيلة الدفع]]="بطاقة",1,0)</f>
        <v>0</v>
      </c>
      <c r="O357">
        <f>IF(Table1[[#This Row],[وسيلة الدفع]]="محفظة",1,0)</f>
        <v>0</v>
      </c>
      <c r="P357">
        <f>IF(Table1[[#This Row],[وسيلة الدفع]]="تحويل",1,0)</f>
        <v>1</v>
      </c>
      <c r="Q357">
        <f>IF(Table1[[#This Row],[حضر التهيئة]]="نعم",1,0)</f>
        <v>1</v>
      </c>
      <c r="R357">
        <f>IF(Table1[[#This Row],[دورة الفوترة]]="شهري",1,0)</f>
        <v>1</v>
      </c>
    </row>
    <row r="358" spans="1:18" x14ac:dyDescent="0.25">
      <c r="A358" t="s">
        <v>378</v>
      </c>
      <c r="B358" s="1">
        <v>45454</v>
      </c>
      <c r="C358" t="s">
        <v>19</v>
      </c>
      <c r="D358">
        <v>189</v>
      </c>
      <c r="E358" t="s">
        <v>14</v>
      </c>
      <c r="F358">
        <v>2</v>
      </c>
      <c r="G358" t="s">
        <v>21</v>
      </c>
      <c r="H358">
        <v>1</v>
      </c>
      <c r="I358">
        <v>34</v>
      </c>
      <c r="J358">
        <v>0</v>
      </c>
      <c r="K358" t="s">
        <v>16</v>
      </c>
      <c r="L358" t="s">
        <v>17</v>
      </c>
      <c r="M358">
        <f>IF(Table1[[#This Row],[ألغى الاشتراك]]="نعم",1,0)</f>
        <v>0</v>
      </c>
      <c r="N358">
        <f>IF(Table1[[#This Row],[وسيلة الدفع]]="بطاقة",1,0)</f>
        <v>0</v>
      </c>
      <c r="O358">
        <f>IF(Table1[[#This Row],[وسيلة الدفع]]="محفظة",1,0)</f>
        <v>1</v>
      </c>
      <c r="P358">
        <f>IF(Table1[[#This Row],[وسيلة الدفع]]="تحويل",1,0)</f>
        <v>0</v>
      </c>
      <c r="Q358">
        <f>IF(Table1[[#This Row],[حضر التهيئة]]="نعم",1,0)</f>
        <v>1</v>
      </c>
      <c r="R358">
        <f>IF(Table1[[#This Row],[دورة الفوترة]]="شهري",1,0)</f>
        <v>1</v>
      </c>
    </row>
    <row r="359" spans="1:18" x14ac:dyDescent="0.25">
      <c r="A359" t="s">
        <v>379</v>
      </c>
      <c r="B359" s="1">
        <v>45842</v>
      </c>
      <c r="C359" t="s">
        <v>13</v>
      </c>
      <c r="D359">
        <v>89</v>
      </c>
      <c r="E359" t="s">
        <v>20</v>
      </c>
      <c r="F359">
        <v>3</v>
      </c>
      <c r="G359" t="s">
        <v>15</v>
      </c>
      <c r="H359">
        <v>2</v>
      </c>
      <c r="I359">
        <v>29</v>
      </c>
      <c r="J359">
        <v>0</v>
      </c>
      <c r="K359" t="s">
        <v>16</v>
      </c>
      <c r="L359" t="s">
        <v>17</v>
      </c>
      <c r="M359">
        <f>IF(Table1[[#This Row],[ألغى الاشتراك]]="نعم",1,0)</f>
        <v>0</v>
      </c>
      <c r="N359">
        <f>IF(Table1[[#This Row],[وسيلة الدفع]]="بطاقة",1,0)</f>
        <v>1</v>
      </c>
      <c r="O359">
        <f>IF(Table1[[#This Row],[وسيلة الدفع]]="محفظة",1,0)</f>
        <v>0</v>
      </c>
      <c r="P359">
        <f>IF(Table1[[#This Row],[وسيلة الدفع]]="تحويل",1,0)</f>
        <v>0</v>
      </c>
      <c r="Q359">
        <f>IF(Table1[[#This Row],[حضر التهيئة]]="نعم",1,0)</f>
        <v>1</v>
      </c>
      <c r="R359">
        <f>IF(Table1[[#This Row],[دورة الفوترة]]="شهري",1,0)</f>
        <v>0</v>
      </c>
    </row>
    <row r="360" spans="1:18" x14ac:dyDescent="0.25">
      <c r="A360" t="s">
        <v>380</v>
      </c>
      <c r="B360" s="1">
        <v>45643</v>
      </c>
      <c r="C360" t="s">
        <v>19</v>
      </c>
      <c r="D360">
        <v>189</v>
      </c>
      <c r="E360" t="s">
        <v>20</v>
      </c>
      <c r="F360">
        <v>12</v>
      </c>
      <c r="G360" t="s">
        <v>23</v>
      </c>
      <c r="H360">
        <v>2</v>
      </c>
      <c r="I360">
        <v>22</v>
      </c>
      <c r="J360">
        <v>0</v>
      </c>
      <c r="K360" t="s">
        <v>17</v>
      </c>
      <c r="L360" t="s">
        <v>17</v>
      </c>
      <c r="M360">
        <f>IF(Table1[[#This Row],[ألغى الاشتراك]]="نعم",1,0)</f>
        <v>0</v>
      </c>
      <c r="N360">
        <f>IF(Table1[[#This Row],[وسيلة الدفع]]="بطاقة",1,0)</f>
        <v>0</v>
      </c>
      <c r="O360">
        <f>IF(Table1[[#This Row],[وسيلة الدفع]]="محفظة",1,0)</f>
        <v>0</v>
      </c>
      <c r="P360">
        <f>IF(Table1[[#This Row],[وسيلة الدفع]]="تحويل",1,0)</f>
        <v>1</v>
      </c>
      <c r="Q360">
        <f>IF(Table1[[#This Row],[حضر التهيئة]]="نعم",1,0)</f>
        <v>0</v>
      </c>
      <c r="R360">
        <f>IF(Table1[[#This Row],[دورة الفوترة]]="شهري",1,0)</f>
        <v>0</v>
      </c>
    </row>
    <row r="361" spans="1:18" x14ac:dyDescent="0.25">
      <c r="A361" t="s">
        <v>381</v>
      </c>
      <c r="B361" s="1">
        <v>45659</v>
      </c>
      <c r="C361" t="s">
        <v>13</v>
      </c>
      <c r="D361">
        <v>89</v>
      </c>
      <c r="E361" t="s">
        <v>20</v>
      </c>
      <c r="F361">
        <v>29</v>
      </c>
      <c r="G361" t="s">
        <v>21</v>
      </c>
      <c r="H361">
        <v>2</v>
      </c>
      <c r="I361">
        <v>53</v>
      </c>
      <c r="J361">
        <v>0</v>
      </c>
      <c r="K361" t="s">
        <v>17</v>
      </c>
      <c r="L361" t="s">
        <v>17</v>
      </c>
      <c r="M361">
        <f>IF(Table1[[#This Row],[ألغى الاشتراك]]="نعم",1,0)</f>
        <v>0</v>
      </c>
      <c r="N361">
        <f>IF(Table1[[#This Row],[وسيلة الدفع]]="بطاقة",1,0)</f>
        <v>0</v>
      </c>
      <c r="O361">
        <f>IF(Table1[[#This Row],[وسيلة الدفع]]="محفظة",1,0)</f>
        <v>1</v>
      </c>
      <c r="P361">
        <f>IF(Table1[[#This Row],[وسيلة الدفع]]="تحويل",1,0)</f>
        <v>0</v>
      </c>
      <c r="Q361">
        <f>IF(Table1[[#This Row],[حضر التهيئة]]="نعم",1,0)</f>
        <v>0</v>
      </c>
      <c r="R361">
        <f>IF(Table1[[#This Row],[دورة الفوترة]]="شهري",1,0)</f>
        <v>0</v>
      </c>
    </row>
    <row r="362" spans="1:18" x14ac:dyDescent="0.25">
      <c r="A362" t="s">
        <v>382</v>
      </c>
      <c r="B362" s="1">
        <v>45458</v>
      </c>
      <c r="C362" t="s">
        <v>19</v>
      </c>
      <c r="D362">
        <v>189</v>
      </c>
      <c r="E362" t="s">
        <v>20</v>
      </c>
      <c r="F362">
        <v>4</v>
      </c>
      <c r="G362" t="s">
        <v>15</v>
      </c>
      <c r="H362">
        <v>0</v>
      </c>
      <c r="I362">
        <v>54</v>
      </c>
      <c r="J362">
        <v>0</v>
      </c>
      <c r="K362" t="s">
        <v>16</v>
      </c>
      <c r="L362" t="s">
        <v>17</v>
      </c>
      <c r="M362">
        <f>IF(Table1[[#This Row],[ألغى الاشتراك]]="نعم",1,0)</f>
        <v>0</v>
      </c>
      <c r="N362">
        <f>IF(Table1[[#This Row],[وسيلة الدفع]]="بطاقة",1,0)</f>
        <v>1</v>
      </c>
      <c r="O362">
        <f>IF(Table1[[#This Row],[وسيلة الدفع]]="محفظة",1,0)</f>
        <v>0</v>
      </c>
      <c r="P362">
        <f>IF(Table1[[#This Row],[وسيلة الدفع]]="تحويل",1,0)</f>
        <v>0</v>
      </c>
      <c r="Q362">
        <f>IF(Table1[[#This Row],[حضر التهيئة]]="نعم",1,0)</f>
        <v>1</v>
      </c>
      <c r="R362">
        <f>IF(Table1[[#This Row],[دورة الفوترة]]="شهري",1,0)</f>
        <v>0</v>
      </c>
    </row>
    <row r="363" spans="1:18" x14ac:dyDescent="0.25">
      <c r="A363" t="s">
        <v>383</v>
      </c>
      <c r="B363" s="1">
        <v>45989</v>
      </c>
      <c r="C363" t="s">
        <v>19</v>
      </c>
      <c r="D363">
        <v>189</v>
      </c>
      <c r="E363" t="s">
        <v>14</v>
      </c>
      <c r="F363">
        <v>25</v>
      </c>
      <c r="G363" t="s">
        <v>23</v>
      </c>
      <c r="H363">
        <v>6</v>
      </c>
      <c r="I363">
        <v>29</v>
      </c>
      <c r="J363">
        <v>0</v>
      </c>
      <c r="K363" t="s">
        <v>16</v>
      </c>
      <c r="L363" t="s">
        <v>17</v>
      </c>
      <c r="M363">
        <f>IF(Table1[[#This Row],[ألغى الاشتراك]]="نعم",1,0)</f>
        <v>0</v>
      </c>
      <c r="N363">
        <f>IF(Table1[[#This Row],[وسيلة الدفع]]="بطاقة",1,0)</f>
        <v>0</v>
      </c>
      <c r="O363">
        <f>IF(Table1[[#This Row],[وسيلة الدفع]]="محفظة",1,0)</f>
        <v>0</v>
      </c>
      <c r="P363">
        <f>IF(Table1[[#This Row],[وسيلة الدفع]]="تحويل",1,0)</f>
        <v>1</v>
      </c>
      <c r="Q363">
        <f>IF(Table1[[#This Row],[حضر التهيئة]]="نعم",1,0)</f>
        <v>1</v>
      </c>
      <c r="R363">
        <f>IF(Table1[[#This Row],[دورة الفوترة]]="شهري",1,0)</f>
        <v>1</v>
      </c>
    </row>
    <row r="364" spans="1:18" x14ac:dyDescent="0.25">
      <c r="A364" t="s">
        <v>384</v>
      </c>
      <c r="B364" s="1">
        <v>45683</v>
      </c>
      <c r="C364" t="s">
        <v>19</v>
      </c>
      <c r="D364">
        <v>189</v>
      </c>
      <c r="E364" t="s">
        <v>14</v>
      </c>
      <c r="F364">
        <v>12</v>
      </c>
      <c r="G364" t="s">
        <v>21</v>
      </c>
      <c r="H364">
        <v>2</v>
      </c>
      <c r="I364">
        <v>22</v>
      </c>
      <c r="J364">
        <v>5</v>
      </c>
      <c r="K364" t="s">
        <v>16</v>
      </c>
      <c r="L364" t="s">
        <v>17</v>
      </c>
      <c r="M364">
        <f>IF(Table1[[#This Row],[ألغى الاشتراك]]="نعم",1,0)</f>
        <v>0</v>
      </c>
      <c r="N364">
        <f>IF(Table1[[#This Row],[وسيلة الدفع]]="بطاقة",1,0)</f>
        <v>0</v>
      </c>
      <c r="O364">
        <f>IF(Table1[[#This Row],[وسيلة الدفع]]="محفظة",1,0)</f>
        <v>1</v>
      </c>
      <c r="P364">
        <f>IF(Table1[[#This Row],[وسيلة الدفع]]="تحويل",1,0)</f>
        <v>0</v>
      </c>
      <c r="Q364">
        <f>IF(Table1[[#This Row],[حضر التهيئة]]="نعم",1,0)</f>
        <v>1</v>
      </c>
      <c r="R364">
        <f>IF(Table1[[#This Row],[دورة الفوترة]]="شهري",1,0)</f>
        <v>1</v>
      </c>
    </row>
    <row r="365" spans="1:18" x14ac:dyDescent="0.25">
      <c r="A365" t="s">
        <v>385</v>
      </c>
      <c r="B365" s="1">
        <v>45576</v>
      </c>
      <c r="C365" t="s">
        <v>13</v>
      </c>
      <c r="D365">
        <v>89</v>
      </c>
      <c r="E365" t="s">
        <v>14</v>
      </c>
      <c r="F365">
        <v>4</v>
      </c>
      <c r="G365" t="s">
        <v>21</v>
      </c>
      <c r="H365">
        <v>9</v>
      </c>
      <c r="I365">
        <v>24</v>
      </c>
      <c r="J365">
        <v>0</v>
      </c>
      <c r="K365" t="s">
        <v>17</v>
      </c>
      <c r="L365" t="s">
        <v>17</v>
      </c>
      <c r="M365">
        <f>IF(Table1[[#This Row],[ألغى الاشتراك]]="نعم",1,0)</f>
        <v>0</v>
      </c>
      <c r="N365">
        <f>IF(Table1[[#This Row],[وسيلة الدفع]]="بطاقة",1,0)</f>
        <v>0</v>
      </c>
      <c r="O365">
        <f>IF(Table1[[#This Row],[وسيلة الدفع]]="محفظة",1,0)</f>
        <v>1</v>
      </c>
      <c r="P365">
        <f>IF(Table1[[#This Row],[وسيلة الدفع]]="تحويل",1,0)</f>
        <v>0</v>
      </c>
      <c r="Q365">
        <f>IF(Table1[[#This Row],[حضر التهيئة]]="نعم",1,0)</f>
        <v>0</v>
      </c>
      <c r="R365">
        <f>IF(Table1[[#This Row],[دورة الفوترة]]="شهري",1,0)</f>
        <v>1</v>
      </c>
    </row>
    <row r="366" spans="1:18" x14ac:dyDescent="0.25">
      <c r="A366" t="s">
        <v>386</v>
      </c>
      <c r="B366" s="1">
        <v>45505</v>
      </c>
      <c r="C366" t="s">
        <v>28</v>
      </c>
      <c r="D366">
        <v>39</v>
      </c>
      <c r="E366" t="s">
        <v>14</v>
      </c>
      <c r="F366">
        <v>15</v>
      </c>
      <c r="G366" t="s">
        <v>23</v>
      </c>
      <c r="H366">
        <v>1</v>
      </c>
      <c r="I366">
        <v>51</v>
      </c>
      <c r="J366">
        <v>25</v>
      </c>
      <c r="K366" t="s">
        <v>17</v>
      </c>
      <c r="L366" t="s">
        <v>17</v>
      </c>
      <c r="M366">
        <f>IF(Table1[[#This Row],[ألغى الاشتراك]]="نعم",1,0)</f>
        <v>0</v>
      </c>
      <c r="N366">
        <f>IF(Table1[[#This Row],[وسيلة الدفع]]="بطاقة",1,0)</f>
        <v>0</v>
      </c>
      <c r="O366">
        <f>IF(Table1[[#This Row],[وسيلة الدفع]]="محفظة",1,0)</f>
        <v>0</v>
      </c>
      <c r="P366">
        <f>IF(Table1[[#This Row],[وسيلة الدفع]]="تحويل",1,0)</f>
        <v>1</v>
      </c>
      <c r="Q366">
        <f>IF(Table1[[#This Row],[حضر التهيئة]]="نعم",1,0)</f>
        <v>0</v>
      </c>
      <c r="R366">
        <f>IF(Table1[[#This Row],[دورة الفوترة]]="شهري",1,0)</f>
        <v>1</v>
      </c>
    </row>
    <row r="367" spans="1:18" x14ac:dyDescent="0.25">
      <c r="A367" t="s">
        <v>387</v>
      </c>
      <c r="B367" s="1">
        <v>45779</v>
      </c>
      <c r="C367" t="s">
        <v>28</v>
      </c>
      <c r="D367">
        <v>39</v>
      </c>
      <c r="E367" t="s">
        <v>14</v>
      </c>
      <c r="F367">
        <v>21</v>
      </c>
      <c r="G367" t="s">
        <v>21</v>
      </c>
      <c r="H367">
        <v>0</v>
      </c>
      <c r="I367">
        <v>43</v>
      </c>
      <c r="J367">
        <v>0</v>
      </c>
      <c r="K367" t="s">
        <v>16</v>
      </c>
      <c r="L367" t="s">
        <v>17</v>
      </c>
      <c r="M367">
        <f>IF(Table1[[#This Row],[ألغى الاشتراك]]="نعم",1,0)</f>
        <v>0</v>
      </c>
      <c r="N367">
        <f>IF(Table1[[#This Row],[وسيلة الدفع]]="بطاقة",1,0)</f>
        <v>0</v>
      </c>
      <c r="O367">
        <f>IF(Table1[[#This Row],[وسيلة الدفع]]="محفظة",1,0)</f>
        <v>1</v>
      </c>
      <c r="P367">
        <f>IF(Table1[[#This Row],[وسيلة الدفع]]="تحويل",1,0)</f>
        <v>0</v>
      </c>
      <c r="Q367">
        <f>IF(Table1[[#This Row],[حضر التهيئة]]="نعم",1,0)</f>
        <v>1</v>
      </c>
      <c r="R367">
        <f>IF(Table1[[#This Row],[دورة الفوترة]]="شهري",1,0)</f>
        <v>1</v>
      </c>
    </row>
    <row r="368" spans="1:18" x14ac:dyDescent="0.25">
      <c r="A368" t="s">
        <v>388</v>
      </c>
      <c r="B368" s="1">
        <v>45349</v>
      </c>
      <c r="C368" t="s">
        <v>13</v>
      </c>
      <c r="D368">
        <v>89</v>
      </c>
      <c r="E368" t="s">
        <v>20</v>
      </c>
      <c r="F368">
        <v>28</v>
      </c>
      <c r="G368" t="s">
        <v>23</v>
      </c>
      <c r="H368">
        <v>10</v>
      </c>
      <c r="I368">
        <v>42</v>
      </c>
      <c r="J368">
        <v>0</v>
      </c>
      <c r="K368" t="s">
        <v>17</v>
      </c>
      <c r="L368" t="s">
        <v>17</v>
      </c>
      <c r="M368">
        <f>IF(Table1[[#This Row],[ألغى الاشتراك]]="نعم",1,0)</f>
        <v>0</v>
      </c>
      <c r="N368">
        <f>IF(Table1[[#This Row],[وسيلة الدفع]]="بطاقة",1,0)</f>
        <v>0</v>
      </c>
      <c r="O368">
        <f>IF(Table1[[#This Row],[وسيلة الدفع]]="محفظة",1,0)</f>
        <v>0</v>
      </c>
      <c r="P368">
        <f>IF(Table1[[#This Row],[وسيلة الدفع]]="تحويل",1,0)</f>
        <v>1</v>
      </c>
      <c r="Q368">
        <f>IF(Table1[[#This Row],[حضر التهيئة]]="نعم",1,0)</f>
        <v>0</v>
      </c>
      <c r="R368">
        <f>IF(Table1[[#This Row],[دورة الفوترة]]="شهري",1,0)</f>
        <v>0</v>
      </c>
    </row>
    <row r="369" spans="1:18" x14ac:dyDescent="0.25">
      <c r="A369" t="s">
        <v>389</v>
      </c>
      <c r="B369" s="1">
        <v>45965</v>
      </c>
      <c r="C369" t="s">
        <v>19</v>
      </c>
      <c r="D369">
        <v>189</v>
      </c>
      <c r="E369" t="s">
        <v>20</v>
      </c>
      <c r="F369">
        <v>11</v>
      </c>
      <c r="G369" t="s">
        <v>23</v>
      </c>
      <c r="H369">
        <v>8</v>
      </c>
      <c r="I369">
        <v>37</v>
      </c>
      <c r="J369">
        <v>0</v>
      </c>
      <c r="K369" t="s">
        <v>16</v>
      </c>
      <c r="L369" t="s">
        <v>17</v>
      </c>
      <c r="M369">
        <f>IF(Table1[[#This Row],[ألغى الاشتراك]]="نعم",1,0)</f>
        <v>0</v>
      </c>
      <c r="N369">
        <f>IF(Table1[[#This Row],[وسيلة الدفع]]="بطاقة",1,0)</f>
        <v>0</v>
      </c>
      <c r="O369">
        <f>IF(Table1[[#This Row],[وسيلة الدفع]]="محفظة",1,0)</f>
        <v>0</v>
      </c>
      <c r="P369">
        <f>IF(Table1[[#This Row],[وسيلة الدفع]]="تحويل",1,0)</f>
        <v>1</v>
      </c>
      <c r="Q369">
        <f>IF(Table1[[#This Row],[حضر التهيئة]]="نعم",1,0)</f>
        <v>1</v>
      </c>
      <c r="R369">
        <f>IF(Table1[[#This Row],[دورة الفوترة]]="شهري",1,0)</f>
        <v>0</v>
      </c>
    </row>
    <row r="370" spans="1:18" x14ac:dyDescent="0.25">
      <c r="A370" t="s">
        <v>390</v>
      </c>
      <c r="B370" s="1">
        <v>45505</v>
      </c>
      <c r="C370" t="s">
        <v>19</v>
      </c>
      <c r="D370">
        <v>189</v>
      </c>
      <c r="E370" t="s">
        <v>14</v>
      </c>
      <c r="F370">
        <v>24</v>
      </c>
      <c r="G370" t="s">
        <v>21</v>
      </c>
      <c r="H370">
        <v>1</v>
      </c>
      <c r="I370">
        <v>14</v>
      </c>
      <c r="J370">
        <v>0</v>
      </c>
      <c r="K370" t="s">
        <v>17</v>
      </c>
      <c r="L370" t="s">
        <v>17</v>
      </c>
      <c r="M370">
        <f>IF(Table1[[#This Row],[ألغى الاشتراك]]="نعم",1,0)</f>
        <v>0</v>
      </c>
      <c r="N370">
        <f>IF(Table1[[#This Row],[وسيلة الدفع]]="بطاقة",1,0)</f>
        <v>0</v>
      </c>
      <c r="O370">
        <f>IF(Table1[[#This Row],[وسيلة الدفع]]="محفظة",1,0)</f>
        <v>1</v>
      </c>
      <c r="P370">
        <f>IF(Table1[[#This Row],[وسيلة الدفع]]="تحويل",1,0)</f>
        <v>0</v>
      </c>
      <c r="Q370">
        <f>IF(Table1[[#This Row],[حضر التهيئة]]="نعم",1,0)</f>
        <v>0</v>
      </c>
      <c r="R370">
        <f>IF(Table1[[#This Row],[دورة الفوترة]]="شهري",1,0)</f>
        <v>1</v>
      </c>
    </row>
    <row r="371" spans="1:18" x14ac:dyDescent="0.25">
      <c r="A371" t="s">
        <v>391</v>
      </c>
      <c r="B371" s="1">
        <v>45470</v>
      </c>
      <c r="C371" t="s">
        <v>19</v>
      </c>
      <c r="D371">
        <v>189</v>
      </c>
      <c r="E371" t="s">
        <v>14</v>
      </c>
      <c r="F371">
        <v>25</v>
      </c>
      <c r="G371" t="s">
        <v>21</v>
      </c>
      <c r="H371">
        <v>1</v>
      </c>
      <c r="I371">
        <v>49</v>
      </c>
      <c r="J371">
        <v>10</v>
      </c>
      <c r="K371" t="s">
        <v>16</v>
      </c>
      <c r="L371" t="s">
        <v>17</v>
      </c>
      <c r="M371">
        <f>IF(Table1[[#This Row],[ألغى الاشتراك]]="نعم",1,0)</f>
        <v>0</v>
      </c>
      <c r="N371">
        <f>IF(Table1[[#This Row],[وسيلة الدفع]]="بطاقة",1,0)</f>
        <v>0</v>
      </c>
      <c r="O371">
        <f>IF(Table1[[#This Row],[وسيلة الدفع]]="محفظة",1,0)</f>
        <v>1</v>
      </c>
      <c r="P371">
        <f>IF(Table1[[#This Row],[وسيلة الدفع]]="تحويل",1,0)</f>
        <v>0</v>
      </c>
      <c r="Q371">
        <f>IF(Table1[[#This Row],[حضر التهيئة]]="نعم",1,0)</f>
        <v>1</v>
      </c>
      <c r="R371">
        <f>IF(Table1[[#This Row],[دورة الفوترة]]="شهري",1,0)</f>
        <v>1</v>
      </c>
    </row>
    <row r="372" spans="1:18" x14ac:dyDescent="0.25">
      <c r="A372" t="s">
        <v>392</v>
      </c>
      <c r="B372" s="1">
        <v>45850</v>
      </c>
      <c r="C372" t="s">
        <v>19</v>
      </c>
      <c r="D372">
        <v>189</v>
      </c>
      <c r="E372" t="s">
        <v>14</v>
      </c>
      <c r="F372">
        <v>21</v>
      </c>
      <c r="G372" t="s">
        <v>15</v>
      </c>
      <c r="H372">
        <v>1</v>
      </c>
      <c r="I372">
        <v>55</v>
      </c>
      <c r="J372">
        <v>0</v>
      </c>
      <c r="K372" t="s">
        <v>17</v>
      </c>
      <c r="L372" t="s">
        <v>17</v>
      </c>
      <c r="M372">
        <f>IF(Table1[[#This Row],[ألغى الاشتراك]]="نعم",1,0)</f>
        <v>0</v>
      </c>
      <c r="N372">
        <f>IF(Table1[[#This Row],[وسيلة الدفع]]="بطاقة",1,0)</f>
        <v>1</v>
      </c>
      <c r="O372">
        <f>IF(Table1[[#This Row],[وسيلة الدفع]]="محفظة",1,0)</f>
        <v>0</v>
      </c>
      <c r="P372">
        <f>IF(Table1[[#This Row],[وسيلة الدفع]]="تحويل",1,0)</f>
        <v>0</v>
      </c>
      <c r="Q372">
        <f>IF(Table1[[#This Row],[حضر التهيئة]]="نعم",1,0)</f>
        <v>0</v>
      </c>
      <c r="R372">
        <f>IF(Table1[[#This Row],[دورة الفوترة]]="شهري",1,0)</f>
        <v>1</v>
      </c>
    </row>
    <row r="373" spans="1:18" x14ac:dyDescent="0.25">
      <c r="A373" t="s">
        <v>393</v>
      </c>
      <c r="B373" s="1">
        <v>45918</v>
      </c>
      <c r="C373" t="s">
        <v>13</v>
      </c>
      <c r="D373">
        <v>89</v>
      </c>
      <c r="E373" t="s">
        <v>14</v>
      </c>
      <c r="F373">
        <v>20</v>
      </c>
      <c r="G373" t="s">
        <v>21</v>
      </c>
      <c r="H373">
        <v>2</v>
      </c>
      <c r="I373">
        <v>4</v>
      </c>
      <c r="J373">
        <v>5</v>
      </c>
      <c r="K373" t="s">
        <v>16</v>
      </c>
      <c r="L373" t="s">
        <v>17</v>
      </c>
      <c r="M373">
        <f>IF(Table1[[#This Row],[ألغى الاشتراك]]="نعم",1,0)</f>
        <v>0</v>
      </c>
      <c r="N373">
        <f>IF(Table1[[#This Row],[وسيلة الدفع]]="بطاقة",1,0)</f>
        <v>0</v>
      </c>
      <c r="O373">
        <f>IF(Table1[[#This Row],[وسيلة الدفع]]="محفظة",1,0)</f>
        <v>1</v>
      </c>
      <c r="P373">
        <f>IF(Table1[[#This Row],[وسيلة الدفع]]="تحويل",1,0)</f>
        <v>0</v>
      </c>
      <c r="Q373">
        <f>IF(Table1[[#This Row],[حضر التهيئة]]="نعم",1,0)</f>
        <v>1</v>
      </c>
      <c r="R373">
        <f>IF(Table1[[#This Row],[دورة الفوترة]]="شهري",1,0)</f>
        <v>1</v>
      </c>
    </row>
    <row r="374" spans="1:18" x14ac:dyDescent="0.25">
      <c r="A374" t="s">
        <v>394</v>
      </c>
      <c r="B374" s="1">
        <v>45466</v>
      </c>
      <c r="C374" t="s">
        <v>19</v>
      </c>
      <c r="D374">
        <v>189</v>
      </c>
      <c r="E374" t="s">
        <v>14</v>
      </c>
      <c r="F374">
        <v>6</v>
      </c>
      <c r="G374" t="s">
        <v>21</v>
      </c>
      <c r="H374">
        <v>2</v>
      </c>
      <c r="I374">
        <v>42</v>
      </c>
      <c r="J374">
        <v>0</v>
      </c>
      <c r="K374" t="s">
        <v>16</v>
      </c>
      <c r="L374" t="s">
        <v>17</v>
      </c>
      <c r="M374">
        <f>IF(Table1[[#This Row],[ألغى الاشتراك]]="نعم",1,0)</f>
        <v>0</v>
      </c>
      <c r="N374">
        <f>IF(Table1[[#This Row],[وسيلة الدفع]]="بطاقة",1,0)</f>
        <v>0</v>
      </c>
      <c r="O374">
        <f>IF(Table1[[#This Row],[وسيلة الدفع]]="محفظة",1,0)</f>
        <v>1</v>
      </c>
      <c r="P374">
        <f>IF(Table1[[#This Row],[وسيلة الدفع]]="تحويل",1,0)</f>
        <v>0</v>
      </c>
      <c r="Q374">
        <f>IF(Table1[[#This Row],[حضر التهيئة]]="نعم",1,0)</f>
        <v>1</v>
      </c>
      <c r="R374">
        <f>IF(Table1[[#This Row],[دورة الفوترة]]="شهري",1,0)</f>
        <v>1</v>
      </c>
    </row>
    <row r="375" spans="1:18" x14ac:dyDescent="0.25">
      <c r="A375" t="s">
        <v>395</v>
      </c>
      <c r="B375" s="1">
        <v>45529</v>
      </c>
      <c r="C375" t="s">
        <v>19</v>
      </c>
      <c r="D375">
        <v>189</v>
      </c>
      <c r="E375" t="s">
        <v>20</v>
      </c>
      <c r="F375">
        <v>7</v>
      </c>
      <c r="G375" t="s">
        <v>15</v>
      </c>
      <c r="H375">
        <v>1</v>
      </c>
      <c r="I375">
        <v>35</v>
      </c>
      <c r="J375">
        <v>25</v>
      </c>
      <c r="K375" t="s">
        <v>16</v>
      </c>
      <c r="L375" t="s">
        <v>17</v>
      </c>
      <c r="M375">
        <f>IF(Table1[[#This Row],[ألغى الاشتراك]]="نعم",1,0)</f>
        <v>0</v>
      </c>
      <c r="N375">
        <f>IF(Table1[[#This Row],[وسيلة الدفع]]="بطاقة",1,0)</f>
        <v>1</v>
      </c>
      <c r="O375">
        <f>IF(Table1[[#This Row],[وسيلة الدفع]]="محفظة",1,0)</f>
        <v>0</v>
      </c>
      <c r="P375">
        <f>IF(Table1[[#This Row],[وسيلة الدفع]]="تحويل",1,0)</f>
        <v>0</v>
      </c>
      <c r="Q375">
        <f>IF(Table1[[#This Row],[حضر التهيئة]]="نعم",1,0)</f>
        <v>1</v>
      </c>
      <c r="R375">
        <f>IF(Table1[[#This Row],[دورة الفوترة]]="شهري",1,0)</f>
        <v>0</v>
      </c>
    </row>
    <row r="376" spans="1:18" x14ac:dyDescent="0.25">
      <c r="A376" t="s">
        <v>396</v>
      </c>
      <c r="B376" s="1">
        <v>45470</v>
      </c>
      <c r="C376" t="s">
        <v>13</v>
      </c>
      <c r="D376">
        <v>89</v>
      </c>
      <c r="E376" t="s">
        <v>14</v>
      </c>
      <c r="F376">
        <v>3</v>
      </c>
      <c r="G376" t="s">
        <v>15</v>
      </c>
      <c r="H376">
        <v>0</v>
      </c>
      <c r="I376">
        <v>19</v>
      </c>
      <c r="J376">
        <v>10</v>
      </c>
      <c r="K376" t="s">
        <v>17</v>
      </c>
      <c r="L376" t="s">
        <v>17</v>
      </c>
      <c r="M376">
        <f>IF(Table1[[#This Row],[ألغى الاشتراك]]="نعم",1,0)</f>
        <v>0</v>
      </c>
      <c r="N376">
        <f>IF(Table1[[#This Row],[وسيلة الدفع]]="بطاقة",1,0)</f>
        <v>1</v>
      </c>
      <c r="O376">
        <f>IF(Table1[[#This Row],[وسيلة الدفع]]="محفظة",1,0)</f>
        <v>0</v>
      </c>
      <c r="P376">
        <f>IF(Table1[[#This Row],[وسيلة الدفع]]="تحويل",1,0)</f>
        <v>0</v>
      </c>
      <c r="Q376">
        <f>IF(Table1[[#This Row],[حضر التهيئة]]="نعم",1,0)</f>
        <v>0</v>
      </c>
      <c r="R376">
        <f>IF(Table1[[#This Row],[دورة الفوترة]]="شهري",1,0)</f>
        <v>1</v>
      </c>
    </row>
    <row r="377" spans="1:18" x14ac:dyDescent="0.25">
      <c r="A377" t="s">
        <v>397</v>
      </c>
      <c r="B377" s="1">
        <v>45866</v>
      </c>
      <c r="C377" t="s">
        <v>19</v>
      </c>
      <c r="D377">
        <v>189</v>
      </c>
      <c r="E377" t="s">
        <v>20</v>
      </c>
      <c r="F377">
        <v>23</v>
      </c>
      <c r="G377" t="s">
        <v>23</v>
      </c>
      <c r="H377">
        <v>6</v>
      </c>
      <c r="I377">
        <v>9</v>
      </c>
      <c r="J377">
        <v>0</v>
      </c>
      <c r="K377" t="s">
        <v>17</v>
      </c>
      <c r="L377" t="s">
        <v>17</v>
      </c>
      <c r="M377">
        <f>IF(Table1[[#This Row],[ألغى الاشتراك]]="نعم",1,0)</f>
        <v>0</v>
      </c>
      <c r="N377">
        <f>IF(Table1[[#This Row],[وسيلة الدفع]]="بطاقة",1,0)</f>
        <v>0</v>
      </c>
      <c r="O377">
        <f>IF(Table1[[#This Row],[وسيلة الدفع]]="محفظة",1,0)</f>
        <v>0</v>
      </c>
      <c r="P377">
        <f>IF(Table1[[#This Row],[وسيلة الدفع]]="تحويل",1,0)</f>
        <v>1</v>
      </c>
      <c r="Q377">
        <f>IF(Table1[[#This Row],[حضر التهيئة]]="نعم",1,0)</f>
        <v>0</v>
      </c>
      <c r="R377">
        <f>IF(Table1[[#This Row],[دورة الفوترة]]="شهري",1,0)</f>
        <v>0</v>
      </c>
    </row>
    <row r="378" spans="1:18" x14ac:dyDescent="0.25">
      <c r="A378" t="s">
        <v>398</v>
      </c>
      <c r="B378" s="1">
        <v>45627</v>
      </c>
      <c r="C378" t="s">
        <v>13</v>
      </c>
      <c r="D378">
        <v>89</v>
      </c>
      <c r="E378" t="s">
        <v>20</v>
      </c>
      <c r="F378">
        <v>26</v>
      </c>
      <c r="G378" t="s">
        <v>21</v>
      </c>
      <c r="H378">
        <v>11</v>
      </c>
      <c r="I378">
        <v>6</v>
      </c>
      <c r="J378">
        <v>0</v>
      </c>
      <c r="K378" t="s">
        <v>16</v>
      </c>
      <c r="L378" t="s">
        <v>17</v>
      </c>
      <c r="M378">
        <f>IF(Table1[[#This Row],[ألغى الاشتراك]]="نعم",1,0)</f>
        <v>0</v>
      </c>
      <c r="N378">
        <f>IF(Table1[[#This Row],[وسيلة الدفع]]="بطاقة",1,0)</f>
        <v>0</v>
      </c>
      <c r="O378">
        <f>IF(Table1[[#This Row],[وسيلة الدفع]]="محفظة",1,0)</f>
        <v>1</v>
      </c>
      <c r="P378">
        <f>IF(Table1[[#This Row],[وسيلة الدفع]]="تحويل",1,0)</f>
        <v>0</v>
      </c>
      <c r="Q378">
        <f>IF(Table1[[#This Row],[حضر التهيئة]]="نعم",1,0)</f>
        <v>1</v>
      </c>
      <c r="R378">
        <f>IF(Table1[[#This Row],[دورة الفوترة]]="شهري",1,0)</f>
        <v>0</v>
      </c>
    </row>
    <row r="379" spans="1:18" x14ac:dyDescent="0.25">
      <c r="A379" t="s">
        <v>399</v>
      </c>
      <c r="B379" s="1">
        <v>45679</v>
      </c>
      <c r="C379" t="s">
        <v>28</v>
      </c>
      <c r="D379">
        <v>39</v>
      </c>
      <c r="E379" t="s">
        <v>20</v>
      </c>
      <c r="F379">
        <v>15</v>
      </c>
      <c r="G379" t="s">
        <v>23</v>
      </c>
      <c r="H379">
        <v>0</v>
      </c>
      <c r="I379">
        <v>39</v>
      </c>
      <c r="J379">
        <v>0</v>
      </c>
      <c r="K379" t="s">
        <v>17</v>
      </c>
      <c r="L379" t="s">
        <v>16</v>
      </c>
      <c r="M379">
        <f>IF(Table1[[#This Row],[ألغى الاشتراك]]="نعم",1,0)</f>
        <v>1</v>
      </c>
      <c r="N379">
        <f>IF(Table1[[#This Row],[وسيلة الدفع]]="بطاقة",1,0)</f>
        <v>0</v>
      </c>
      <c r="O379">
        <f>IF(Table1[[#This Row],[وسيلة الدفع]]="محفظة",1,0)</f>
        <v>0</v>
      </c>
      <c r="P379">
        <f>IF(Table1[[#This Row],[وسيلة الدفع]]="تحويل",1,0)</f>
        <v>1</v>
      </c>
      <c r="Q379">
        <f>IF(Table1[[#This Row],[حضر التهيئة]]="نعم",1,0)</f>
        <v>0</v>
      </c>
      <c r="R379">
        <f>IF(Table1[[#This Row],[دورة الفوترة]]="شهري",1,0)</f>
        <v>0</v>
      </c>
    </row>
    <row r="380" spans="1:18" x14ac:dyDescent="0.25">
      <c r="A380" t="s">
        <v>400</v>
      </c>
      <c r="B380" s="1">
        <v>45470</v>
      </c>
      <c r="C380" t="s">
        <v>19</v>
      </c>
      <c r="D380">
        <v>189</v>
      </c>
      <c r="E380" t="s">
        <v>20</v>
      </c>
      <c r="F380">
        <v>30</v>
      </c>
      <c r="G380" t="s">
        <v>15</v>
      </c>
      <c r="H380">
        <v>2</v>
      </c>
      <c r="I380">
        <v>58</v>
      </c>
      <c r="J380">
        <v>0</v>
      </c>
      <c r="K380" t="s">
        <v>17</v>
      </c>
      <c r="L380" t="s">
        <v>17</v>
      </c>
      <c r="M380">
        <f>IF(Table1[[#This Row],[ألغى الاشتراك]]="نعم",1,0)</f>
        <v>0</v>
      </c>
      <c r="N380">
        <f>IF(Table1[[#This Row],[وسيلة الدفع]]="بطاقة",1,0)</f>
        <v>1</v>
      </c>
      <c r="O380">
        <f>IF(Table1[[#This Row],[وسيلة الدفع]]="محفظة",1,0)</f>
        <v>0</v>
      </c>
      <c r="P380">
        <f>IF(Table1[[#This Row],[وسيلة الدفع]]="تحويل",1,0)</f>
        <v>0</v>
      </c>
      <c r="Q380">
        <f>IF(Table1[[#This Row],[حضر التهيئة]]="نعم",1,0)</f>
        <v>0</v>
      </c>
      <c r="R380">
        <f>IF(Table1[[#This Row],[دورة الفوترة]]="شهري",1,0)</f>
        <v>0</v>
      </c>
    </row>
    <row r="381" spans="1:18" x14ac:dyDescent="0.25">
      <c r="A381" t="s">
        <v>401</v>
      </c>
      <c r="B381" s="1">
        <v>45846</v>
      </c>
      <c r="C381" t="s">
        <v>28</v>
      </c>
      <c r="D381">
        <v>39</v>
      </c>
      <c r="E381" t="s">
        <v>20</v>
      </c>
      <c r="F381">
        <v>21</v>
      </c>
      <c r="G381" t="s">
        <v>15</v>
      </c>
      <c r="H381">
        <v>2</v>
      </c>
      <c r="I381">
        <v>51</v>
      </c>
      <c r="J381">
        <v>0</v>
      </c>
      <c r="K381" t="s">
        <v>17</v>
      </c>
      <c r="L381" t="s">
        <v>17</v>
      </c>
      <c r="M381">
        <f>IF(Table1[[#This Row],[ألغى الاشتراك]]="نعم",1,0)</f>
        <v>0</v>
      </c>
      <c r="N381">
        <f>IF(Table1[[#This Row],[وسيلة الدفع]]="بطاقة",1,0)</f>
        <v>1</v>
      </c>
      <c r="O381">
        <f>IF(Table1[[#This Row],[وسيلة الدفع]]="محفظة",1,0)</f>
        <v>0</v>
      </c>
      <c r="P381">
        <f>IF(Table1[[#This Row],[وسيلة الدفع]]="تحويل",1,0)</f>
        <v>0</v>
      </c>
      <c r="Q381">
        <f>IF(Table1[[#This Row],[حضر التهيئة]]="نعم",1,0)</f>
        <v>0</v>
      </c>
      <c r="R381">
        <f>IF(Table1[[#This Row],[دورة الفوترة]]="شهري",1,0)</f>
        <v>0</v>
      </c>
    </row>
    <row r="382" spans="1:18" x14ac:dyDescent="0.25">
      <c r="A382" t="s">
        <v>402</v>
      </c>
      <c r="B382" s="1">
        <v>45399</v>
      </c>
      <c r="C382" t="s">
        <v>19</v>
      </c>
      <c r="D382">
        <v>189</v>
      </c>
      <c r="E382" t="s">
        <v>14</v>
      </c>
      <c r="F382">
        <v>30</v>
      </c>
      <c r="G382" t="s">
        <v>21</v>
      </c>
      <c r="H382">
        <v>2</v>
      </c>
      <c r="I382">
        <v>28</v>
      </c>
      <c r="J382">
        <v>0</v>
      </c>
      <c r="K382" t="s">
        <v>16</v>
      </c>
      <c r="L382" t="s">
        <v>17</v>
      </c>
      <c r="M382">
        <f>IF(Table1[[#This Row],[ألغى الاشتراك]]="نعم",1,0)</f>
        <v>0</v>
      </c>
      <c r="N382">
        <f>IF(Table1[[#This Row],[وسيلة الدفع]]="بطاقة",1,0)</f>
        <v>0</v>
      </c>
      <c r="O382">
        <f>IF(Table1[[#This Row],[وسيلة الدفع]]="محفظة",1,0)</f>
        <v>1</v>
      </c>
      <c r="P382">
        <f>IF(Table1[[#This Row],[وسيلة الدفع]]="تحويل",1,0)</f>
        <v>0</v>
      </c>
      <c r="Q382">
        <f>IF(Table1[[#This Row],[حضر التهيئة]]="نعم",1,0)</f>
        <v>1</v>
      </c>
      <c r="R382">
        <f>IF(Table1[[#This Row],[دورة الفوترة]]="شهري",1,0)</f>
        <v>1</v>
      </c>
    </row>
    <row r="383" spans="1:18" x14ac:dyDescent="0.25">
      <c r="A383" t="s">
        <v>403</v>
      </c>
      <c r="B383" s="1">
        <v>45910</v>
      </c>
      <c r="C383" t="s">
        <v>13</v>
      </c>
      <c r="D383">
        <v>89</v>
      </c>
      <c r="E383" t="s">
        <v>20</v>
      </c>
      <c r="F383">
        <v>17</v>
      </c>
      <c r="G383" t="s">
        <v>23</v>
      </c>
      <c r="H383">
        <v>11</v>
      </c>
      <c r="I383">
        <v>39</v>
      </c>
      <c r="J383">
        <v>0</v>
      </c>
      <c r="K383" t="s">
        <v>16</v>
      </c>
      <c r="L383" t="s">
        <v>17</v>
      </c>
      <c r="M383">
        <f>IF(Table1[[#This Row],[ألغى الاشتراك]]="نعم",1,0)</f>
        <v>0</v>
      </c>
      <c r="N383">
        <f>IF(Table1[[#This Row],[وسيلة الدفع]]="بطاقة",1,0)</f>
        <v>0</v>
      </c>
      <c r="O383">
        <f>IF(Table1[[#This Row],[وسيلة الدفع]]="محفظة",1,0)</f>
        <v>0</v>
      </c>
      <c r="P383">
        <f>IF(Table1[[#This Row],[وسيلة الدفع]]="تحويل",1,0)</f>
        <v>1</v>
      </c>
      <c r="Q383">
        <f>IF(Table1[[#This Row],[حضر التهيئة]]="نعم",1,0)</f>
        <v>1</v>
      </c>
      <c r="R383">
        <f>IF(Table1[[#This Row],[دورة الفوترة]]="شهري",1,0)</f>
        <v>0</v>
      </c>
    </row>
    <row r="384" spans="1:18" x14ac:dyDescent="0.25">
      <c r="A384" t="s">
        <v>404</v>
      </c>
      <c r="B384" s="1">
        <v>45450</v>
      </c>
      <c r="C384" t="s">
        <v>13</v>
      </c>
      <c r="D384">
        <v>89</v>
      </c>
      <c r="E384" t="s">
        <v>20</v>
      </c>
      <c r="F384">
        <v>28</v>
      </c>
      <c r="G384" t="s">
        <v>15</v>
      </c>
      <c r="H384">
        <v>2</v>
      </c>
      <c r="I384">
        <v>44</v>
      </c>
      <c r="J384">
        <v>0</v>
      </c>
      <c r="K384" t="s">
        <v>17</v>
      </c>
      <c r="L384" t="s">
        <v>17</v>
      </c>
      <c r="M384">
        <f>IF(Table1[[#This Row],[ألغى الاشتراك]]="نعم",1,0)</f>
        <v>0</v>
      </c>
      <c r="N384">
        <f>IF(Table1[[#This Row],[وسيلة الدفع]]="بطاقة",1,0)</f>
        <v>1</v>
      </c>
      <c r="O384">
        <f>IF(Table1[[#This Row],[وسيلة الدفع]]="محفظة",1,0)</f>
        <v>0</v>
      </c>
      <c r="P384">
        <f>IF(Table1[[#This Row],[وسيلة الدفع]]="تحويل",1,0)</f>
        <v>0</v>
      </c>
      <c r="Q384">
        <f>IF(Table1[[#This Row],[حضر التهيئة]]="نعم",1,0)</f>
        <v>0</v>
      </c>
      <c r="R384">
        <f>IF(Table1[[#This Row],[دورة الفوترة]]="شهري",1,0)</f>
        <v>0</v>
      </c>
    </row>
    <row r="385" spans="1:18" x14ac:dyDescent="0.25">
      <c r="A385" t="s">
        <v>405</v>
      </c>
      <c r="B385" s="1">
        <v>45846</v>
      </c>
      <c r="C385" t="s">
        <v>28</v>
      </c>
      <c r="D385">
        <v>39</v>
      </c>
      <c r="E385" t="s">
        <v>20</v>
      </c>
      <c r="F385">
        <v>9</v>
      </c>
      <c r="G385" t="s">
        <v>23</v>
      </c>
      <c r="H385">
        <v>2</v>
      </c>
      <c r="I385">
        <v>43</v>
      </c>
      <c r="J385">
        <v>0</v>
      </c>
      <c r="K385" t="s">
        <v>16</v>
      </c>
      <c r="L385" t="s">
        <v>17</v>
      </c>
      <c r="M385">
        <f>IF(Table1[[#This Row],[ألغى الاشتراك]]="نعم",1,0)</f>
        <v>0</v>
      </c>
      <c r="N385">
        <f>IF(Table1[[#This Row],[وسيلة الدفع]]="بطاقة",1,0)</f>
        <v>0</v>
      </c>
      <c r="O385">
        <f>IF(Table1[[#This Row],[وسيلة الدفع]]="محفظة",1,0)</f>
        <v>0</v>
      </c>
      <c r="P385">
        <f>IF(Table1[[#This Row],[وسيلة الدفع]]="تحويل",1,0)</f>
        <v>1</v>
      </c>
      <c r="Q385">
        <f>IF(Table1[[#This Row],[حضر التهيئة]]="نعم",1,0)</f>
        <v>1</v>
      </c>
      <c r="R385">
        <f>IF(Table1[[#This Row],[دورة الفوترة]]="شهري",1,0)</f>
        <v>0</v>
      </c>
    </row>
    <row r="386" spans="1:18" x14ac:dyDescent="0.25">
      <c r="A386" t="s">
        <v>406</v>
      </c>
      <c r="B386" s="1">
        <v>45521</v>
      </c>
      <c r="C386" t="s">
        <v>13</v>
      </c>
      <c r="D386">
        <v>89</v>
      </c>
      <c r="E386" t="s">
        <v>14</v>
      </c>
      <c r="F386">
        <v>22</v>
      </c>
      <c r="G386" t="s">
        <v>15</v>
      </c>
      <c r="H386">
        <v>1</v>
      </c>
      <c r="I386">
        <v>28</v>
      </c>
      <c r="J386">
        <v>0</v>
      </c>
      <c r="K386" t="s">
        <v>17</v>
      </c>
      <c r="L386" t="s">
        <v>16</v>
      </c>
      <c r="M386">
        <f>IF(Table1[[#This Row],[ألغى الاشتراك]]="نعم",1,0)</f>
        <v>1</v>
      </c>
      <c r="N386">
        <f>IF(Table1[[#This Row],[وسيلة الدفع]]="بطاقة",1,0)</f>
        <v>1</v>
      </c>
      <c r="O386">
        <f>IF(Table1[[#This Row],[وسيلة الدفع]]="محفظة",1,0)</f>
        <v>0</v>
      </c>
      <c r="P386">
        <f>IF(Table1[[#This Row],[وسيلة الدفع]]="تحويل",1,0)</f>
        <v>0</v>
      </c>
      <c r="Q386">
        <f>IF(Table1[[#This Row],[حضر التهيئة]]="نعم",1,0)</f>
        <v>0</v>
      </c>
      <c r="R386">
        <f>IF(Table1[[#This Row],[دورة الفوترة]]="شهري",1,0)</f>
        <v>1</v>
      </c>
    </row>
    <row r="387" spans="1:18" x14ac:dyDescent="0.25">
      <c r="A387" t="s">
        <v>407</v>
      </c>
      <c r="B387" s="1">
        <v>45910</v>
      </c>
      <c r="C387" t="s">
        <v>28</v>
      </c>
      <c r="D387">
        <v>39</v>
      </c>
      <c r="E387" t="s">
        <v>20</v>
      </c>
      <c r="F387">
        <v>13</v>
      </c>
      <c r="G387" t="s">
        <v>21</v>
      </c>
      <c r="H387">
        <v>2</v>
      </c>
      <c r="I387">
        <v>17</v>
      </c>
      <c r="J387">
        <v>0</v>
      </c>
      <c r="K387" t="s">
        <v>16</v>
      </c>
      <c r="L387" t="s">
        <v>17</v>
      </c>
      <c r="M387">
        <f>IF(Table1[[#This Row],[ألغى الاشتراك]]="نعم",1,0)</f>
        <v>0</v>
      </c>
      <c r="N387">
        <f>IF(Table1[[#This Row],[وسيلة الدفع]]="بطاقة",1,0)</f>
        <v>0</v>
      </c>
      <c r="O387">
        <f>IF(Table1[[#This Row],[وسيلة الدفع]]="محفظة",1,0)</f>
        <v>1</v>
      </c>
      <c r="P387">
        <f>IF(Table1[[#This Row],[وسيلة الدفع]]="تحويل",1,0)</f>
        <v>0</v>
      </c>
      <c r="Q387">
        <f>IF(Table1[[#This Row],[حضر التهيئة]]="نعم",1,0)</f>
        <v>1</v>
      </c>
      <c r="R387">
        <f>IF(Table1[[#This Row],[دورة الفوترة]]="شهري",1,0)</f>
        <v>0</v>
      </c>
    </row>
    <row r="388" spans="1:18" x14ac:dyDescent="0.25">
      <c r="A388" t="s">
        <v>408</v>
      </c>
      <c r="B388" s="1">
        <v>45740</v>
      </c>
      <c r="C388" t="s">
        <v>28</v>
      </c>
      <c r="D388">
        <v>39</v>
      </c>
      <c r="E388" t="s">
        <v>20</v>
      </c>
      <c r="F388">
        <v>12</v>
      </c>
      <c r="G388" t="s">
        <v>15</v>
      </c>
      <c r="H388">
        <v>1</v>
      </c>
      <c r="I388">
        <v>36</v>
      </c>
      <c r="J388">
        <v>15</v>
      </c>
      <c r="K388" t="s">
        <v>17</v>
      </c>
      <c r="L388" t="s">
        <v>17</v>
      </c>
      <c r="M388">
        <f>IF(Table1[[#This Row],[ألغى الاشتراك]]="نعم",1,0)</f>
        <v>0</v>
      </c>
      <c r="N388">
        <f>IF(Table1[[#This Row],[وسيلة الدفع]]="بطاقة",1,0)</f>
        <v>1</v>
      </c>
      <c r="O388">
        <f>IF(Table1[[#This Row],[وسيلة الدفع]]="محفظة",1,0)</f>
        <v>0</v>
      </c>
      <c r="P388">
        <f>IF(Table1[[#This Row],[وسيلة الدفع]]="تحويل",1,0)</f>
        <v>0</v>
      </c>
      <c r="Q388">
        <f>IF(Table1[[#This Row],[حضر التهيئة]]="نعم",1,0)</f>
        <v>0</v>
      </c>
      <c r="R388">
        <f>IF(Table1[[#This Row],[دورة الفوترة]]="شهري",1,0)</f>
        <v>0</v>
      </c>
    </row>
    <row r="389" spans="1:18" x14ac:dyDescent="0.25">
      <c r="A389" t="s">
        <v>409</v>
      </c>
      <c r="B389" s="1">
        <v>45631</v>
      </c>
      <c r="C389" t="s">
        <v>28</v>
      </c>
      <c r="D389">
        <v>39</v>
      </c>
      <c r="E389" t="s">
        <v>14</v>
      </c>
      <c r="F389">
        <v>8</v>
      </c>
      <c r="G389" t="s">
        <v>21</v>
      </c>
      <c r="H389">
        <v>1</v>
      </c>
      <c r="I389">
        <v>56</v>
      </c>
      <c r="J389">
        <v>0</v>
      </c>
      <c r="K389" t="s">
        <v>16</v>
      </c>
      <c r="L389" t="s">
        <v>17</v>
      </c>
      <c r="M389">
        <f>IF(Table1[[#This Row],[ألغى الاشتراك]]="نعم",1,0)</f>
        <v>0</v>
      </c>
      <c r="N389">
        <f>IF(Table1[[#This Row],[وسيلة الدفع]]="بطاقة",1,0)</f>
        <v>0</v>
      </c>
      <c r="O389">
        <f>IF(Table1[[#This Row],[وسيلة الدفع]]="محفظة",1,0)</f>
        <v>1</v>
      </c>
      <c r="P389">
        <f>IF(Table1[[#This Row],[وسيلة الدفع]]="تحويل",1,0)</f>
        <v>0</v>
      </c>
      <c r="Q389">
        <f>IF(Table1[[#This Row],[حضر التهيئة]]="نعم",1,0)</f>
        <v>1</v>
      </c>
      <c r="R389">
        <f>IF(Table1[[#This Row],[دورة الفوترة]]="شهري",1,0)</f>
        <v>1</v>
      </c>
    </row>
    <row r="390" spans="1:18" x14ac:dyDescent="0.25">
      <c r="A390" t="s">
        <v>410</v>
      </c>
      <c r="B390" s="1">
        <v>45803</v>
      </c>
      <c r="C390" t="s">
        <v>19</v>
      </c>
      <c r="D390">
        <v>189</v>
      </c>
      <c r="E390" t="s">
        <v>14</v>
      </c>
      <c r="F390">
        <v>29</v>
      </c>
      <c r="G390" t="s">
        <v>21</v>
      </c>
      <c r="H390">
        <v>1</v>
      </c>
      <c r="I390">
        <v>27</v>
      </c>
      <c r="J390">
        <v>0</v>
      </c>
      <c r="K390" t="s">
        <v>16</v>
      </c>
      <c r="L390" t="s">
        <v>17</v>
      </c>
      <c r="M390">
        <f>IF(Table1[[#This Row],[ألغى الاشتراك]]="نعم",1,0)</f>
        <v>0</v>
      </c>
      <c r="N390">
        <f>IF(Table1[[#This Row],[وسيلة الدفع]]="بطاقة",1,0)</f>
        <v>0</v>
      </c>
      <c r="O390">
        <f>IF(Table1[[#This Row],[وسيلة الدفع]]="محفظة",1,0)</f>
        <v>1</v>
      </c>
      <c r="P390">
        <f>IF(Table1[[#This Row],[وسيلة الدفع]]="تحويل",1,0)</f>
        <v>0</v>
      </c>
      <c r="Q390">
        <f>IF(Table1[[#This Row],[حضر التهيئة]]="نعم",1,0)</f>
        <v>1</v>
      </c>
      <c r="R390">
        <f>IF(Table1[[#This Row],[دورة الفوترة]]="شهري",1,0)</f>
        <v>1</v>
      </c>
    </row>
    <row r="391" spans="1:18" x14ac:dyDescent="0.25">
      <c r="A391" t="s">
        <v>411</v>
      </c>
      <c r="B391" s="1">
        <v>45580</v>
      </c>
      <c r="C391" t="s">
        <v>28</v>
      </c>
      <c r="D391">
        <v>39</v>
      </c>
      <c r="E391" t="s">
        <v>20</v>
      </c>
      <c r="F391">
        <v>26</v>
      </c>
      <c r="G391" t="s">
        <v>21</v>
      </c>
      <c r="H391">
        <v>10</v>
      </c>
      <c r="I391">
        <v>20</v>
      </c>
      <c r="J391">
        <v>0</v>
      </c>
      <c r="K391" t="s">
        <v>17</v>
      </c>
      <c r="L391" t="s">
        <v>17</v>
      </c>
      <c r="M391">
        <f>IF(Table1[[#This Row],[ألغى الاشتراك]]="نعم",1,0)</f>
        <v>0</v>
      </c>
      <c r="N391">
        <f>IF(Table1[[#This Row],[وسيلة الدفع]]="بطاقة",1,0)</f>
        <v>0</v>
      </c>
      <c r="O391">
        <f>IF(Table1[[#This Row],[وسيلة الدفع]]="محفظة",1,0)</f>
        <v>1</v>
      </c>
      <c r="P391">
        <f>IF(Table1[[#This Row],[وسيلة الدفع]]="تحويل",1,0)</f>
        <v>0</v>
      </c>
      <c r="Q391">
        <f>IF(Table1[[#This Row],[حضر التهيئة]]="نعم",1,0)</f>
        <v>0</v>
      </c>
      <c r="R391">
        <f>IF(Table1[[#This Row],[دورة الفوترة]]="شهري",1,0)</f>
        <v>0</v>
      </c>
    </row>
    <row r="392" spans="1:18" x14ac:dyDescent="0.25">
      <c r="A392" t="s">
        <v>412</v>
      </c>
      <c r="B392" s="1">
        <v>45858</v>
      </c>
      <c r="C392" t="s">
        <v>28</v>
      </c>
      <c r="D392">
        <v>39</v>
      </c>
      <c r="E392" t="s">
        <v>20</v>
      </c>
      <c r="F392">
        <v>27</v>
      </c>
      <c r="G392" t="s">
        <v>23</v>
      </c>
      <c r="H392">
        <v>2</v>
      </c>
      <c r="I392">
        <v>47</v>
      </c>
      <c r="J392">
        <v>0</v>
      </c>
      <c r="K392" t="s">
        <v>17</v>
      </c>
      <c r="L392" t="s">
        <v>17</v>
      </c>
      <c r="M392">
        <f>IF(Table1[[#This Row],[ألغى الاشتراك]]="نعم",1,0)</f>
        <v>0</v>
      </c>
      <c r="N392">
        <f>IF(Table1[[#This Row],[وسيلة الدفع]]="بطاقة",1,0)</f>
        <v>0</v>
      </c>
      <c r="O392">
        <f>IF(Table1[[#This Row],[وسيلة الدفع]]="محفظة",1,0)</f>
        <v>0</v>
      </c>
      <c r="P392">
        <f>IF(Table1[[#This Row],[وسيلة الدفع]]="تحويل",1,0)</f>
        <v>1</v>
      </c>
      <c r="Q392">
        <f>IF(Table1[[#This Row],[حضر التهيئة]]="نعم",1,0)</f>
        <v>0</v>
      </c>
      <c r="R392">
        <f>IF(Table1[[#This Row],[دورة الفوترة]]="شهري",1,0)</f>
        <v>0</v>
      </c>
    </row>
    <row r="393" spans="1:18" x14ac:dyDescent="0.25">
      <c r="A393" t="s">
        <v>413</v>
      </c>
      <c r="B393" s="1">
        <v>45643</v>
      </c>
      <c r="C393" t="s">
        <v>19</v>
      </c>
      <c r="D393">
        <v>189</v>
      </c>
      <c r="E393" t="s">
        <v>20</v>
      </c>
      <c r="F393">
        <v>14</v>
      </c>
      <c r="G393" t="s">
        <v>23</v>
      </c>
      <c r="H393">
        <v>0</v>
      </c>
      <c r="I393">
        <v>18</v>
      </c>
      <c r="J393">
        <v>0</v>
      </c>
      <c r="K393" t="s">
        <v>16</v>
      </c>
      <c r="L393" t="s">
        <v>17</v>
      </c>
      <c r="M393">
        <f>IF(Table1[[#This Row],[ألغى الاشتراك]]="نعم",1,0)</f>
        <v>0</v>
      </c>
      <c r="N393">
        <f>IF(Table1[[#This Row],[وسيلة الدفع]]="بطاقة",1,0)</f>
        <v>0</v>
      </c>
      <c r="O393">
        <f>IF(Table1[[#This Row],[وسيلة الدفع]]="محفظة",1,0)</f>
        <v>0</v>
      </c>
      <c r="P393">
        <f>IF(Table1[[#This Row],[وسيلة الدفع]]="تحويل",1,0)</f>
        <v>1</v>
      </c>
      <c r="Q393">
        <f>IF(Table1[[#This Row],[حضر التهيئة]]="نعم",1,0)</f>
        <v>1</v>
      </c>
      <c r="R393">
        <f>IF(Table1[[#This Row],[دورة الفوترة]]="شهري",1,0)</f>
        <v>0</v>
      </c>
    </row>
    <row r="394" spans="1:18" x14ac:dyDescent="0.25">
      <c r="A394" t="s">
        <v>414</v>
      </c>
      <c r="B394" s="1">
        <v>45787</v>
      </c>
      <c r="C394" t="s">
        <v>28</v>
      </c>
      <c r="D394">
        <v>39</v>
      </c>
      <c r="E394" t="s">
        <v>20</v>
      </c>
      <c r="F394">
        <v>17</v>
      </c>
      <c r="G394" t="s">
        <v>21</v>
      </c>
      <c r="H394">
        <v>2</v>
      </c>
      <c r="I394">
        <v>19</v>
      </c>
      <c r="J394">
        <v>0</v>
      </c>
      <c r="K394" t="s">
        <v>16</v>
      </c>
      <c r="L394" t="s">
        <v>17</v>
      </c>
      <c r="M394">
        <f>IF(Table1[[#This Row],[ألغى الاشتراك]]="نعم",1,0)</f>
        <v>0</v>
      </c>
      <c r="N394">
        <f>IF(Table1[[#This Row],[وسيلة الدفع]]="بطاقة",1,0)</f>
        <v>0</v>
      </c>
      <c r="O394">
        <f>IF(Table1[[#This Row],[وسيلة الدفع]]="محفظة",1,0)</f>
        <v>1</v>
      </c>
      <c r="P394">
        <f>IF(Table1[[#This Row],[وسيلة الدفع]]="تحويل",1,0)</f>
        <v>0</v>
      </c>
      <c r="Q394">
        <f>IF(Table1[[#This Row],[حضر التهيئة]]="نعم",1,0)</f>
        <v>1</v>
      </c>
      <c r="R394">
        <f>IF(Table1[[#This Row],[دورة الفوترة]]="شهري",1,0)</f>
        <v>0</v>
      </c>
    </row>
    <row r="395" spans="1:18" x14ac:dyDescent="0.25">
      <c r="A395" t="s">
        <v>415</v>
      </c>
      <c r="B395" s="1">
        <v>45580</v>
      </c>
      <c r="C395" t="s">
        <v>13</v>
      </c>
      <c r="D395">
        <v>89</v>
      </c>
      <c r="E395" t="s">
        <v>14</v>
      </c>
      <c r="F395">
        <v>2</v>
      </c>
      <c r="G395" t="s">
        <v>15</v>
      </c>
      <c r="H395">
        <v>2</v>
      </c>
      <c r="I395">
        <v>46</v>
      </c>
      <c r="J395">
        <v>0</v>
      </c>
      <c r="K395" t="s">
        <v>16</v>
      </c>
      <c r="L395" t="s">
        <v>17</v>
      </c>
      <c r="M395">
        <f>IF(Table1[[#This Row],[ألغى الاشتراك]]="نعم",1,0)</f>
        <v>0</v>
      </c>
      <c r="N395">
        <f>IF(Table1[[#This Row],[وسيلة الدفع]]="بطاقة",1,0)</f>
        <v>1</v>
      </c>
      <c r="O395">
        <f>IF(Table1[[#This Row],[وسيلة الدفع]]="محفظة",1,0)</f>
        <v>0</v>
      </c>
      <c r="P395">
        <f>IF(Table1[[#This Row],[وسيلة الدفع]]="تحويل",1,0)</f>
        <v>0</v>
      </c>
      <c r="Q395">
        <f>IF(Table1[[#This Row],[حضر التهيئة]]="نعم",1,0)</f>
        <v>1</v>
      </c>
      <c r="R395">
        <f>IF(Table1[[#This Row],[دورة الفوترة]]="شهري",1,0)</f>
        <v>1</v>
      </c>
    </row>
    <row r="396" spans="1:18" x14ac:dyDescent="0.25">
      <c r="A396" t="s">
        <v>416</v>
      </c>
      <c r="B396" s="1">
        <v>45981</v>
      </c>
      <c r="C396" t="s">
        <v>13</v>
      </c>
      <c r="D396">
        <v>89</v>
      </c>
      <c r="E396" t="s">
        <v>14</v>
      </c>
      <c r="F396">
        <v>27</v>
      </c>
      <c r="G396" t="s">
        <v>15</v>
      </c>
      <c r="H396">
        <v>0</v>
      </c>
      <c r="I396">
        <v>21</v>
      </c>
      <c r="J396">
        <v>0</v>
      </c>
      <c r="K396" t="s">
        <v>17</v>
      </c>
      <c r="L396" t="s">
        <v>17</v>
      </c>
      <c r="M396">
        <f>IF(Table1[[#This Row],[ألغى الاشتراك]]="نعم",1,0)</f>
        <v>0</v>
      </c>
      <c r="N396">
        <f>IF(Table1[[#This Row],[وسيلة الدفع]]="بطاقة",1,0)</f>
        <v>1</v>
      </c>
      <c r="O396">
        <f>IF(Table1[[#This Row],[وسيلة الدفع]]="محفظة",1,0)</f>
        <v>0</v>
      </c>
      <c r="P396">
        <f>IF(Table1[[#This Row],[وسيلة الدفع]]="تحويل",1,0)</f>
        <v>0</v>
      </c>
      <c r="Q396">
        <f>IF(Table1[[#This Row],[حضر التهيئة]]="نعم",1,0)</f>
        <v>0</v>
      </c>
      <c r="R396">
        <f>IF(Table1[[#This Row],[دورة الفوترة]]="شهري",1,0)</f>
        <v>1</v>
      </c>
    </row>
    <row r="397" spans="1:18" x14ac:dyDescent="0.25">
      <c r="A397" t="s">
        <v>417</v>
      </c>
      <c r="B397" s="1">
        <v>45799</v>
      </c>
      <c r="C397" t="s">
        <v>19</v>
      </c>
      <c r="D397">
        <v>189</v>
      </c>
      <c r="E397" t="s">
        <v>20</v>
      </c>
      <c r="F397">
        <v>4</v>
      </c>
      <c r="G397" t="s">
        <v>21</v>
      </c>
      <c r="H397">
        <v>2</v>
      </c>
      <c r="I397">
        <v>40</v>
      </c>
      <c r="J397">
        <v>5</v>
      </c>
      <c r="K397" t="s">
        <v>16</v>
      </c>
      <c r="L397" t="s">
        <v>17</v>
      </c>
      <c r="M397">
        <f>IF(Table1[[#This Row],[ألغى الاشتراك]]="نعم",1,0)</f>
        <v>0</v>
      </c>
      <c r="N397">
        <f>IF(Table1[[#This Row],[وسيلة الدفع]]="بطاقة",1,0)</f>
        <v>0</v>
      </c>
      <c r="O397">
        <f>IF(Table1[[#This Row],[وسيلة الدفع]]="محفظة",1,0)</f>
        <v>1</v>
      </c>
      <c r="P397">
        <f>IF(Table1[[#This Row],[وسيلة الدفع]]="تحويل",1,0)</f>
        <v>0</v>
      </c>
      <c r="Q397">
        <f>IF(Table1[[#This Row],[حضر التهيئة]]="نعم",1,0)</f>
        <v>1</v>
      </c>
      <c r="R397">
        <f>IF(Table1[[#This Row],[دورة الفوترة]]="شهري",1,0)</f>
        <v>0</v>
      </c>
    </row>
    <row r="398" spans="1:18" x14ac:dyDescent="0.25">
      <c r="A398" t="s">
        <v>418</v>
      </c>
      <c r="B398" s="1">
        <v>45333</v>
      </c>
      <c r="C398" t="s">
        <v>19</v>
      </c>
      <c r="D398">
        <v>189</v>
      </c>
      <c r="E398" t="s">
        <v>14</v>
      </c>
      <c r="F398">
        <v>28</v>
      </c>
      <c r="G398" t="s">
        <v>23</v>
      </c>
      <c r="H398">
        <v>0</v>
      </c>
      <c r="I398">
        <v>24</v>
      </c>
      <c r="J398">
        <v>0</v>
      </c>
      <c r="K398" t="s">
        <v>17</v>
      </c>
      <c r="L398" t="s">
        <v>17</v>
      </c>
      <c r="M398">
        <f>IF(Table1[[#This Row],[ألغى الاشتراك]]="نعم",1,0)</f>
        <v>0</v>
      </c>
      <c r="N398">
        <f>IF(Table1[[#This Row],[وسيلة الدفع]]="بطاقة",1,0)</f>
        <v>0</v>
      </c>
      <c r="O398">
        <f>IF(Table1[[#This Row],[وسيلة الدفع]]="محفظة",1,0)</f>
        <v>0</v>
      </c>
      <c r="P398">
        <f>IF(Table1[[#This Row],[وسيلة الدفع]]="تحويل",1,0)</f>
        <v>1</v>
      </c>
      <c r="Q398">
        <f>IF(Table1[[#This Row],[حضر التهيئة]]="نعم",1,0)</f>
        <v>0</v>
      </c>
      <c r="R398">
        <f>IF(Table1[[#This Row],[دورة الفوترة]]="شهري",1,0)</f>
        <v>1</v>
      </c>
    </row>
    <row r="399" spans="1:18" x14ac:dyDescent="0.25">
      <c r="A399" t="s">
        <v>419</v>
      </c>
      <c r="B399" s="1">
        <v>45720</v>
      </c>
      <c r="C399" t="s">
        <v>13</v>
      </c>
      <c r="D399">
        <v>89</v>
      </c>
      <c r="E399" t="s">
        <v>14</v>
      </c>
      <c r="F399">
        <v>7</v>
      </c>
      <c r="G399" t="s">
        <v>21</v>
      </c>
      <c r="H399">
        <v>2</v>
      </c>
      <c r="I399">
        <v>43</v>
      </c>
      <c r="J399">
        <v>0</v>
      </c>
      <c r="K399" t="s">
        <v>17</v>
      </c>
      <c r="L399" t="s">
        <v>17</v>
      </c>
      <c r="M399">
        <f>IF(Table1[[#This Row],[ألغى الاشتراك]]="نعم",1,0)</f>
        <v>0</v>
      </c>
      <c r="N399">
        <f>IF(Table1[[#This Row],[وسيلة الدفع]]="بطاقة",1,0)</f>
        <v>0</v>
      </c>
      <c r="O399">
        <f>IF(Table1[[#This Row],[وسيلة الدفع]]="محفظة",1,0)</f>
        <v>1</v>
      </c>
      <c r="P399">
        <f>IF(Table1[[#This Row],[وسيلة الدفع]]="تحويل",1,0)</f>
        <v>0</v>
      </c>
      <c r="Q399">
        <f>IF(Table1[[#This Row],[حضر التهيئة]]="نعم",1,0)</f>
        <v>0</v>
      </c>
      <c r="R399">
        <f>IF(Table1[[#This Row],[دورة الفوترة]]="شهري",1,0)</f>
        <v>1</v>
      </c>
    </row>
    <row r="400" spans="1:18" x14ac:dyDescent="0.25">
      <c r="A400" t="s">
        <v>420</v>
      </c>
      <c r="B400" s="1">
        <v>45627</v>
      </c>
      <c r="C400" t="s">
        <v>19</v>
      </c>
      <c r="D400">
        <v>189</v>
      </c>
      <c r="E400" t="s">
        <v>20</v>
      </c>
      <c r="F400">
        <v>24</v>
      </c>
      <c r="G400" t="s">
        <v>15</v>
      </c>
      <c r="H400">
        <v>1</v>
      </c>
      <c r="I400">
        <v>40</v>
      </c>
      <c r="J400">
        <v>0</v>
      </c>
      <c r="K400" t="s">
        <v>16</v>
      </c>
      <c r="L400" t="s">
        <v>17</v>
      </c>
      <c r="M400">
        <f>IF(Table1[[#This Row],[ألغى الاشتراك]]="نعم",1,0)</f>
        <v>0</v>
      </c>
      <c r="N400">
        <f>IF(Table1[[#This Row],[وسيلة الدفع]]="بطاقة",1,0)</f>
        <v>1</v>
      </c>
      <c r="O400">
        <f>IF(Table1[[#This Row],[وسيلة الدفع]]="محفظة",1,0)</f>
        <v>0</v>
      </c>
      <c r="P400">
        <f>IF(Table1[[#This Row],[وسيلة الدفع]]="تحويل",1,0)</f>
        <v>0</v>
      </c>
      <c r="Q400">
        <f>IF(Table1[[#This Row],[حضر التهيئة]]="نعم",1,0)</f>
        <v>1</v>
      </c>
      <c r="R400">
        <f>IF(Table1[[#This Row],[دورة الفوترة]]="شهري",1,0)</f>
        <v>0</v>
      </c>
    </row>
    <row r="401" spans="1:18" x14ac:dyDescent="0.25">
      <c r="A401" t="s">
        <v>421</v>
      </c>
      <c r="B401" s="1">
        <v>45791</v>
      </c>
      <c r="C401" t="s">
        <v>19</v>
      </c>
      <c r="D401">
        <v>189</v>
      </c>
      <c r="E401" t="s">
        <v>20</v>
      </c>
      <c r="F401">
        <v>29</v>
      </c>
      <c r="G401" t="s">
        <v>21</v>
      </c>
      <c r="H401">
        <v>0</v>
      </c>
      <c r="I401">
        <v>17</v>
      </c>
      <c r="J401">
        <v>0</v>
      </c>
      <c r="K401" t="s">
        <v>17</v>
      </c>
      <c r="L401" t="s">
        <v>17</v>
      </c>
      <c r="M401">
        <f>IF(Table1[[#This Row],[ألغى الاشتراك]]="نعم",1,0)</f>
        <v>0</v>
      </c>
      <c r="N401">
        <f>IF(Table1[[#This Row],[وسيلة الدفع]]="بطاقة",1,0)</f>
        <v>0</v>
      </c>
      <c r="O401">
        <f>IF(Table1[[#This Row],[وسيلة الدفع]]="محفظة",1,0)</f>
        <v>1</v>
      </c>
      <c r="P401">
        <f>IF(Table1[[#This Row],[وسيلة الدفع]]="تحويل",1,0)</f>
        <v>0</v>
      </c>
      <c r="Q401">
        <f>IF(Table1[[#This Row],[حضر التهيئة]]="نعم",1,0)</f>
        <v>0</v>
      </c>
      <c r="R401">
        <f>IF(Table1[[#This Row],[دورة الفوترة]]="شهري",1,0)</f>
        <v>0</v>
      </c>
    </row>
    <row r="402" spans="1:18" x14ac:dyDescent="0.25">
      <c r="A402" t="s">
        <v>422</v>
      </c>
      <c r="B402" s="1">
        <v>45333</v>
      </c>
      <c r="C402" t="s">
        <v>28</v>
      </c>
      <c r="D402">
        <v>39</v>
      </c>
      <c r="E402" t="s">
        <v>20</v>
      </c>
      <c r="F402">
        <v>22</v>
      </c>
      <c r="G402" t="s">
        <v>15</v>
      </c>
      <c r="H402">
        <v>1</v>
      </c>
      <c r="I402">
        <v>40</v>
      </c>
      <c r="J402">
        <v>0</v>
      </c>
      <c r="K402" t="s">
        <v>16</v>
      </c>
      <c r="L402" t="s">
        <v>17</v>
      </c>
      <c r="M402">
        <f>IF(Table1[[#This Row],[ألغى الاشتراك]]="نعم",1,0)</f>
        <v>0</v>
      </c>
      <c r="N402">
        <f>IF(Table1[[#This Row],[وسيلة الدفع]]="بطاقة",1,0)</f>
        <v>1</v>
      </c>
      <c r="O402">
        <f>IF(Table1[[#This Row],[وسيلة الدفع]]="محفظة",1,0)</f>
        <v>0</v>
      </c>
      <c r="P402">
        <f>IF(Table1[[#This Row],[وسيلة الدفع]]="تحويل",1,0)</f>
        <v>0</v>
      </c>
      <c r="Q402">
        <f>IF(Table1[[#This Row],[حضر التهيئة]]="نعم",1,0)</f>
        <v>1</v>
      </c>
      <c r="R402">
        <f>IF(Table1[[#This Row],[دورة الفوترة]]="شهري",1,0)</f>
        <v>0</v>
      </c>
    </row>
    <row r="403" spans="1:18" x14ac:dyDescent="0.25">
      <c r="A403" t="s">
        <v>423</v>
      </c>
      <c r="B403" s="1">
        <v>45720</v>
      </c>
      <c r="C403" t="s">
        <v>28</v>
      </c>
      <c r="D403">
        <v>39</v>
      </c>
      <c r="E403" t="s">
        <v>20</v>
      </c>
      <c r="F403">
        <v>11</v>
      </c>
      <c r="G403" t="s">
        <v>15</v>
      </c>
      <c r="H403">
        <v>4</v>
      </c>
      <c r="I403">
        <v>19</v>
      </c>
      <c r="J403">
        <v>0</v>
      </c>
      <c r="K403" t="s">
        <v>17</v>
      </c>
      <c r="L403" t="s">
        <v>17</v>
      </c>
      <c r="M403">
        <f>IF(Table1[[#This Row],[ألغى الاشتراك]]="نعم",1,0)</f>
        <v>0</v>
      </c>
      <c r="N403">
        <f>IF(Table1[[#This Row],[وسيلة الدفع]]="بطاقة",1,0)</f>
        <v>1</v>
      </c>
      <c r="O403">
        <f>IF(Table1[[#This Row],[وسيلة الدفع]]="محفظة",1,0)</f>
        <v>0</v>
      </c>
      <c r="P403">
        <f>IF(Table1[[#This Row],[وسيلة الدفع]]="تحويل",1,0)</f>
        <v>0</v>
      </c>
      <c r="Q403">
        <f>IF(Table1[[#This Row],[حضر التهيئة]]="نعم",1,0)</f>
        <v>0</v>
      </c>
      <c r="R403">
        <f>IF(Table1[[#This Row],[دورة الفوترة]]="شهري",1,0)</f>
        <v>0</v>
      </c>
    </row>
    <row r="404" spans="1:18" x14ac:dyDescent="0.25">
      <c r="A404" t="s">
        <v>424</v>
      </c>
      <c r="B404" s="1">
        <v>45791</v>
      </c>
      <c r="C404" t="s">
        <v>13</v>
      </c>
      <c r="D404">
        <v>89</v>
      </c>
      <c r="E404" t="s">
        <v>14</v>
      </c>
      <c r="F404">
        <v>26</v>
      </c>
      <c r="G404" t="s">
        <v>23</v>
      </c>
      <c r="H404">
        <v>1</v>
      </c>
      <c r="I404">
        <v>36</v>
      </c>
      <c r="J404">
        <v>5</v>
      </c>
      <c r="K404" t="s">
        <v>17</v>
      </c>
      <c r="L404" t="s">
        <v>17</v>
      </c>
      <c r="M404">
        <f>IF(Table1[[#This Row],[ألغى الاشتراك]]="نعم",1,0)</f>
        <v>0</v>
      </c>
      <c r="N404">
        <f>IF(Table1[[#This Row],[وسيلة الدفع]]="بطاقة",1,0)</f>
        <v>0</v>
      </c>
      <c r="O404">
        <f>IF(Table1[[#This Row],[وسيلة الدفع]]="محفظة",1,0)</f>
        <v>0</v>
      </c>
      <c r="P404">
        <f>IF(Table1[[#This Row],[وسيلة الدفع]]="تحويل",1,0)</f>
        <v>1</v>
      </c>
      <c r="Q404">
        <f>IF(Table1[[#This Row],[حضر التهيئة]]="نعم",1,0)</f>
        <v>0</v>
      </c>
      <c r="R404">
        <f>IF(Table1[[#This Row],[دورة الفوترة]]="شهري",1,0)</f>
        <v>1</v>
      </c>
    </row>
    <row r="405" spans="1:18" x14ac:dyDescent="0.25">
      <c r="A405" t="s">
        <v>425</v>
      </c>
      <c r="B405" s="1">
        <v>45329</v>
      </c>
      <c r="C405" t="s">
        <v>13</v>
      </c>
      <c r="D405">
        <v>89</v>
      </c>
      <c r="E405" t="s">
        <v>20</v>
      </c>
      <c r="F405">
        <v>22</v>
      </c>
      <c r="G405" t="s">
        <v>15</v>
      </c>
      <c r="H405">
        <v>0</v>
      </c>
      <c r="I405">
        <v>46</v>
      </c>
      <c r="J405">
        <v>0</v>
      </c>
      <c r="K405" t="s">
        <v>17</v>
      </c>
      <c r="L405" t="s">
        <v>17</v>
      </c>
      <c r="M405">
        <f>IF(Table1[[#This Row],[ألغى الاشتراك]]="نعم",1,0)</f>
        <v>0</v>
      </c>
      <c r="N405">
        <f>IF(Table1[[#This Row],[وسيلة الدفع]]="بطاقة",1,0)</f>
        <v>1</v>
      </c>
      <c r="O405">
        <f>IF(Table1[[#This Row],[وسيلة الدفع]]="محفظة",1,0)</f>
        <v>0</v>
      </c>
      <c r="P405">
        <f>IF(Table1[[#This Row],[وسيلة الدفع]]="تحويل",1,0)</f>
        <v>0</v>
      </c>
      <c r="Q405">
        <f>IF(Table1[[#This Row],[حضر التهيئة]]="نعم",1,0)</f>
        <v>0</v>
      </c>
      <c r="R405">
        <f>IF(Table1[[#This Row],[دورة الفوترة]]="شهري",1,0)</f>
        <v>0</v>
      </c>
    </row>
    <row r="406" spans="1:18" x14ac:dyDescent="0.25">
      <c r="A406" t="s">
        <v>426</v>
      </c>
      <c r="B406" s="1">
        <v>45399</v>
      </c>
      <c r="C406" t="s">
        <v>19</v>
      </c>
      <c r="D406">
        <v>189</v>
      </c>
      <c r="E406" t="s">
        <v>14</v>
      </c>
      <c r="F406">
        <v>7</v>
      </c>
      <c r="G406" t="s">
        <v>15</v>
      </c>
      <c r="H406">
        <v>0</v>
      </c>
      <c r="I406">
        <v>21</v>
      </c>
      <c r="J406">
        <v>25</v>
      </c>
      <c r="K406" t="s">
        <v>16</v>
      </c>
      <c r="L406" t="s">
        <v>17</v>
      </c>
      <c r="M406">
        <f>IF(Table1[[#This Row],[ألغى الاشتراك]]="نعم",1,0)</f>
        <v>0</v>
      </c>
      <c r="N406">
        <f>IF(Table1[[#This Row],[وسيلة الدفع]]="بطاقة",1,0)</f>
        <v>1</v>
      </c>
      <c r="O406">
        <f>IF(Table1[[#This Row],[وسيلة الدفع]]="محفظة",1,0)</f>
        <v>0</v>
      </c>
      <c r="P406">
        <f>IF(Table1[[#This Row],[وسيلة الدفع]]="تحويل",1,0)</f>
        <v>0</v>
      </c>
      <c r="Q406">
        <f>IF(Table1[[#This Row],[حضر التهيئة]]="نعم",1,0)</f>
        <v>1</v>
      </c>
      <c r="R406">
        <f>IF(Table1[[#This Row],[دورة الفوترة]]="شهري",1,0)</f>
        <v>1</v>
      </c>
    </row>
    <row r="407" spans="1:18" x14ac:dyDescent="0.25">
      <c r="A407" t="s">
        <v>427</v>
      </c>
      <c r="B407" s="1">
        <v>45333</v>
      </c>
      <c r="C407" t="s">
        <v>19</v>
      </c>
      <c r="D407">
        <v>189</v>
      </c>
      <c r="E407" t="s">
        <v>14</v>
      </c>
      <c r="F407">
        <v>29</v>
      </c>
      <c r="G407" t="s">
        <v>15</v>
      </c>
      <c r="H407">
        <v>0</v>
      </c>
      <c r="I407">
        <v>55</v>
      </c>
      <c r="J407">
        <v>10</v>
      </c>
      <c r="K407" t="s">
        <v>16</v>
      </c>
      <c r="L407" t="s">
        <v>17</v>
      </c>
      <c r="M407">
        <f>IF(Table1[[#This Row],[ألغى الاشتراك]]="نعم",1,0)</f>
        <v>0</v>
      </c>
      <c r="N407">
        <f>IF(Table1[[#This Row],[وسيلة الدفع]]="بطاقة",1,0)</f>
        <v>1</v>
      </c>
      <c r="O407">
        <f>IF(Table1[[#This Row],[وسيلة الدفع]]="محفظة",1,0)</f>
        <v>0</v>
      </c>
      <c r="P407">
        <f>IF(Table1[[#This Row],[وسيلة الدفع]]="تحويل",1,0)</f>
        <v>0</v>
      </c>
      <c r="Q407">
        <f>IF(Table1[[#This Row],[حضر التهيئة]]="نعم",1,0)</f>
        <v>1</v>
      </c>
      <c r="R407">
        <f>IF(Table1[[#This Row],[دورة الفوترة]]="شهري",1,0)</f>
        <v>1</v>
      </c>
    </row>
    <row r="408" spans="1:18" x14ac:dyDescent="0.25">
      <c r="A408" t="s">
        <v>428</v>
      </c>
      <c r="B408" s="1">
        <v>45858</v>
      </c>
      <c r="C408" t="s">
        <v>28</v>
      </c>
      <c r="D408">
        <v>39</v>
      </c>
      <c r="E408" t="s">
        <v>20</v>
      </c>
      <c r="F408">
        <v>5</v>
      </c>
      <c r="G408" t="s">
        <v>15</v>
      </c>
      <c r="H408">
        <v>10</v>
      </c>
      <c r="I408">
        <v>39</v>
      </c>
      <c r="J408">
        <v>0</v>
      </c>
      <c r="K408" t="s">
        <v>16</v>
      </c>
      <c r="L408" t="s">
        <v>16</v>
      </c>
      <c r="M408">
        <f>IF(Table1[[#This Row],[ألغى الاشتراك]]="نعم",1,0)</f>
        <v>1</v>
      </c>
      <c r="N408">
        <f>IF(Table1[[#This Row],[وسيلة الدفع]]="بطاقة",1,0)</f>
        <v>1</v>
      </c>
      <c r="O408">
        <f>IF(Table1[[#This Row],[وسيلة الدفع]]="محفظة",1,0)</f>
        <v>0</v>
      </c>
      <c r="P408">
        <f>IF(Table1[[#This Row],[وسيلة الدفع]]="تحويل",1,0)</f>
        <v>0</v>
      </c>
      <c r="Q408">
        <f>IF(Table1[[#This Row],[حضر التهيئة]]="نعم",1,0)</f>
        <v>1</v>
      </c>
      <c r="R408">
        <f>IF(Table1[[#This Row],[دورة الفوترة]]="شهري",1,0)</f>
        <v>0</v>
      </c>
    </row>
    <row r="409" spans="1:18" x14ac:dyDescent="0.25">
      <c r="A409" t="s">
        <v>429</v>
      </c>
      <c r="B409" s="1">
        <v>45529</v>
      </c>
      <c r="C409" t="s">
        <v>13</v>
      </c>
      <c r="D409">
        <v>89</v>
      </c>
      <c r="E409" t="s">
        <v>14</v>
      </c>
      <c r="F409">
        <v>12</v>
      </c>
      <c r="G409" t="s">
        <v>23</v>
      </c>
      <c r="H409">
        <v>1</v>
      </c>
      <c r="I409">
        <v>2</v>
      </c>
      <c r="J409">
        <v>0</v>
      </c>
      <c r="K409" t="s">
        <v>17</v>
      </c>
      <c r="L409" t="s">
        <v>17</v>
      </c>
      <c r="M409">
        <f>IF(Table1[[#This Row],[ألغى الاشتراك]]="نعم",1,0)</f>
        <v>0</v>
      </c>
      <c r="N409">
        <f>IF(Table1[[#This Row],[وسيلة الدفع]]="بطاقة",1,0)</f>
        <v>0</v>
      </c>
      <c r="O409">
        <f>IF(Table1[[#This Row],[وسيلة الدفع]]="محفظة",1,0)</f>
        <v>0</v>
      </c>
      <c r="P409">
        <f>IF(Table1[[#This Row],[وسيلة الدفع]]="تحويل",1,0)</f>
        <v>1</v>
      </c>
      <c r="Q409">
        <f>IF(Table1[[#This Row],[حضر التهيئة]]="نعم",1,0)</f>
        <v>0</v>
      </c>
      <c r="R409">
        <f>IF(Table1[[#This Row],[دورة الفوترة]]="شهري",1,0)</f>
        <v>1</v>
      </c>
    </row>
    <row r="410" spans="1:18" x14ac:dyDescent="0.25">
      <c r="A410" t="s">
        <v>430</v>
      </c>
      <c r="B410" s="1">
        <v>45799</v>
      </c>
      <c r="C410" t="s">
        <v>19</v>
      </c>
      <c r="D410">
        <v>189</v>
      </c>
      <c r="E410" t="s">
        <v>20</v>
      </c>
      <c r="F410">
        <v>5</v>
      </c>
      <c r="G410" t="s">
        <v>23</v>
      </c>
      <c r="H410">
        <v>0</v>
      </c>
      <c r="I410">
        <v>37</v>
      </c>
      <c r="J410">
        <v>0</v>
      </c>
      <c r="K410" t="s">
        <v>17</v>
      </c>
      <c r="L410" t="s">
        <v>17</v>
      </c>
      <c r="M410">
        <f>IF(Table1[[#This Row],[ألغى الاشتراك]]="نعم",1,0)</f>
        <v>0</v>
      </c>
      <c r="N410">
        <f>IF(Table1[[#This Row],[وسيلة الدفع]]="بطاقة",1,0)</f>
        <v>0</v>
      </c>
      <c r="O410">
        <f>IF(Table1[[#This Row],[وسيلة الدفع]]="محفظة",1,0)</f>
        <v>0</v>
      </c>
      <c r="P410">
        <f>IF(Table1[[#This Row],[وسيلة الدفع]]="تحويل",1,0)</f>
        <v>1</v>
      </c>
      <c r="Q410">
        <f>IF(Table1[[#This Row],[حضر التهيئة]]="نعم",1,0)</f>
        <v>0</v>
      </c>
      <c r="R410">
        <f>IF(Table1[[#This Row],[دورة الفوترة]]="شهري",1,0)</f>
        <v>0</v>
      </c>
    </row>
    <row r="411" spans="1:18" x14ac:dyDescent="0.25">
      <c r="A411" t="s">
        <v>431</v>
      </c>
      <c r="B411" s="1">
        <v>45580</v>
      </c>
      <c r="C411" t="s">
        <v>28</v>
      </c>
      <c r="D411">
        <v>39</v>
      </c>
      <c r="E411" t="s">
        <v>20</v>
      </c>
      <c r="F411">
        <v>30</v>
      </c>
      <c r="G411" t="s">
        <v>15</v>
      </c>
      <c r="H411">
        <v>2</v>
      </c>
      <c r="I411">
        <v>56</v>
      </c>
      <c r="J411">
        <v>0</v>
      </c>
      <c r="K411" t="s">
        <v>16</v>
      </c>
      <c r="L411" t="s">
        <v>17</v>
      </c>
      <c r="M411">
        <f>IF(Table1[[#This Row],[ألغى الاشتراك]]="نعم",1,0)</f>
        <v>0</v>
      </c>
      <c r="N411">
        <f>IF(Table1[[#This Row],[وسيلة الدفع]]="بطاقة",1,0)</f>
        <v>1</v>
      </c>
      <c r="O411">
        <f>IF(Table1[[#This Row],[وسيلة الدفع]]="محفظة",1,0)</f>
        <v>0</v>
      </c>
      <c r="P411">
        <f>IF(Table1[[#This Row],[وسيلة الدفع]]="تحويل",1,0)</f>
        <v>0</v>
      </c>
      <c r="Q411">
        <f>IF(Table1[[#This Row],[حضر التهيئة]]="نعم",1,0)</f>
        <v>1</v>
      </c>
      <c r="R411">
        <f>IF(Table1[[#This Row],[دورة الفوترة]]="شهري",1,0)</f>
        <v>0</v>
      </c>
    </row>
    <row r="412" spans="1:18" x14ac:dyDescent="0.25">
      <c r="A412" t="s">
        <v>432</v>
      </c>
      <c r="B412" s="1">
        <v>45965</v>
      </c>
      <c r="C412" t="s">
        <v>19</v>
      </c>
      <c r="D412">
        <v>189</v>
      </c>
      <c r="E412" t="s">
        <v>14</v>
      </c>
      <c r="F412">
        <v>3</v>
      </c>
      <c r="G412" t="s">
        <v>21</v>
      </c>
      <c r="H412">
        <v>2</v>
      </c>
      <c r="I412">
        <v>55</v>
      </c>
      <c r="J412">
        <v>0</v>
      </c>
      <c r="K412" t="s">
        <v>16</v>
      </c>
      <c r="L412" t="s">
        <v>17</v>
      </c>
      <c r="M412">
        <f>IF(Table1[[#This Row],[ألغى الاشتراك]]="نعم",1,0)</f>
        <v>0</v>
      </c>
      <c r="N412">
        <f>IF(Table1[[#This Row],[وسيلة الدفع]]="بطاقة",1,0)</f>
        <v>0</v>
      </c>
      <c r="O412">
        <f>IF(Table1[[#This Row],[وسيلة الدفع]]="محفظة",1,0)</f>
        <v>1</v>
      </c>
      <c r="P412">
        <f>IF(Table1[[#This Row],[وسيلة الدفع]]="تحويل",1,0)</f>
        <v>0</v>
      </c>
      <c r="Q412">
        <f>IF(Table1[[#This Row],[حضر التهيئة]]="نعم",1,0)</f>
        <v>1</v>
      </c>
      <c r="R412">
        <f>IF(Table1[[#This Row],[دورة الفوترة]]="شهري",1,0)</f>
        <v>1</v>
      </c>
    </row>
    <row r="413" spans="1:18" x14ac:dyDescent="0.25">
      <c r="A413" t="s">
        <v>433</v>
      </c>
      <c r="B413" s="1">
        <v>45403</v>
      </c>
      <c r="C413" t="s">
        <v>13</v>
      </c>
      <c r="D413">
        <v>89</v>
      </c>
      <c r="E413" t="s">
        <v>14</v>
      </c>
      <c r="F413">
        <v>24</v>
      </c>
      <c r="G413" t="s">
        <v>15</v>
      </c>
      <c r="H413">
        <v>2</v>
      </c>
      <c r="I413">
        <v>56</v>
      </c>
      <c r="J413">
        <v>0</v>
      </c>
      <c r="K413" t="s">
        <v>16</v>
      </c>
      <c r="L413" t="s">
        <v>17</v>
      </c>
      <c r="M413">
        <f>IF(Table1[[#This Row],[ألغى الاشتراك]]="نعم",1,0)</f>
        <v>0</v>
      </c>
      <c r="N413">
        <f>IF(Table1[[#This Row],[وسيلة الدفع]]="بطاقة",1,0)</f>
        <v>1</v>
      </c>
      <c r="O413">
        <f>IF(Table1[[#This Row],[وسيلة الدفع]]="محفظة",1,0)</f>
        <v>0</v>
      </c>
      <c r="P413">
        <f>IF(Table1[[#This Row],[وسيلة الدفع]]="تحويل",1,0)</f>
        <v>0</v>
      </c>
      <c r="Q413">
        <f>IF(Table1[[#This Row],[حضر التهيئة]]="نعم",1,0)</f>
        <v>1</v>
      </c>
      <c r="R413">
        <f>IF(Table1[[#This Row],[دورة الفوترة]]="شهري",1,0)</f>
        <v>1</v>
      </c>
    </row>
    <row r="414" spans="1:18" x14ac:dyDescent="0.25">
      <c r="A414" t="s">
        <v>434</v>
      </c>
      <c r="B414" s="1">
        <v>45910</v>
      </c>
      <c r="C414" t="s">
        <v>13</v>
      </c>
      <c r="D414">
        <v>89</v>
      </c>
      <c r="E414" t="s">
        <v>20</v>
      </c>
      <c r="F414">
        <v>25</v>
      </c>
      <c r="G414" t="s">
        <v>15</v>
      </c>
      <c r="H414">
        <v>2</v>
      </c>
      <c r="I414">
        <v>49</v>
      </c>
      <c r="J414">
        <v>0</v>
      </c>
      <c r="K414" t="s">
        <v>16</v>
      </c>
      <c r="L414" t="s">
        <v>17</v>
      </c>
      <c r="M414">
        <f>IF(Table1[[#This Row],[ألغى الاشتراك]]="نعم",1,0)</f>
        <v>0</v>
      </c>
      <c r="N414">
        <f>IF(Table1[[#This Row],[وسيلة الدفع]]="بطاقة",1,0)</f>
        <v>1</v>
      </c>
      <c r="O414">
        <f>IF(Table1[[#This Row],[وسيلة الدفع]]="محفظة",1,0)</f>
        <v>0</v>
      </c>
      <c r="P414">
        <f>IF(Table1[[#This Row],[وسيلة الدفع]]="تحويل",1,0)</f>
        <v>0</v>
      </c>
      <c r="Q414">
        <f>IF(Table1[[#This Row],[حضر التهيئة]]="نعم",1,0)</f>
        <v>1</v>
      </c>
      <c r="R414">
        <f>IF(Table1[[#This Row],[دورة الفوترة]]="شهري",1,0)</f>
        <v>0</v>
      </c>
    </row>
    <row r="415" spans="1:18" x14ac:dyDescent="0.25">
      <c r="A415" t="s">
        <v>435</v>
      </c>
      <c r="B415" s="1">
        <v>45458</v>
      </c>
      <c r="C415" t="s">
        <v>13</v>
      </c>
      <c r="D415">
        <v>89</v>
      </c>
      <c r="E415" t="s">
        <v>20</v>
      </c>
      <c r="F415">
        <v>16</v>
      </c>
      <c r="G415" t="s">
        <v>15</v>
      </c>
      <c r="H415">
        <v>2</v>
      </c>
      <c r="I415">
        <v>44</v>
      </c>
      <c r="J415">
        <v>0</v>
      </c>
      <c r="K415" t="s">
        <v>16</v>
      </c>
      <c r="L415" t="s">
        <v>17</v>
      </c>
      <c r="M415">
        <f>IF(Table1[[#This Row],[ألغى الاشتراك]]="نعم",1,0)</f>
        <v>0</v>
      </c>
      <c r="N415">
        <f>IF(Table1[[#This Row],[وسيلة الدفع]]="بطاقة",1,0)</f>
        <v>1</v>
      </c>
      <c r="O415">
        <f>IF(Table1[[#This Row],[وسيلة الدفع]]="محفظة",1,0)</f>
        <v>0</v>
      </c>
      <c r="P415">
        <f>IF(Table1[[#This Row],[وسيلة الدفع]]="تحويل",1,0)</f>
        <v>0</v>
      </c>
      <c r="Q415">
        <f>IF(Table1[[#This Row],[حضر التهيئة]]="نعم",1,0)</f>
        <v>1</v>
      </c>
      <c r="R415">
        <f>IF(Table1[[#This Row],[دورة الفوترة]]="شهري",1,0)</f>
        <v>0</v>
      </c>
    </row>
    <row r="416" spans="1:18" x14ac:dyDescent="0.25">
      <c r="A416" t="s">
        <v>436</v>
      </c>
      <c r="B416" s="1">
        <v>45740</v>
      </c>
      <c r="C416" t="s">
        <v>28</v>
      </c>
      <c r="D416">
        <v>39</v>
      </c>
      <c r="E416" t="s">
        <v>20</v>
      </c>
      <c r="F416">
        <v>29</v>
      </c>
      <c r="G416" t="s">
        <v>21</v>
      </c>
      <c r="H416">
        <v>3</v>
      </c>
      <c r="I416">
        <v>27</v>
      </c>
      <c r="J416">
        <v>0</v>
      </c>
      <c r="K416" t="s">
        <v>17</v>
      </c>
      <c r="L416" t="s">
        <v>17</v>
      </c>
      <c r="M416">
        <f>IF(Table1[[#This Row],[ألغى الاشتراك]]="نعم",1,0)</f>
        <v>0</v>
      </c>
      <c r="N416">
        <f>IF(Table1[[#This Row],[وسيلة الدفع]]="بطاقة",1,0)</f>
        <v>0</v>
      </c>
      <c r="O416">
        <f>IF(Table1[[#This Row],[وسيلة الدفع]]="محفظة",1,0)</f>
        <v>1</v>
      </c>
      <c r="P416">
        <f>IF(Table1[[#This Row],[وسيلة الدفع]]="تحويل",1,0)</f>
        <v>0</v>
      </c>
      <c r="Q416">
        <f>IF(Table1[[#This Row],[حضر التهيئة]]="نعم",1,0)</f>
        <v>0</v>
      </c>
      <c r="R416">
        <f>IF(Table1[[#This Row],[دورة الفوترة]]="شهري",1,0)</f>
        <v>0</v>
      </c>
    </row>
    <row r="417" spans="1:18" x14ac:dyDescent="0.25">
      <c r="A417" t="s">
        <v>437</v>
      </c>
      <c r="B417" s="1">
        <v>45679</v>
      </c>
      <c r="C417" t="s">
        <v>28</v>
      </c>
      <c r="D417">
        <v>39</v>
      </c>
      <c r="E417" t="s">
        <v>20</v>
      </c>
      <c r="F417">
        <v>2</v>
      </c>
      <c r="G417" t="s">
        <v>21</v>
      </c>
      <c r="H417">
        <v>1</v>
      </c>
      <c r="I417">
        <v>8</v>
      </c>
      <c r="J417">
        <v>5</v>
      </c>
      <c r="K417" t="s">
        <v>17</v>
      </c>
      <c r="L417" t="s">
        <v>16</v>
      </c>
      <c r="M417">
        <f>IF(Table1[[#This Row],[ألغى الاشتراك]]="نعم",1,0)</f>
        <v>1</v>
      </c>
      <c r="N417">
        <f>IF(Table1[[#This Row],[وسيلة الدفع]]="بطاقة",1,0)</f>
        <v>0</v>
      </c>
      <c r="O417">
        <f>IF(Table1[[#This Row],[وسيلة الدفع]]="محفظة",1,0)</f>
        <v>1</v>
      </c>
      <c r="P417">
        <f>IF(Table1[[#This Row],[وسيلة الدفع]]="تحويل",1,0)</f>
        <v>0</v>
      </c>
      <c r="Q417">
        <f>IF(Table1[[#This Row],[حضر التهيئة]]="نعم",1,0)</f>
        <v>0</v>
      </c>
      <c r="R417">
        <f>IF(Table1[[#This Row],[دورة الفوترة]]="شهري",1,0)</f>
        <v>0</v>
      </c>
    </row>
    <row r="418" spans="1:18" x14ac:dyDescent="0.25">
      <c r="A418" t="s">
        <v>438</v>
      </c>
      <c r="B418" s="1">
        <v>45576</v>
      </c>
      <c r="C418" t="s">
        <v>13</v>
      </c>
      <c r="D418">
        <v>89</v>
      </c>
      <c r="E418" t="s">
        <v>20</v>
      </c>
      <c r="F418">
        <v>22</v>
      </c>
      <c r="G418" t="s">
        <v>23</v>
      </c>
      <c r="H418">
        <v>3</v>
      </c>
      <c r="I418">
        <v>14</v>
      </c>
      <c r="J418">
        <v>0</v>
      </c>
      <c r="K418" t="s">
        <v>16</v>
      </c>
      <c r="L418" t="s">
        <v>17</v>
      </c>
      <c r="M418">
        <f>IF(Table1[[#This Row],[ألغى الاشتراك]]="نعم",1,0)</f>
        <v>0</v>
      </c>
      <c r="N418">
        <f>IF(Table1[[#This Row],[وسيلة الدفع]]="بطاقة",1,0)</f>
        <v>0</v>
      </c>
      <c r="O418">
        <f>IF(Table1[[#This Row],[وسيلة الدفع]]="محفظة",1,0)</f>
        <v>0</v>
      </c>
      <c r="P418">
        <f>IF(Table1[[#This Row],[وسيلة الدفع]]="تحويل",1,0)</f>
        <v>1</v>
      </c>
      <c r="Q418">
        <f>IF(Table1[[#This Row],[حضر التهيئة]]="نعم",1,0)</f>
        <v>1</v>
      </c>
      <c r="R418">
        <f>IF(Table1[[#This Row],[دورة الفوترة]]="شهري",1,0)</f>
        <v>0</v>
      </c>
    </row>
    <row r="419" spans="1:18" x14ac:dyDescent="0.25">
      <c r="A419" t="s">
        <v>439</v>
      </c>
      <c r="B419" s="1">
        <v>45866</v>
      </c>
      <c r="C419" t="s">
        <v>13</v>
      </c>
      <c r="D419">
        <v>89</v>
      </c>
      <c r="E419" t="s">
        <v>20</v>
      </c>
      <c r="F419">
        <v>7</v>
      </c>
      <c r="G419" t="s">
        <v>15</v>
      </c>
      <c r="H419">
        <v>1</v>
      </c>
      <c r="I419">
        <v>5</v>
      </c>
      <c r="J419">
        <v>0</v>
      </c>
      <c r="K419" t="s">
        <v>16</v>
      </c>
      <c r="L419" t="s">
        <v>16</v>
      </c>
      <c r="M419">
        <f>IF(Table1[[#This Row],[ألغى الاشتراك]]="نعم",1,0)</f>
        <v>1</v>
      </c>
      <c r="N419">
        <f>IF(Table1[[#This Row],[وسيلة الدفع]]="بطاقة",1,0)</f>
        <v>1</v>
      </c>
      <c r="O419">
        <f>IF(Table1[[#This Row],[وسيلة الدفع]]="محفظة",1,0)</f>
        <v>0</v>
      </c>
      <c r="P419">
        <f>IF(Table1[[#This Row],[وسيلة الدفع]]="تحويل",1,0)</f>
        <v>0</v>
      </c>
      <c r="Q419">
        <f>IF(Table1[[#This Row],[حضر التهيئة]]="نعم",1,0)</f>
        <v>1</v>
      </c>
      <c r="R419">
        <f>IF(Table1[[#This Row],[دورة الفوترة]]="شهري",1,0)</f>
        <v>0</v>
      </c>
    </row>
    <row r="420" spans="1:18" x14ac:dyDescent="0.25">
      <c r="A420" t="s">
        <v>440</v>
      </c>
      <c r="B420" s="1">
        <v>45403</v>
      </c>
      <c r="C420" t="s">
        <v>19</v>
      </c>
      <c r="D420">
        <v>189</v>
      </c>
      <c r="E420" t="s">
        <v>20</v>
      </c>
      <c r="F420">
        <v>8</v>
      </c>
      <c r="G420" t="s">
        <v>15</v>
      </c>
      <c r="H420">
        <v>1</v>
      </c>
      <c r="I420">
        <v>6</v>
      </c>
      <c r="J420">
        <v>0</v>
      </c>
      <c r="K420" t="s">
        <v>17</v>
      </c>
      <c r="L420" t="s">
        <v>16</v>
      </c>
      <c r="M420">
        <f>IF(Table1[[#This Row],[ألغى الاشتراك]]="نعم",1,0)</f>
        <v>1</v>
      </c>
      <c r="N420">
        <f>IF(Table1[[#This Row],[وسيلة الدفع]]="بطاقة",1,0)</f>
        <v>1</v>
      </c>
      <c r="O420">
        <f>IF(Table1[[#This Row],[وسيلة الدفع]]="محفظة",1,0)</f>
        <v>0</v>
      </c>
      <c r="P420">
        <f>IF(Table1[[#This Row],[وسيلة الدفع]]="تحويل",1,0)</f>
        <v>0</v>
      </c>
      <c r="Q420">
        <f>IF(Table1[[#This Row],[حضر التهيئة]]="نعم",1,0)</f>
        <v>0</v>
      </c>
      <c r="R420">
        <f>IF(Table1[[#This Row],[دورة الفوترة]]="شهري",1,0)</f>
        <v>0</v>
      </c>
    </row>
    <row r="421" spans="1:18" x14ac:dyDescent="0.25">
      <c r="A421" t="s">
        <v>441</v>
      </c>
      <c r="B421" s="1">
        <v>45329</v>
      </c>
      <c r="C421" t="s">
        <v>28</v>
      </c>
      <c r="D421">
        <v>39</v>
      </c>
      <c r="E421" t="s">
        <v>14</v>
      </c>
      <c r="F421">
        <v>5</v>
      </c>
      <c r="G421" t="s">
        <v>15</v>
      </c>
      <c r="H421">
        <v>0</v>
      </c>
      <c r="I421">
        <v>59</v>
      </c>
      <c r="J421">
        <v>10</v>
      </c>
      <c r="K421" t="s">
        <v>17</v>
      </c>
      <c r="L421" t="s">
        <v>17</v>
      </c>
      <c r="M421">
        <f>IF(Table1[[#This Row],[ألغى الاشتراك]]="نعم",1,0)</f>
        <v>0</v>
      </c>
      <c r="N421">
        <f>IF(Table1[[#This Row],[وسيلة الدفع]]="بطاقة",1,0)</f>
        <v>1</v>
      </c>
      <c r="O421">
        <f>IF(Table1[[#This Row],[وسيلة الدفع]]="محفظة",1,0)</f>
        <v>0</v>
      </c>
      <c r="P421">
        <f>IF(Table1[[#This Row],[وسيلة الدفع]]="تحويل",1,0)</f>
        <v>0</v>
      </c>
      <c r="Q421">
        <f>IF(Table1[[#This Row],[حضر التهيئة]]="نعم",1,0)</f>
        <v>0</v>
      </c>
      <c r="R421">
        <f>IF(Table1[[#This Row],[دورة الفوترة]]="شهري",1,0)</f>
        <v>1</v>
      </c>
    </row>
    <row r="422" spans="1:18" x14ac:dyDescent="0.25">
      <c r="A422" t="s">
        <v>442</v>
      </c>
      <c r="B422" s="1">
        <v>45399</v>
      </c>
      <c r="C422" t="s">
        <v>19</v>
      </c>
      <c r="D422">
        <v>189</v>
      </c>
      <c r="E422" t="s">
        <v>14</v>
      </c>
      <c r="F422">
        <v>5</v>
      </c>
      <c r="G422" t="s">
        <v>21</v>
      </c>
      <c r="H422">
        <v>10</v>
      </c>
      <c r="I422">
        <v>35</v>
      </c>
      <c r="J422">
        <v>25</v>
      </c>
      <c r="K422" t="s">
        <v>17</v>
      </c>
      <c r="L422" t="s">
        <v>17</v>
      </c>
      <c r="M422">
        <f>IF(Table1[[#This Row],[ألغى الاشتراك]]="نعم",1,0)</f>
        <v>0</v>
      </c>
      <c r="N422">
        <f>IF(Table1[[#This Row],[وسيلة الدفع]]="بطاقة",1,0)</f>
        <v>0</v>
      </c>
      <c r="O422">
        <f>IF(Table1[[#This Row],[وسيلة الدفع]]="محفظة",1,0)</f>
        <v>1</v>
      </c>
      <c r="P422">
        <f>IF(Table1[[#This Row],[وسيلة الدفع]]="تحويل",1,0)</f>
        <v>0</v>
      </c>
      <c r="Q422">
        <f>IF(Table1[[#This Row],[حضر التهيئة]]="نعم",1,0)</f>
        <v>0</v>
      </c>
      <c r="R422">
        <f>IF(Table1[[#This Row],[دورة الفوترة]]="شهري",1,0)</f>
        <v>1</v>
      </c>
    </row>
    <row r="423" spans="1:18" x14ac:dyDescent="0.25">
      <c r="A423" t="s">
        <v>443</v>
      </c>
      <c r="B423" s="1">
        <v>45779</v>
      </c>
      <c r="C423" t="s">
        <v>13</v>
      </c>
      <c r="D423">
        <v>89</v>
      </c>
      <c r="E423" t="s">
        <v>14</v>
      </c>
      <c r="F423">
        <v>25</v>
      </c>
      <c r="G423" t="s">
        <v>21</v>
      </c>
      <c r="H423">
        <v>10</v>
      </c>
      <c r="I423">
        <v>37</v>
      </c>
      <c r="J423">
        <v>0</v>
      </c>
      <c r="K423" t="s">
        <v>17</v>
      </c>
      <c r="L423" t="s">
        <v>17</v>
      </c>
      <c r="M423">
        <f>IF(Table1[[#This Row],[ألغى الاشتراك]]="نعم",1,0)</f>
        <v>0</v>
      </c>
      <c r="N423">
        <f>IF(Table1[[#This Row],[وسيلة الدفع]]="بطاقة",1,0)</f>
        <v>0</v>
      </c>
      <c r="O423">
        <f>IF(Table1[[#This Row],[وسيلة الدفع]]="محفظة",1,0)</f>
        <v>1</v>
      </c>
      <c r="P423">
        <f>IF(Table1[[#This Row],[وسيلة الدفع]]="تحويل",1,0)</f>
        <v>0</v>
      </c>
      <c r="Q423">
        <f>IF(Table1[[#This Row],[حضر التهيئة]]="نعم",1,0)</f>
        <v>0</v>
      </c>
      <c r="R423">
        <f>IF(Table1[[#This Row],[دورة الفوترة]]="شهري",1,0)</f>
        <v>1</v>
      </c>
    </row>
    <row r="424" spans="1:18" x14ac:dyDescent="0.25">
      <c r="A424" t="s">
        <v>444</v>
      </c>
      <c r="B424" s="1">
        <v>45329</v>
      </c>
      <c r="C424" t="s">
        <v>13</v>
      </c>
      <c r="D424">
        <v>89</v>
      </c>
      <c r="E424" t="s">
        <v>14</v>
      </c>
      <c r="F424">
        <v>6</v>
      </c>
      <c r="G424" t="s">
        <v>15</v>
      </c>
      <c r="H424">
        <v>2</v>
      </c>
      <c r="I424">
        <v>38</v>
      </c>
      <c r="J424">
        <v>0</v>
      </c>
      <c r="K424" t="s">
        <v>17</v>
      </c>
      <c r="L424" t="s">
        <v>17</v>
      </c>
      <c r="M424">
        <f>IF(Table1[[#This Row],[ألغى الاشتراك]]="نعم",1,0)</f>
        <v>0</v>
      </c>
      <c r="N424">
        <f>IF(Table1[[#This Row],[وسيلة الدفع]]="بطاقة",1,0)</f>
        <v>1</v>
      </c>
      <c r="O424">
        <f>IF(Table1[[#This Row],[وسيلة الدفع]]="محفظة",1,0)</f>
        <v>0</v>
      </c>
      <c r="P424">
        <f>IF(Table1[[#This Row],[وسيلة الدفع]]="تحويل",1,0)</f>
        <v>0</v>
      </c>
      <c r="Q424">
        <f>IF(Table1[[#This Row],[حضر التهيئة]]="نعم",1,0)</f>
        <v>0</v>
      </c>
      <c r="R424">
        <f>IF(Table1[[#This Row],[دورة الفوترة]]="شهري",1,0)</f>
        <v>1</v>
      </c>
    </row>
    <row r="425" spans="1:18" x14ac:dyDescent="0.25">
      <c r="A425" t="s">
        <v>445</v>
      </c>
      <c r="B425" s="1">
        <v>45850</v>
      </c>
      <c r="C425" t="s">
        <v>13</v>
      </c>
      <c r="D425">
        <v>89</v>
      </c>
      <c r="E425" t="s">
        <v>14</v>
      </c>
      <c r="F425">
        <v>17</v>
      </c>
      <c r="G425" t="s">
        <v>23</v>
      </c>
      <c r="H425">
        <v>11</v>
      </c>
      <c r="I425">
        <v>7</v>
      </c>
      <c r="J425">
        <v>0</v>
      </c>
      <c r="K425" t="s">
        <v>16</v>
      </c>
      <c r="L425" t="s">
        <v>17</v>
      </c>
      <c r="M425">
        <f>IF(Table1[[#This Row],[ألغى الاشتراك]]="نعم",1,0)</f>
        <v>0</v>
      </c>
      <c r="N425">
        <f>IF(Table1[[#This Row],[وسيلة الدفع]]="بطاقة",1,0)</f>
        <v>0</v>
      </c>
      <c r="O425">
        <f>IF(Table1[[#This Row],[وسيلة الدفع]]="محفظة",1,0)</f>
        <v>0</v>
      </c>
      <c r="P425">
        <f>IF(Table1[[#This Row],[وسيلة الدفع]]="تحويل",1,0)</f>
        <v>1</v>
      </c>
      <c r="Q425">
        <f>IF(Table1[[#This Row],[حضر التهيئة]]="نعم",1,0)</f>
        <v>1</v>
      </c>
      <c r="R425">
        <f>IF(Table1[[#This Row],[دورة الفوترة]]="شهري",1,0)</f>
        <v>1</v>
      </c>
    </row>
    <row r="426" spans="1:18" x14ac:dyDescent="0.25">
      <c r="A426" t="s">
        <v>446</v>
      </c>
      <c r="B426" s="1">
        <v>45663</v>
      </c>
      <c r="C426" t="s">
        <v>13</v>
      </c>
      <c r="D426">
        <v>89</v>
      </c>
      <c r="E426" t="s">
        <v>14</v>
      </c>
      <c r="F426">
        <v>20</v>
      </c>
      <c r="G426" t="s">
        <v>23</v>
      </c>
      <c r="H426">
        <v>1</v>
      </c>
      <c r="I426">
        <v>30</v>
      </c>
      <c r="J426">
        <v>5</v>
      </c>
      <c r="K426" t="s">
        <v>16</v>
      </c>
      <c r="L426" t="s">
        <v>17</v>
      </c>
      <c r="M426">
        <f>IF(Table1[[#This Row],[ألغى الاشتراك]]="نعم",1,0)</f>
        <v>0</v>
      </c>
      <c r="N426">
        <f>IF(Table1[[#This Row],[وسيلة الدفع]]="بطاقة",1,0)</f>
        <v>0</v>
      </c>
      <c r="O426">
        <f>IF(Table1[[#This Row],[وسيلة الدفع]]="محفظة",1,0)</f>
        <v>0</v>
      </c>
      <c r="P426">
        <f>IF(Table1[[#This Row],[وسيلة الدفع]]="تحويل",1,0)</f>
        <v>1</v>
      </c>
      <c r="Q426">
        <f>IF(Table1[[#This Row],[حضر التهيئة]]="نعم",1,0)</f>
        <v>1</v>
      </c>
      <c r="R426">
        <f>IF(Table1[[#This Row],[دورة الفوترة]]="شهري",1,0)</f>
        <v>1</v>
      </c>
    </row>
    <row r="427" spans="1:18" x14ac:dyDescent="0.25">
      <c r="A427" t="s">
        <v>447</v>
      </c>
      <c r="B427" s="1">
        <v>45341</v>
      </c>
      <c r="C427" t="s">
        <v>19</v>
      </c>
      <c r="D427">
        <v>189</v>
      </c>
      <c r="E427" t="s">
        <v>14</v>
      </c>
      <c r="F427">
        <v>22</v>
      </c>
      <c r="G427" t="s">
        <v>23</v>
      </c>
      <c r="H427">
        <v>0</v>
      </c>
      <c r="I427">
        <v>6</v>
      </c>
      <c r="J427">
        <v>0</v>
      </c>
      <c r="K427" t="s">
        <v>16</v>
      </c>
      <c r="L427" t="s">
        <v>17</v>
      </c>
      <c r="M427">
        <f>IF(Table1[[#This Row],[ألغى الاشتراك]]="نعم",1,0)</f>
        <v>0</v>
      </c>
      <c r="N427">
        <f>IF(Table1[[#This Row],[وسيلة الدفع]]="بطاقة",1,0)</f>
        <v>0</v>
      </c>
      <c r="O427">
        <f>IF(Table1[[#This Row],[وسيلة الدفع]]="محفظة",1,0)</f>
        <v>0</v>
      </c>
      <c r="P427">
        <f>IF(Table1[[#This Row],[وسيلة الدفع]]="تحويل",1,0)</f>
        <v>1</v>
      </c>
      <c r="Q427">
        <f>IF(Table1[[#This Row],[حضر التهيئة]]="نعم",1,0)</f>
        <v>1</v>
      </c>
      <c r="R427">
        <f>IF(Table1[[#This Row],[دورة الفوترة]]="شهري",1,0)</f>
        <v>1</v>
      </c>
    </row>
    <row r="428" spans="1:18" x14ac:dyDescent="0.25">
      <c r="A428" t="s">
        <v>448</v>
      </c>
      <c r="B428" s="1">
        <v>45720</v>
      </c>
      <c r="C428" t="s">
        <v>19</v>
      </c>
      <c r="D428">
        <v>189</v>
      </c>
      <c r="E428" t="s">
        <v>14</v>
      </c>
      <c r="F428">
        <v>9</v>
      </c>
      <c r="G428" t="s">
        <v>15</v>
      </c>
      <c r="H428">
        <v>2</v>
      </c>
      <c r="I428">
        <v>5</v>
      </c>
      <c r="J428">
        <v>0</v>
      </c>
      <c r="K428" t="s">
        <v>16</v>
      </c>
      <c r="L428" t="s">
        <v>17</v>
      </c>
      <c r="M428">
        <f>IF(Table1[[#This Row],[ألغى الاشتراك]]="نعم",1,0)</f>
        <v>0</v>
      </c>
      <c r="N428">
        <f>IF(Table1[[#This Row],[وسيلة الدفع]]="بطاقة",1,0)</f>
        <v>1</v>
      </c>
      <c r="O428">
        <f>IF(Table1[[#This Row],[وسيلة الدفع]]="محفظة",1,0)</f>
        <v>0</v>
      </c>
      <c r="P428">
        <f>IF(Table1[[#This Row],[وسيلة الدفع]]="تحويل",1,0)</f>
        <v>0</v>
      </c>
      <c r="Q428">
        <f>IF(Table1[[#This Row],[حضر التهيئة]]="نعم",1,0)</f>
        <v>1</v>
      </c>
      <c r="R428">
        <f>IF(Table1[[#This Row],[دورة الفوترة]]="شهري",1,0)</f>
        <v>1</v>
      </c>
    </row>
    <row r="429" spans="1:18" x14ac:dyDescent="0.25">
      <c r="A429" t="s">
        <v>449</v>
      </c>
      <c r="B429" s="1">
        <v>45675</v>
      </c>
      <c r="C429" t="s">
        <v>28</v>
      </c>
      <c r="D429">
        <v>39</v>
      </c>
      <c r="E429" t="s">
        <v>14</v>
      </c>
      <c r="F429">
        <v>10</v>
      </c>
      <c r="G429" t="s">
        <v>21</v>
      </c>
      <c r="H429">
        <v>1</v>
      </c>
      <c r="I429">
        <v>44</v>
      </c>
      <c r="J429">
        <v>5</v>
      </c>
      <c r="K429" t="s">
        <v>17</v>
      </c>
      <c r="L429" t="s">
        <v>16</v>
      </c>
      <c r="M429">
        <f>IF(Table1[[#This Row],[ألغى الاشتراك]]="نعم",1,0)</f>
        <v>1</v>
      </c>
      <c r="N429">
        <f>IF(Table1[[#This Row],[وسيلة الدفع]]="بطاقة",1,0)</f>
        <v>0</v>
      </c>
      <c r="O429">
        <f>IF(Table1[[#This Row],[وسيلة الدفع]]="محفظة",1,0)</f>
        <v>1</v>
      </c>
      <c r="P429">
        <f>IF(Table1[[#This Row],[وسيلة الدفع]]="تحويل",1,0)</f>
        <v>0</v>
      </c>
      <c r="Q429">
        <f>IF(Table1[[#This Row],[حضر التهيئة]]="نعم",1,0)</f>
        <v>0</v>
      </c>
      <c r="R429">
        <f>IF(Table1[[#This Row],[دورة الفوترة]]="شهري",1,0)</f>
        <v>1</v>
      </c>
    </row>
    <row r="430" spans="1:18" x14ac:dyDescent="0.25">
      <c r="A430" t="s">
        <v>450</v>
      </c>
      <c r="B430" s="1">
        <v>45592</v>
      </c>
      <c r="C430" t="s">
        <v>19</v>
      </c>
      <c r="D430">
        <v>189</v>
      </c>
      <c r="E430" t="s">
        <v>20</v>
      </c>
      <c r="F430">
        <v>2</v>
      </c>
      <c r="G430" t="s">
        <v>15</v>
      </c>
      <c r="H430">
        <v>0</v>
      </c>
      <c r="I430">
        <v>50</v>
      </c>
      <c r="J430">
        <v>0</v>
      </c>
      <c r="K430" t="s">
        <v>17</v>
      </c>
      <c r="L430" t="s">
        <v>17</v>
      </c>
      <c r="M430">
        <f>IF(Table1[[#This Row],[ألغى الاشتراك]]="نعم",1,0)</f>
        <v>0</v>
      </c>
      <c r="N430">
        <f>IF(Table1[[#This Row],[وسيلة الدفع]]="بطاقة",1,0)</f>
        <v>1</v>
      </c>
      <c r="O430">
        <f>IF(Table1[[#This Row],[وسيلة الدفع]]="محفظة",1,0)</f>
        <v>0</v>
      </c>
      <c r="P430">
        <f>IF(Table1[[#This Row],[وسيلة الدفع]]="تحويل",1,0)</f>
        <v>0</v>
      </c>
      <c r="Q430">
        <f>IF(Table1[[#This Row],[حضر التهيئة]]="نعم",1,0)</f>
        <v>0</v>
      </c>
      <c r="R430">
        <f>IF(Table1[[#This Row],[دورة الفوترة]]="شهري",1,0)</f>
        <v>0</v>
      </c>
    </row>
    <row r="431" spans="1:18" x14ac:dyDescent="0.25">
      <c r="A431" t="s">
        <v>451</v>
      </c>
      <c r="B431" s="1">
        <v>45965</v>
      </c>
      <c r="C431" t="s">
        <v>13</v>
      </c>
      <c r="D431">
        <v>89</v>
      </c>
      <c r="E431" t="s">
        <v>14</v>
      </c>
      <c r="F431">
        <v>21</v>
      </c>
      <c r="G431" t="s">
        <v>23</v>
      </c>
      <c r="H431">
        <v>1</v>
      </c>
      <c r="I431">
        <v>19</v>
      </c>
      <c r="J431">
        <v>0</v>
      </c>
      <c r="K431" t="s">
        <v>17</v>
      </c>
      <c r="L431" t="s">
        <v>17</v>
      </c>
      <c r="M431">
        <f>IF(Table1[[#This Row],[ألغى الاشتراك]]="نعم",1,0)</f>
        <v>0</v>
      </c>
      <c r="N431">
        <f>IF(Table1[[#This Row],[وسيلة الدفع]]="بطاقة",1,0)</f>
        <v>0</v>
      </c>
      <c r="O431">
        <f>IF(Table1[[#This Row],[وسيلة الدفع]]="محفظة",1,0)</f>
        <v>0</v>
      </c>
      <c r="P431">
        <f>IF(Table1[[#This Row],[وسيلة الدفع]]="تحويل",1,0)</f>
        <v>1</v>
      </c>
      <c r="Q431">
        <f>IF(Table1[[#This Row],[حضر التهيئة]]="نعم",1,0)</f>
        <v>0</v>
      </c>
      <c r="R431">
        <f>IF(Table1[[#This Row],[دورة الفوترة]]="شهري",1,0)</f>
        <v>1</v>
      </c>
    </row>
    <row r="432" spans="1:18" x14ac:dyDescent="0.25">
      <c r="A432" t="s">
        <v>452</v>
      </c>
      <c r="B432" s="1">
        <v>45383</v>
      </c>
      <c r="C432" t="s">
        <v>19</v>
      </c>
      <c r="D432">
        <v>189</v>
      </c>
      <c r="E432" t="s">
        <v>14</v>
      </c>
      <c r="F432">
        <v>16</v>
      </c>
      <c r="G432" t="s">
        <v>15</v>
      </c>
      <c r="H432">
        <v>1</v>
      </c>
      <c r="I432">
        <v>46</v>
      </c>
      <c r="J432">
        <v>0</v>
      </c>
      <c r="K432" t="s">
        <v>17</v>
      </c>
      <c r="L432" t="s">
        <v>17</v>
      </c>
      <c r="M432">
        <f>IF(Table1[[#This Row],[ألغى الاشتراك]]="نعم",1,0)</f>
        <v>0</v>
      </c>
      <c r="N432">
        <f>IF(Table1[[#This Row],[وسيلة الدفع]]="بطاقة",1,0)</f>
        <v>1</v>
      </c>
      <c r="O432">
        <f>IF(Table1[[#This Row],[وسيلة الدفع]]="محفظة",1,0)</f>
        <v>0</v>
      </c>
      <c r="P432">
        <f>IF(Table1[[#This Row],[وسيلة الدفع]]="تحويل",1,0)</f>
        <v>0</v>
      </c>
      <c r="Q432">
        <f>IF(Table1[[#This Row],[حضر التهيئة]]="نعم",1,0)</f>
        <v>0</v>
      </c>
      <c r="R432">
        <f>IF(Table1[[#This Row],[دورة الفوترة]]="شهري",1,0)</f>
        <v>1</v>
      </c>
    </row>
    <row r="433" spans="1:18" x14ac:dyDescent="0.25">
      <c r="A433" t="s">
        <v>453</v>
      </c>
      <c r="B433" s="1">
        <v>45902</v>
      </c>
      <c r="C433" t="s">
        <v>28</v>
      </c>
      <c r="D433">
        <v>39</v>
      </c>
      <c r="E433" t="s">
        <v>14</v>
      </c>
      <c r="F433">
        <v>15</v>
      </c>
      <c r="G433" t="s">
        <v>15</v>
      </c>
      <c r="H433">
        <v>1</v>
      </c>
      <c r="I433">
        <v>11</v>
      </c>
      <c r="J433">
        <v>0</v>
      </c>
      <c r="K433" t="s">
        <v>16</v>
      </c>
      <c r="L433" t="s">
        <v>17</v>
      </c>
      <c r="M433">
        <f>IF(Table1[[#This Row],[ألغى الاشتراك]]="نعم",1,0)</f>
        <v>0</v>
      </c>
      <c r="N433">
        <f>IF(Table1[[#This Row],[وسيلة الدفع]]="بطاقة",1,0)</f>
        <v>1</v>
      </c>
      <c r="O433">
        <f>IF(Table1[[#This Row],[وسيلة الدفع]]="محفظة",1,0)</f>
        <v>0</v>
      </c>
      <c r="P433">
        <f>IF(Table1[[#This Row],[وسيلة الدفع]]="تحويل",1,0)</f>
        <v>0</v>
      </c>
      <c r="Q433">
        <f>IF(Table1[[#This Row],[حضر التهيئة]]="نعم",1,0)</f>
        <v>1</v>
      </c>
      <c r="R433">
        <f>IF(Table1[[#This Row],[دورة الفوترة]]="شهري",1,0)</f>
        <v>1</v>
      </c>
    </row>
    <row r="434" spans="1:18" x14ac:dyDescent="0.25">
      <c r="A434" t="s">
        <v>454</v>
      </c>
      <c r="B434" s="1">
        <v>45588</v>
      </c>
      <c r="C434" t="s">
        <v>19</v>
      </c>
      <c r="D434">
        <v>189</v>
      </c>
      <c r="E434" t="s">
        <v>14</v>
      </c>
      <c r="F434">
        <v>6</v>
      </c>
      <c r="G434" t="s">
        <v>21</v>
      </c>
      <c r="H434">
        <v>0</v>
      </c>
      <c r="I434">
        <v>44</v>
      </c>
      <c r="J434">
        <v>0</v>
      </c>
      <c r="K434" t="s">
        <v>17</v>
      </c>
      <c r="L434" t="s">
        <v>17</v>
      </c>
      <c r="M434">
        <f>IF(Table1[[#This Row],[ألغى الاشتراك]]="نعم",1,0)</f>
        <v>0</v>
      </c>
      <c r="N434">
        <f>IF(Table1[[#This Row],[وسيلة الدفع]]="بطاقة",1,0)</f>
        <v>0</v>
      </c>
      <c r="O434">
        <f>IF(Table1[[#This Row],[وسيلة الدفع]]="محفظة",1,0)</f>
        <v>1</v>
      </c>
      <c r="P434">
        <f>IF(Table1[[#This Row],[وسيلة الدفع]]="تحويل",1,0)</f>
        <v>0</v>
      </c>
      <c r="Q434">
        <f>IF(Table1[[#This Row],[حضر التهيئة]]="نعم",1,0)</f>
        <v>0</v>
      </c>
      <c r="R434">
        <f>IF(Table1[[#This Row],[دورة الفوترة]]="شهري",1,0)</f>
        <v>1</v>
      </c>
    </row>
    <row r="435" spans="1:18" x14ac:dyDescent="0.25">
      <c r="A435" t="s">
        <v>455</v>
      </c>
      <c r="B435" s="1">
        <v>45720</v>
      </c>
      <c r="C435" t="s">
        <v>13</v>
      </c>
      <c r="D435">
        <v>89</v>
      </c>
      <c r="E435" t="s">
        <v>14</v>
      </c>
      <c r="F435">
        <v>27</v>
      </c>
      <c r="G435" t="s">
        <v>23</v>
      </c>
      <c r="H435">
        <v>6</v>
      </c>
      <c r="I435">
        <v>45</v>
      </c>
      <c r="J435">
        <v>0</v>
      </c>
      <c r="K435" t="s">
        <v>17</v>
      </c>
      <c r="L435" t="s">
        <v>17</v>
      </c>
      <c r="M435">
        <f>IF(Table1[[#This Row],[ألغى الاشتراك]]="نعم",1,0)</f>
        <v>0</v>
      </c>
      <c r="N435">
        <f>IF(Table1[[#This Row],[وسيلة الدفع]]="بطاقة",1,0)</f>
        <v>0</v>
      </c>
      <c r="O435">
        <f>IF(Table1[[#This Row],[وسيلة الدفع]]="محفظة",1,0)</f>
        <v>0</v>
      </c>
      <c r="P435">
        <f>IF(Table1[[#This Row],[وسيلة الدفع]]="تحويل",1,0)</f>
        <v>1</v>
      </c>
      <c r="Q435">
        <f>IF(Table1[[#This Row],[حضر التهيئة]]="نعم",1,0)</f>
        <v>0</v>
      </c>
      <c r="R435">
        <f>IF(Table1[[#This Row],[دورة الفوترة]]="شهري",1,0)</f>
        <v>1</v>
      </c>
    </row>
    <row r="436" spans="1:18" x14ac:dyDescent="0.25">
      <c r="A436" t="s">
        <v>456</v>
      </c>
      <c r="B436" s="1">
        <v>45647</v>
      </c>
      <c r="C436" t="s">
        <v>28</v>
      </c>
      <c r="D436">
        <v>39</v>
      </c>
      <c r="E436" t="s">
        <v>14</v>
      </c>
      <c r="F436">
        <v>20</v>
      </c>
      <c r="G436" t="s">
        <v>23</v>
      </c>
      <c r="H436">
        <v>2</v>
      </c>
      <c r="I436">
        <v>22</v>
      </c>
      <c r="J436">
        <v>0</v>
      </c>
      <c r="K436" t="s">
        <v>16</v>
      </c>
      <c r="L436" t="s">
        <v>17</v>
      </c>
      <c r="M436">
        <f>IF(Table1[[#This Row],[ألغى الاشتراك]]="نعم",1,0)</f>
        <v>0</v>
      </c>
      <c r="N436">
        <f>IF(Table1[[#This Row],[وسيلة الدفع]]="بطاقة",1,0)</f>
        <v>0</v>
      </c>
      <c r="O436">
        <f>IF(Table1[[#This Row],[وسيلة الدفع]]="محفظة",1,0)</f>
        <v>0</v>
      </c>
      <c r="P436">
        <f>IF(Table1[[#This Row],[وسيلة الدفع]]="تحويل",1,0)</f>
        <v>1</v>
      </c>
      <c r="Q436">
        <f>IF(Table1[[#This Row],[حضر التهيئة]]="نعم",1,0)</f>
        <v>1</v>
      </c>
      <c r="R436">
        <f>IF(Table1[[#This Row],[دورة الفوترة]]="شهري",1,0)</f>
        <v>1</v>
      </c>
    </row>
    <row r="437" spans="1:18" x14ac:dyDescent="0.25">
      <c r="A437" t="s">
        <v>457</v>
      </c>
      <c r="B437" s="1">
        <v>45667</v>
      </c>
      <c r="C437" t="s">
        <v>13</v>
      </c>
      <c r="D437">
        <v>89</v>
      </c>
      <c r="E437" t="s">
        <v>14</v>
      </c>
      <c r="F437">
        <v>5</v>
      </c>
      <c r="G437" t="s">
        <v>23</v>
      </c>
      <c r="H437">
        <v>1</v>
      </c>
      <c r="I437">
        <v>27</v>
      </c>
      <c r="J437">
        <v>0</v>
      </c>
      <c r="K437" t="s">
        <v>16</v>
      </c>
      <c r="L437" t="s">
        <v>17</v>
      </c>
      <c r="M437">
        <f>IF(Table1[[#This Row],[ألغى الاشتراك]]="نعم",1,0)</f>
        <v>0</v>
      </c>
      <c r="N437">
        <f>IF(Table1[[#This Row],[وسيلة الدفع]]="بطاقة",1,0)</f>
        <v>0</v>
      </c>
      <c r="O437">
        <f>IF(Table1[[#This Row],[وسيلة الدفع]]="محفظة",1,0)</f>
        <v>0</v>
      </c>
      <c r="P437">
        <f>IF(Table1[[#This Row],[وسيلة الدفع]]="تحويل",1,0)</f>
        <v>1</v>
      </c>
      <c r="Q437">
        <f>IF(Table1[[#This Row],[حضر التهيئة]]="نعم",1,0)</f>
        <v>1</v>
      </c>
      <c r="R437">
        <f>IF(Table1[[#This Row],[دورة الفوترة]]="شهري",1,0)</f>
        <v>1</v>
      </c>
    </row>
    <row r="438" spans="1:18" x14ac:dyDescent="0.25">
      <c r="A438" t="s">
        <v>458</v>
      </c>
      <c r="B438" s="1">
        <v>45349</v>
      </c>
      <c r="C438" t="s">
        <v>28</v>
      </c>
      <c r="D438">
        <v>39</v>
      </c>
      <c r="E438" t="s">
        <v>14</v>
      </c>
      <c r="F438">
        <v>28</v>
      </c>
      <c r="G438" t="s">
        <v>21</v>
      </c>
      <c r="H438">
        <v>2</v>
      </c>
      <c r="I438">
        <v>48</v>
      </c>
      <c r="J438">
        <v>0</v>
      </c>
      <c r="K438" t="s">
        <v>16</v>
      </c>
      <c r="L438" t="s">
        <v>17</v>
      </c>
      <c r="M438">
        <f>IF(Table1[[#This Row],[ألغى الاشتراك]]="نعم",1,0)</f>
        <v>0</v>
      </c>
      <c r="N438">
        <f>IF(Table1[[#This Row],[وسيلة الدفع]]="بطاقة",1,0)</f>
        <v>0</v>
      </c>
      <c r="O438">
        <f>IF(Table1[[#This Row],[وسيلة الدفع]]="محفظة",1,0)</f>
        <v>1</v>
      </c>
      <c r="P438">
        <f>IF(Table1[[#This Row],[وسيلة الدفع]]="تحويل",1,0)</f>
        <v>0</v>
      </c>
      <c r="Q438">
        <f>IF(Table1[[#This Row],[حضر التهيئة]]="نعم",1,0)</f>
        <v>1</v>
      </c>
      <c r="R438">
        <f>IF(Table1[[#This Row],[دورة الفوترة]]="شهري",1,0)</f>
        <v>1</v>
      </c>
    </row>
    <row r="439" spans="1:18" x14ac:dyDescent="0.25">
      <c r="A439" t="s">
        <v>459</v>
      </c>
      <c r="B439" s="1">
        <v>45505</v>
      </c>
      <c r="C439" t="s">
        <v>13</v>
      </c>
      <c r="D439">
        <v>89</v>
      </c>
      <c r="E439" t="s">
        <v>14</v>
      </c>
      <c r="F439">
        <v>7</v>
      </c>
      <c r="G439" t="s">
        <v>15</v>
      </c>
      <c r="H439">
        <v>1</v>
      </c>
      <c r="I439">
        <v>39</v>
      </c>
      <c r="J439">
        <v>25</v>
      </c>
      <c r="K439" t="s">
        <v>17</v>
      </c>
      <c r="L439" t="s">
        <v>17</v>
      </c>
      <c r="M439">
        <f>IF(Table1[[#This Row],[ألغى الاشتراك]]="نعم",1,0)</f>
        <v>0</v>
      </c>
      <c r="N439">
        <f>IF(Table1[[#This Row],[وسيلة الدفع]]="بطاقة",1,0)</f>
        <v>1</v>
      </c>
      <c r="O439">
        <f>IF(Table1[[#This Row],[وسيلة الدفع]]="محفظة",1,0)</f>
        <v>0</v>
      </c>
      <c r="P439">
        <f>IF(Table1[[#This Row],[وسيلة الدفع]]="تحويل",1,0)</f>
        <v>0</v>
      </c>
      <c r="Q439">
        <f>IF(Table1[[#This Row],[حضر التهيئة]]="نعم",1,0)</f>
        <v>0</v>
      </c>
      <c r="R439">
        <f>IF(Table1[[#This Row],[دورة الفوترة]]="شهري",1,0)</f>
        <v>1</v>
      </c>
    </row>
    <row r="440" spans="1:18" x14ac:dyDescent="0.25">
      <c r="A440" t="s">
        <v>460</v>
      </c>
      <c r="B440" s="1">
        <v>45659</v>
      </c>
      <c r="C440" t="s">
        <v>13</v>
      </c>
      <c r="D440">
        <v>89</v>
      </c>
      <c r="E440" t="s">
        <v>14</v>
      </c>
      <c r="F440">
        <v>23</v>
      </c>
      <c r="G440" t="s">
        <v>21</v>
      </c>
      <c r="H440">
        <v>9</v>
      </c>
      <c r="I440">
        <v>57</v>
      </c>
      <c r="J440">
        <v>0</v>
      </c>
      <c r="K440" t="s">
        <v>16</v>
      </c>
      <c r="L440" t="s">
        <v>17</v>
      </c>
      <c r="M440">
        <f>IF(Table1[[#This Row],[ألغى الاشتراك]]="نعم",1,0)</f>
        <v>0</v>
      </c>
      <c r="N440">
        <f>IF(Table1[[#This Row],[وسيلة الدفع]]="بطاقة",1,0)</f>
        <v>0</v>
      </c>
      <c r="O440">
        <f>IF(Table1[[#This Row],[وسيلة الدفع]]="محفظة",1,0)</f>
        <v>1</v>
      </c>
      <c r="P440">
        <f>IF(Table1[[#This Row],[وسيلة الدفع]]="تحويل",1,0)</f>
        <v>0</v>
      </c>
      <c r="Q440">
        <f>IF(Table1[[#This Row],[حضر التهيئة]]="نعم",1,0)</f>
        <v>1</v>
      </c>
      <c r="R440">
        <f>IF(Table1[[#This Row],[دورة الفوترة]]="شهري",1,0)</f>
        <v>1</v>
      </c>
    </row>
    <row r="441" spans="1:18" x14ac:dyDescent="0.25">
      <c r="A441" t="s">
        <v>461</v>
      </c>
      <c r="B441" s="1">
        <v>45349</v>
      </c>
      <c r="C441" t="s">
        <v>28</v>
      </c>
      <c r="D441">
        <v>39</v>
      </c>
      <c r="E441" t="s">
        <v>14</v>
      </c>
      <c r="F441">
        <v>6</v>
      </c>
      <c r="G441" t="s">
        <v>15</v>
      </c>
      <c r="H441">
        <v>2</v>
      </c>
      <c r="I441">
        <v>18</v>
      </c>
      <c r="J441">
        <v>0</v>
      </c>
      <c r="K441" t="s">
        <v>16</v>
      </c>
      <c r="L441" t="s">
        <v>17</v>
      </c>
      <c r="M441">
        <f>IF(Table1[[#This Row],[ألغى الاشتراك]]="نعم",1,0)</f>
        <v>0</v>
      </c>
      <c r="N441">
        <f>IF(Table1[[#This Row],[وسيلة الدفع]]="بطاقة",1,0)</f>
        <v>1</v>
      </c>
      <c r="O441">
        <f>IF(Table1[[#This Row],[وسيلة الدفع]]="محفظة",1,0)</f>
        <v>0</v>
      </c>
      <c r="P441">
        <f>IF(Table1[[#This Row],[وسيلة الدفع]]="تحويل",1,0)</f>
        <v>0</v>
      </c>
      <c r="Q441">
        <f>IF(Table1[[#This Row],[حضر التهيئة]]="نعم",1,0)</f>
        <v>1</v>
      </c>
      <c r="R441">
        <f>IF(Table1[[#This Row],[دورة الفوترة]]="شهري",1,0)</f>
        <v>1</v>
      </c>
    </row>
    <row r="442" spans="1:18" x14ac:dyDescent="0.25">
      <c r="A442" t="s">
        <v>462</v>
      </c>
      <c r="B442" s="1">
        <v>45977</v>
      </c>
      <c r="C442" t="s">
        <v>13</v>
      </c>
      <c r="D442">
        <v>89</v>
      </c>
      <c r="E442" t="s">
        <v>14</v>
      </c>
      <c r="F442">
        <v>13</v>
      </c>
      <c r="G442" t="s">
        <v>23</v>
      </c>
      <c r="H442">
        <v>0</v>
      </c>
      <c r="I442">
        <v>3</v>
      </c>
      <c r="J442">
        <v>0</v>
      </c>
      <c r="K442" t="s">
        <v>16</v>
      </c>
      <c r="L442" t="s">
        <v>17</v>
      </c>
      <c r="M442">
        <f>IF(Table1[[#This Row],[ألغى الاشتراك]]="نعم",1,0)</f>
        <v>0</v>
      </c>
      <c r="N442">
        <f>IF(Table1[[#This Row],[وسيلة الدفع]]="بطاقة",1,0)</f>
        <v>0</v>
      </c>
      <c r="O442">
        <f>IF(Table1[[#This Row],[وسيلة الدفع]]="محفظة",1,0)</f>
        <v>0</v>
      </c>
      <c r="P442">
        <f>IF(Table1[[#This Row],[وسيلة الدفع]]="تحويل",1,0)</f>
        <v>1</v>
      </c>
      <c r="Q442">
        <f>IF(Table1[[#This Row],[حضر التهيئة]]="نعم",1,0)</f>
        <v>1</v>
      </c>
      <c r="R442">
        <f>IF(Table1[[#This Row],[دورة الفوترة]]="شهري",1,0)</f>
        <v>1</v>
      </c>
    </row>
    <row r="443" spans="1:18" x14ac:dyDescent="0.25">
      <c r="A443" t="s">
        <v>463</v>
      </c>
      <c r="B443" s="1">
        <v>45627</v>
      </c>
      <c r="C443" t="s">
        <v>28</v>
      </c>
      <c r="D443">
        <v>39</v>
      </c>
      <c r="E443" t="s">
        <v>14</v>
      </c>
      <c r="F443">
        <v>20</v>
      </c>
      <c r="G443" t="s">
        <v>21</v>
      </c>
      <c r="H443">
        <v>9</v>
      </c>
      <c r="I443">
        <v>26</v>
      </c>
      <c r="J443">
        <v>0</v>
      </c>
      <c r="K443" t="s">
        <v>17</v>
      </c>
      <c r="L443" t="s">
        <v>17</v>
      </c>
      <c r="M443">
        <f>IF(Table1[[#This Row],[ألغى الاشتراك]]="نعم",1,0)</f>
        <v>0</v>
      </c>
      <c r="N443">
        <f>IF(Table1[[#This Row],[وسيلة الدفع]]="بطاقة",1,0)</f>
        <v>0</v>
      </c>
      <c r="O443">
        <f>IF(Table1[[#This Row],[وسيلة الدفع]]="محفظة",1,0)</f>
        <v>1</v>
      </c>
      <c r="P443">
        <f>IF(Table1[[#This Row],[وسيلة الدفع]]="تحويل",1,0)</f>
        <v>0</v>
      </c>
      <c r="Q443">
        <f>IF(Table1[[#This Row],[حضر التهيئة]]="نعم",1,0)</f>
        <v>0</v>
      </c>
      <c r="R443">
        <f>IF(Table1[[#This Row],[دورة الفوترة]]="شهري",1,0)</f>
        <v>1</v>
      </c>
    </row>
    <row r="444" spans="1:18" x14ac:dyDescent="0.25">
      <c r="A444" t="s">
        <v>464</v>
      </c>
      <c r="B444" s="1">
        <v>45683</v>
      </c>
      <c r="C444" t="s">
        <v>13</v>
      </c>
      <c r="D444">
        <v>89</v>
      </c>
      <c r="E444" t="s">
        <v>14</v>
      </c>
      <c r="F444">
        <v>19</v>
      </c>
      <c r="G444" t="s">
        <v>15</v>
      </c>
      <c r="H444">
        <v>2</v>
      </c>
      <c r="I444">
        <v>47</v>
      </c>
      <c r="J444">
        <v>0</v>
      </c>
      <c r="K444" t="s">
        <v>17</v>
      </c>
      <c r="L444" t="s">
        <v>17</v>
      </c>
      <c r="M444">
        <f>IF(Table1[[#This Row],[ألغى الاشتراك]]="نعم",1,0)</f>
        <v>0</v>
      </c>
      <c r="N444">
        <f>IF(Table1[[#This Row],[وسيلة الدفع]]="بطاقة",1,0)</f>
        <v>1</v>
      </c>
      <c r="O444">
        <f>IF(Table1[[#This Row],[وسيلة الدفع]]="محفظة",1,0)</f>
        <v>0</v>
      </c>
      <c r="P444">
        <f>IF(Table1[[#This Row],[وسيلة الدفع]]="تحويل",1,0)</f>
        <v>0</v>
      </c>
      <c r="Q444">
        <f>IF(Table1[[#This Row],[حضر التهيئة]]="نعم",1,0)</f>
        <v>0</v>
      </c>
      <c r="R444">
        <f>IF(Table1[[#This Row],[دورة الفوترة]]="شهري",1,0)</f>
        <v>1</v>
      </c>
    </row>
    <row r="445" spans="1:18" x14ac:dyDescent="0.25">
      <c r="A445" t="s">
        <v>465</v>
      </c>
      <c r="B445" s="1">
        <v>45740</v>
      </c>
      <c r="C445" t="s">
        <v>28</v>
      </c>
      <c r="D445">
        <v>39</v>
      </c>
      <c r="E445" t="s">
        <v>20</v>
      </c>
      <c r="F445">
        <v>14</v>
      </c>
      <c r="G445" t="s">
        <v>15</v>
      </c>
      <c r="H445">
        <v>0</v>
      </c>
      <c r="I445">
        <v>24</v>
      </c>
      <c r="J445">
        <v>15</v>
      </c>
      <c r="K445" t="s">
        <v>17</v>
      </c>
      <c r="L445" t="s">
        <v>17</v>
      </c>
      <c r="M445">
        <f>IF(Table1[[#This Row],[ألغى الاشتراك]]="نعم",1,0)</f>
        <v>0</v>
      </c>
      <c r="N445">
        <f>IF(Table1[[#This Row],[وسيلة الدفع]]="بطاقة",1,0)</f>
        <v>1</v>
      </c>
      <c r="O445">
        <f>IF(Table1[[#This Row],[وسيلة الدفع]]="محفظة",1,0)</f>
        <v>0</v>
      </c>
      <c r="P445">
        <f>IF(Table1[[#This Row],[وسيلة الدفع]]="تحويل",1,0)</f>
        <v>0</v>
      </c>
      <c r="Q445">
        <f>IF(Table1[[#This Row],[حضر التهيئة]]="نعم",1,0)</f>
        <v>0</v>
      </c>
      <c r="R445">
        <f>IF(Table1[[#This Row],[دورة الفوترة]]="شهري",1,0)</f>
        <v>0</v>
      </c>
    </row>
    <row r="446" spans="1:18" x14ac:dyDescent="0.25">
      <c r="A446" t="s">
        <v>466</v>
      </c>
      <c r="B446" s="1">
        <v>45521</v>
      </c>
      <c r="C446" t="s">
        <v>13</v>
      </c>
      <c r="D446">
        <v>89</v>
      </c>
      <c r="E446" t="s">
        <v>14</v>
      </c>
      <c r="F446">
        <v>26</v>
      </c>
      <c r="G446" t="s">
        <v>23</v>
      </c>
      <c r="H446">
        <v>1</v>
      </c>
      <c r="I446">
        <v>26</v>
      </c>
      <c r="J446">
        <v>0</v>
      </c>
      <c r="K446" t="s">
        <v>16</v>
      </c>
      <c r="L446" t="s">
        <v>17</v>
      </c>
      <c r="M446">
        <f>IF(Table1[[#This Row],[ألغى الاشتراك]]="نعم",1,0)</f>
        <v>0</v>
      </c>
      <c r="N446">
        <f>IF(Table1[[#This Row],[وسيلة الدفع]]="بطاقة",1,0)</f>
        <v>0</v>
      </c>
      <c r="O446">
        <f>IF(Table1[[#This Row],[وسيلة الدفع]]="محفظة",1,0)</f>
        <v>0</v>
      </c>
      <c r="P446">
        <f>IF(Table1[[#This Row],[وسيلة الدفع]]="تحويل",1,0)</f>
        <v>1</v>
      </c>
      <c r="Q446">
        <f>IF(Table1[[#This Row],[حضر التهيئة]]="نعم",1,0)</f>
        <v>1</v>
      </c>
      <c r="R446">
        <f>IF(Table1[[#This Row],[دورة الفوترة]]="شهري",1,0)</f>
        <v>1</v>
      </c>
    </row>
    <row r="447" spans="1:18" x14ac:dyDescent="0.25">
      <c r="A447" t="s">
        <v>467</v>
      </c>
      <c r="B447" s="1">
        <v>45671</v>
      </c>
      <c r="C447" t="s">
        <v>28</v>
      </c>
      <c r="D447">
        <v>39</v>
      </c>
      <c r="E447" t="s">
        <v>20</v>
      </c>
      <c r="F447">
        <v>1</v>
      </c>
      <c r="G447" t="s">
        <v>15</v>
      </c>
      <c r="H447">
        <v>0</v>
      </c>
      <c r="I447">
        <v>17</v>
      </c>
      <c r="J447">
        <v>0</v>
      </c>
      <c r="K447" t="s">
        <v>17</v>
      </c>
      <c r="L447" t="s">
        <v>17</v>
      </c>
      <c r="M447">
        <f>IF(Table1[[#This Row],[ألغى الاشتراك]]="نعم",1,0)</f>
        <v>0</v>
      </c>
      <c r="N447">
        <f>IF(Table1[[#This Row],[وسيلة الدفع]]="بطاقة",1,0)</f>
        <v>1</v>
      </c>
      <c r="O447">
        <f>IF(Table1[[#This Row],[وسيلة الدفع]]="محفظة",1,0)</f>
        <v>0</v>
      </c>
      <c r="P447">
        <f>IF(Table1[[#This Row],[وسيلة الدفع]]="تحويل",1,0)</f>
        <v>0</v>
      </c>
      <c r="Q447">
        <f>IF(Table1[[#This Row],[حضر التهيئة]]="نعم",1,0)</f>
        <v>0</v>
      </c>
      <c r="R447">
        <f>IF(Table1[[#This Row],[دورة الفوترة]]="شهري",1,0)</f>
        <v>0</v>
      </c>
    </row>
    <row r="448" spans="1:18" x14ac:dyDescent="0.25">
      <c r="A448" t="s">
        <v>468</v>
      </c>
      <c r="B448" s="1">
        <v>45345</v>
      </c>
      <c r="C448" t="s">
        <v>19</v>
      </c>
      <c r="D448">
        <v>189</v>
      </c>
      <c r="E448" t="s">
        <v>20</v>
      </c>
      <c r="F448">
        <v>24</v>
      </c>
      <c r="G448" t="s">
        <v>21</v>
      </c>
      <c r="H448">
        <v>11</v>
      </c>
      <c r="I448">
        <v>52</v>
      </c>
      <c r="J448">
        <v>0</v>
      </c>
      <c r="K448" t="s">
        <v>17</v>
      </c>
      <c r="L448" t="s">
        <v>16</v>
      </c>
      <c r="M448">
        <f>IF(Table1[[#This Row],[ألغى الاشتراك]]="نعم",1,0)</f>
        <v>1</v>
      </c>
      <c r="N448">
        <f>IF(Table1[[#This Row],[وسيلة الدفع]]="بطاقة",1,0)</f>
        <v>0</v>
      </c>
      <c r="O448">
        <f>IF(Table1[[#This Row],[وسيلة الدفع]]="محفظة",1,0)</f>
        <v>1</v>
      </c>
      <c r="P448">
        <f>IF(Table1[[#This Row],[وسيلة الدفع]]="تحويل",1,0)</f>
        <v>0</v>
      </c>
      <c r="Q448">
        <f>IF(Table1[[#This Row],[حضر التهيئة]]="نعم",1,0)</f>
        <v>0</v>
      </c>
      <c r="R448">
        <f>IF(Table1[[#This Row],[دورة الفوترة]]="شهري",1,0)</f>
        <v>0</v>
      </c>
    </row>
    <row r="449" spans="1:18" x14ac:dyDescent="0.25">
      <c r="A449" t="s">
        <v>469</v>
      </c>
      <c r="B449" s="1">
        <v>45635</v>
      </c>
      <c r="C449" t="s">
        <v>13</v>
      </c>
      <c r="D449">
        <v>89</v>
      </c>
      <c r="E449" t="s">
        <v>14</v>
      </c>
      <c r="F449">
        <v>9</v>
      </c>
      <c r="G449" t="s">
        <v>21</v>
      </c>
      <c r="H449">
        <v>0</v>
      </c>
      <c r="I449">
        <v>5</v>
      </c>
      <c r="J449">
        <v>25</v>
      </c>
      <c r="K449" t="s">
        <v>16</v>
      </c>
      <c r="L449" t="s">
        <v>17</v>
      </c>
      <c r="M449">
        <f>IF(Table1[[#This Row],[ألغى الاشتراك]]="نعم",1,0)</f>
        <v>0</v>
      </c>
      <c r="N449">
        <f>IF(Table1[[#This Row],[وسيلة الدفع]]="بطاقة",1,0)</f>
        <v>0</v>
      </c>
      <c r="O449">
        <f>IF(Table1[[#This Row],[وسيلة الدفع]]="محفظة",1,0)</f>
        <v>1</v>
      </c>
      <c r="P449">
        <f>IF(Table1[[#This Row],[وسيلة الدفع]]="تحويل",1,0)</f>
        <v>0</v>
      </c>
      <c r="Q449">
        <f>IF(Table1[[#This Row],[حضر التهيئة]]="نعم",1,0)</f>
        <v>1</v>
      </c>
      <c r="R449">
        <f>IF(Table1[[#This Row],[دورة الفوترة]]="شهري",1,0)</f>
        <v>1</v>
      </c>
    </row>
    <row r="450" spans="1:18" x14ac:dyDescent="0.25">
      <c r="A450" t="s">
        <v>470</v>
      </c>
      <c r="B450" s="1">
        <v>45914</v>
      </c>
      <c r="C450" t="s">
        <v>13</v>
      </c>
      <c r="D450">
        <v>89</v>
      </c>
      <c r="E450" t="s">
        <v>14</v>
      </c>
      <c r="F450">
        <v>29</v>
      </c>
      <c r="G450" t="s">
        <v>15</v>
      </c>
      <c r="H450">
        <v>6</v>
      </c>
      <c r="I450">
        <v>53</v>
      </c>
      <c r="J450">
        <v>0</v>
      </c>
      <c r="K450" t="s">
        <v>16</v>
      </c>
      <c r="L450" t="s">
        <v>17</v>
      </c>
      <c r="M450">
        <f>IF(Table1[[#This Row],[ألغى الاشتراك]]="نعم",1,0)</f>
        <v>0</v>
      </c>
      <c r="N450">
        <f>IF(Table1[[#This Row],[وسيلة الدفع]]="بطاقة",1,0)</f>
        <v>1</v>
      </c>
      <c r="O450">
        <f>IF(Table1[[#This Row],[وسيلة الدفع]]="محفظة",1,0)</f>
        <v>0</v>
      </c>
      <c r="P450">
        <f>IF(Table1[[#This Row],[وسيلة الدفع]]="تحويل",1,0)</f>
        <v>0</v>
      </c>
      <c r="Q450">
        <f>IF(Table1[[#This Row],[حضر التهيئة]]="نعم",1,0)</f>
        <v>1</v>
      </c>
      <c r="R450">
        <f>IF(Table1[[#This Row],[دورة الفوترة]]="شهري",1,0)</f>
        <v>1</v>
      </c>
    </row>
    <row r="451" spans="1:18" x14ac:dyDescent="0.25">
      <c r="A451" t="s">
        <v>471</v>
      </c>
      <c r="B451" s="1">
        <v>45466</v>
      </c>
      <c r="C451" t="s">
        <v>28</v>
      </c>
      <c r="D451">
        <v>39</v>
      </c>
      <c r="E451" t="s">
        <v>14</v>
      </c>
      <c r="F451">
        <v>20</v>
      </c>
      <c r="G451" t="s">
        <v>21</v>
      </c>
      <c r="H451">
        <v>0</v>
      </c>
      <c r="I451">
        <v>38</v>
      </c>
      <c r="J451">
        <v>0</v>
      </c>
      <c r="K451" t="s">
        <v>16</v>
      </c>
      <c r="L451" t="s">
        <v>17</v>
      </c>
      <c r="M451">
        <f>IF(Table1[[#This Row],[ألغى الاشتراك]]="نعم",1,0)</f>
        <v>0</v>
      </c>
      <c r="N451">
        <f>IF(Table1[[#This Row],[وسيلة الدفع]]="بطاقة",1,0)</f>
        <v>0</v>
      </c>
      <c r="O451">
        <f>IF(Table1[[#This Row],[وسيلة الدفع]]="محفظة",1,0)</f>
        <v>1</v>
      </c>
      <c r="P451">
        <f>IF(Table1[[#This Row],[وسيلة الدفع]]="تحويل",1,0)</f>
        <v>0</v>
      </c>
      <c r="Q451">
        <f>IF(Table1[[#This Row],[حضر التهيئة]]="نعم",1,0)</f>
        <v>1</v>
      </c>
      <c r="R451">
        <f>IF(Table1[[#This Row],[دورة الفوترة]]="شهري",1,0)</f>
        <v>1</v>
      </c>
    </row>
    <row r="452" spans="1:18" x14ac:dyDescent="0.25">
      <c r="A452" t="s">
        <v>472</v>
      </c>
      <c r="B452" s="1">
        <v>45969</v>
      </c>
      <c r="C452" t="s">
        <v>28</v>
      </c>
      <c r="D452">
        <v>39</v>
      </c>
      <c r="E452" t="s">
        <v>14</v>
      </c>
      <c r="F452">
        <v>19</v>
      </c>
      <c r="G452" t="s">
        <v>21</v>
      </c>
      <c r="H452">
        <v>8</v>
      </c>
      <c r="I452">
        <v>43</v>
      </c>
      <c r="J452">
        <v>0</v>
      </c>
      <c r="K452" t="s">
        <v>17</v>
      </c>
      <c r="L452" t="s">
        <v>17</v>
      </c>
      <c r="M452">
        <f>IF(Table1[[#This Row],[ألغى الاشتراك]]="نعم",1,0)</f>
        <v>0</v>
      </c>
      <c r="N452">
        <f>IF(Table1[[#This Row],[وسيلة الدفع]]="بطاقة",1,0)</f>
        <v>0</v>
      </c>
      <c r="O452">
        <f>IF(Table1[[#This Row],[وسيلة الدفع]]="محفظة",1,0)</f>
        <v>1</v>
      </c>
      <c r="P452">
        <f>IF(Table1[[#This Row],[وسيلة الدفع]]="تحويل",1,0)</f>
        <v>0</v>
      </c>
      <c r="Q452">
        <f>IF(Table1[[#This Row],[حضر التهيئة]]="نعم",1,0)</f>
        <v>0</v>
      </c>
      <c r="R452">
        <f>IF(Table1[[#This Row],[دورة الفوترة]]="شهري",1,0)</f>
        <v>1</v>
      </c>
    </row>
    <row r="453" spans="1:18" x14ac:dyDescent="0.25">
      <c r="A453" t="s">
        <v>473</v>
      </c>
      <c r="B453" s="1">
        <v>45643</v>
      </c>
      <c r="C453" t="s">
        <v>19</v>
      </c>
      <c r="D453">
        <v>189</v>
      </c>
      <c r="E453" t="s">
        <v>20</v>
      </c>
      <c r="F453">
        <v>18</v>
      </c>
      <c r="G453" t="s">
        <v>15</v>
      </c>
      <c r="H453">
        <v>5</v>
      </c>
      <c r="I453">
        <v>38</v>
      </c>
      <c r="J453">
        <v>0</v>
      </c>
      <c r="K453" t="s">
        <v>17</v>
      </c>
      <c r="L453" t="s">
        <v>17</v>
      </c>
      <c r="M453">
        <f>IF(Table1[[#This Row],[ألغى الاشتراك]]="نعم",1,0)</f>
        <v>0</v>
      </c>
      <c r="N453">
        <f>IF(Table1[[#This Row],[وسيلة الدفع]]="بطاقة",1,0)</f>
        <v>1</v>
      </c>
      <c r="O453">
        <f>IF(Table1[[#This Row],[وسيلة الدفع]]="محفظة",1,0)</f>
        <v>0</v>
      </c>
      <c r="P453">
        <f>IF(Table1[[#This Row],[وسيلة الدفع]]="تحويل",1,0)</f>
        <v>0</v>
      </c>
      <c r="Q453">
        <f>IF(Table1[[#This Row],[حضر التهيئة]]="نعم",1,0)</f>
        <v>0</v>
      </c>
      <c r="R453">
        <f>IF(Table1[[#This Row],[دورة الفوترة]]="شهري",1,0)</f>
        <v>0</v>
      </c>
    </row>
    <row r="454" spans="1:18" x14ac:dyDescent="0.25">
      <c r="A454" t="s">
        <v>474</v>
      </c>
      <c r="B454" s="1">
        <v>45906</v>
      </c>
      <c r="C454" t="s">
        <v>13</v>
      </c>
      <c r="D454">
        <v>89</v>
      </c>
      <c r="E454" t="s">
        <v>14</v>
      </c>
      <c r="F454">
        <v>3</v>
      </c>
      <c r="G454" t="s">
        <v>21</v>
      </c>
      <c r="H454">
        <v>10</v>
      </c>
      <c r="I454">
        <v>21</v>
      </c>
      <c r="J454">
        <v>0</v>
      </c>
      <c r="K454" t="s">
        <v>16</v>
      </c>
      <c r="L454" t="s">
        <v>17</v>
      </c>
      <c r="M454">
        <f>IF(Table1[[#This Row],[ألغى الاشتراك]]="نعم",1,0)</f>
        <v>0</v>
      </c>
      <c r="N454">
        <f>IF(Table1[[#This Row],[وسيلة الدفع]]="بطاقة",1,0)</f>
        <v>0</v>
      </c>
      <c r="O454">
        <f>IF(Table1[[#This Row],[وسيلة الدفع]]="محفظة",1,0)</f>
        <v>1</v>
      </c>
      <c r="P454">
        <f>IF(Table1[[#This Row],[وسيلة الدفع]]="تحويل",1,0)</f>
        <v>0</v>
      </c>
      <c r="Q454">
        <f>IF(Table1[[#This Row],[حضر التهيئة]]="نعم",1,0)</f>
        <v>1</v>
      </c>
      <c r="R454">
        <f>IF(Table1[[#This Row],[دورة الفوترة]]="شهري",1,0)</f>
        <v>1</v>
      </c>
    </row>
    <row r="455" spans="1:18" x14ac:dyDescent="0.25">
      <c r="A455" t="s">
        <v>475</v>
      </c>
      <c r="B455" s="1">
        <v>45454</v>
      </c>
      <c r="C455" t="s">
        <v>28</v>
      </c>
      <c r="D455">
        <v>39</v>
      </c>
      <c r="E455" t="s">
        <v>14</v>
      </c>
      <c r="F455">
        <v>30</v>
      </c>
      <c r="G455" t="s">
        <v>21</v>
      </c>
      <c r="H455">
        <v>1</v>
      </c>
      <c r="I455">
        <v>6</v>
      </c>
      <c r="J455">
        <v>0</v>
      </c>
      <c r="K455" t="s">
        <v>16</v>
      </c>
      <c r="L455" t="s">
        <v>17</v>
      </c>
      <c r="M455">
        <f>IF(Table1[[#This Row],[ألغى الاشتراك]]="نعم",1,0)</f>
        <v>0</v>
      </c>
      <c r="N455">
        <f>IF(Table1[[#This Row],[وسيلة الدفع]]="بطاقة",1,0)</f>
        <v>0</v>
      </c>
      <c r="O455">
        <f>IF(Table1[[#This Row],[وسيلة الدفع]]="محفظة",1,0)</f>
        <v>1</v>
      </c>
      <c r="P455">
        <f>IF(Table1[[#This Row],[وسيلة الدفع]]="تحويل",1,0)</f>
        <v>0</v>
      </c>
      <c r="Q455">
        <f>IF(Table1[[#This Row],[حضر التهيئة]]="نعم",1,0)</f>
        <v>1</v>
      </c>
      <c r="R455">
        <f>IF(Table1[[#This Row],[دورة الفوترة]]="شهري",1,0)</f>
        <v>1</v>
      </c>
    </row>
    <row r="456" spans="1:18" x14ac:dyDescent="0.25">
      <c r="A456" t="s">
        <v>476</v>
      </c>
      <c r="B456" s="1">
        <v>45862</v>
      </c>
      <c r="C456" t="s">
        <v>13</v>
      </c>
      <c r="D456">
        <v>89</v>
      </c>
      <c r="E456" t="s">
        <v>14</v>
      </c>
      <c r="F456">
        <v>7</v>
      </c>
      <c r="G456" t="s">
        <v>15</v>
      </c>
      <c r="H456">
        <v>0</v>
      </c>
      <c r="I456">
        <v>39</v>
      </c>
      <c r="J456">
        <v>0</v>
      </c>
      <c r="K456" t="s">
        <v>17</v>
      </c>
      <c r="L456" t="s">
        <v>17</v>
      </c>
      <c r="M456">
        <f>IF(Table1[[#This Row],[ألغى الاشتراك]]="نعم",1,0)</f>
        <v>0</v>
      </c>
      <c r="N456">
        <f>IF(Table1[[#This Row],[وسيلة الدفع]]="بطاقة",1,0)</f>
        <v>1</v>
      </c>
      <c r="O456">
        <f>IF(Table1[[#This Row],[وسيلة الدفع]]="محفظة",1,0)</f>
        <v>0</v>
      </c>
      <c r="P456">
        <f>IF(Table1[[#This Row],[وسيلة الدفع]]="تحويل",1,0)</f>
        <v>0</v>
      </c>
      <c r="Q456">
        <f>IF(Table1[[#This Row],[حضر التهيئة]]="نعم",1,0)</f>
        <v>0</v>
      </c>
      <c r="R456">
        <f>IF(Table1[[#This Row],[دورة الفوترة]]="شهري",1,0)</f>
        <v>1</v>
      </c>
    </row>
    <row r="457" spans="1:18" x14ac:dyDescent="0.25">
      <c r="A457" t="s">
        <v>477</v>
      </c>
      <c r="B457" s="1">
        <v>45659</v>
      </c>
      <c r="C457" t="s">
        <v>13</v>
      </c>
      <c r="D457">
        <v>89</v>
      </c>
      <c r="E457" t="s">
        <v>14</v>
      </c>
      <c r="F457">
        <v>16</v>
      </c>
      <c r="G457" t="s">
        <v>15</v>
      </c>
      <c r="H457">
        <v>4</v>
      </c>
      <c r="I457">
        <v>58</v>
      </c>
      <c r="J457">
        <v>5</v>
      </c>
      <c r="K457" t="s">
        <v>16</v>
      </c>
      <c r="L457" t="s">
        <v>17</v>
      </c>
      <c r="M457">
        <f>IF(Table1[[#This Row],[ألغى الاشتراك]]="نعم",1,0)</f>
        <v>0</v>
      </c>
      <c r="N457">
        <f>IF(Table1[[#This Row],[وسيلة الدفع]]="بطاقة",1,0)</f>
        <v>1</v>
      </c>
      <c r="O457">
        <f>IF(Table1[[#This Row],[وسيلة الدفع]]="محفظة",1,0)</f>
        <v>0</v>
      </c>
      <c r="P457">
        <f>IF(Table1[[#This Row],[وسيلة الدفع]]="تحويل",1,0)</f>
        <v>0</v>
      </c>
      <c r="Q457">
        <f>IF(Table1[[#This Row],[حضر التهيئة]]="نعم",1,0)</f>
        <v>1</v>
      </c>
      <c r="R457">
        <f>IF(Table1[[#This Row],[دورة الفوترة]]="شهري",1,0)</f>
        <v>1</v>
      </c>
    </row>
    <row r="458" spans="1:18" x14ac:dyDescent="0.25">
      <c r="A458" t="s">
        <v>478</v>
      </c>
      <c r="B458" s="1">
        <v>45588</v>
      </c>
      <c r="C458" t="s">
        <v>19</v>
      </c>
      <c r="D458">
        <v>189</v>
      </c>
      <c r="E458" t="s">
        <v>14</v>
      </c>
      <c r="F458">
        <v>8</v>
      </c>
      <c r="G458" t="s">
        <v>15</v>
      </c>
      <c r="H458">
        <v>4</v>
      </c>
      <c r="I458">
        <v>30</v>
      </c>
      <c r="J458">
        <v>0</v>
      </c>
      <c r="K458" t="s">
        <v>16</v>
      </c>
      <c r="L458" t="s">
        <v>17</v>
      </c>
      <c r="M458">
        <f>IF(Table1[[#This Row],[ألغى الاشتراك]]="نعم",1,0)</f>
        <v>0</v>
      </c>
      <c r="N458">
        <f>IF(Table1[[#This Row],[وسيلة الدفع]]="بطاقة",1,0)</f>
        <v>1</v>
      </c>
      <c r="O458">
        <f>IF(Table1[[#This Row],[وسيلة الدفع]]="محفظة",1,0)</f>
        <v>0</v>
      </c>
      <c r="P458">
        <f>IF(Table1[[#This Row],[وسيلة الدفع]]="تحويل",1,0)</f>
        <v>0</v>
      </c>
      <c r="Q458">
        <f>IF(Table1[[#This Row],[حضر التهيئة]]="نعم",1,0)</f>
        <v>1</v>
      </c>
      <c r="R458">
        <f>IF(Table1[[#This Row],[دورة الفوترة]]="شهري",1,0)</f>
        <v>1</v>
      </c>
    </row>
    <row r="459" spans="1:18" x14ac:dyDescent="0.25">
      <c r="A459" t="s">
        <v>479</v>
      </c>
      <c r="B459" s="1">
        <v>45732</v>
      </c>
      <c r="C459" t="s">
        <v>13</v>
      </c>
      <c r="D459">
        <v>89</v>
      </c>
      <c r="E459" t="s">
        <v>14</v>
      </c>
      <c r="F459">
        <v>15</v>
      </c>
      <c r="G459" t="s">
        <v>23</v>
      </c>
      <c r="H459">
        <v>7</v>
      </c>
      <c r="I459">
        <v>41</v>
      </c>
      <c r="J459">
        <v>0</v>
      </c>
      <c r="K459" t="s">
        <v>16</v>
      </c>
      <c r="L459" t="s">
        <v>17</v>
      </c>
      <c r="M459">
        <f>IF(Table1[[#This Row],[ألغى الاشتراك]]="نعم",1,0)</f>
        <v>0</v>
      </c>
      <c r="N459">
        <f>IF(Table1[[#This Row],[وسيلة الدفع]]="بطاقة",1,0)</f>
        <v>0</v>
      </c>
      <c r="O459">
        <f>IF(Table1[[#This Row],[وسيلة الدفع]]="محفظة",1,0)</f>
        <v>0</v>
      </c>
      <c r="P459">
        <f>IF(Table1[[#This Row],[وسيلة الدفع]]="تحويل",1,0)</f>
        <v>1</v>
      </c>
      <c r="Q459">
        <f>IF(Table1[[#This Row],[حضر التهيئة]]="نعم",1,0)</f>
        <v>1</v>
      </c>
      <c r="R459">
        <f>IF(Table1[[#This Row],[دورة الفوترة]]="شهري",1,0)</f>
        <v>1</v>
      </c>
    </row>
    <row r="460" spans="1:18" x14ac:dyDescent="0.25">
      <c r="A460" t="s">
        <v>480</v>
      </c>
      <c r="B460" s="1">
        <v>45651</v>
      </c>
      <c r="C460" t="s">
        <v>19</v>
      </c>
      <c r="D460">
        <v>189</v>
      </c>
      <c r="E460" t="s">
        <v>20</v>
      </c>
      <c r="F460">
        <v>30</v>
      </c>
      <c r="G460" t="s">
        <v>23</v>
      </c>
      <c r="H460">
        <v>0</v>
      </c>
      <c r="I460">
        <v>44</v>
      </c>
      <c r="J460">
        <v>0</v>
      </c>
      <c r="K460" t="s">
        <v>16</v>
      </c>
      <c r="L460" t="s">
        <v>17</v>
      </c>
      <c r="M460">
        <f>IF(Table1[[#This Row],[ألغى الاشتراك]]="نعم",1,0)</f>
        <v>0</v>
      </c>
      <c r="N460">
        <f>IF(Table1[[#This Row],[وسيلة الدفع]]="بطاقة",1,0)</f>
        <v>0</v>
      </c>
      <c r="O460">
        <f>IF(Table1[[#This Row],[وسيلة الدفع]]="محفظة",1,0)</f>
        <v>0</v>
      </c>
      <c r="P460">
        <f>IF(Table1[[#This Row],[وسيلة الدفع]]="تحويل",1,0)</f>
        <v>1</v>
      </c>
      <c r="Q460">
        <f>IF(Table1[[#This Row],[حضر التهيئة]]="نعم",1,0)</f>
        <v>1</v>
      </c>
      <c r="R460">
        <f>IF(Table1[[#This Row],[دورة الفوترة]]="شهري",1,0)</f>
        <v>0</v>
      </c>
    </row>
    <row r="461" spans="1:18" x14ac:dyDescent="0.25">
      <c r="A461" t="s">
        <v>481</v>
      </c>
      <c r="B461" s="1">
        <v>45783</v>
      </c>
      <c r="C461" t="s">
        <v>28</v>
      </c>
      <c r="D461">
        <v>39</v>
      </c>
      <c r="E461" t="s">
        <v>14</v>
      </c>
      <c r="F461">
        <v>1</v>
      </c>
      <c r="G461" t="s">
        <v>21</v>
      </c>
      <c r="H461">
        <v>0</v>
      </c>
      <c r="I461">
        <v>19</v>
      </c>
      <c r="J461">
        <v>0</v>
      </c>
      <c r="K461" t="s">
        <v>17</v>
      </c>
      <c r="L461" t="s">
        <v>16</v>
      </c>
      <c r="M461">
        <f>IF(Table1[[#This Row],[ألغى الاشتراك]]="نعم",1,0)</f>
        <v>1</v>
      </c>
      <c r="N461">
        <f>IF(Table1[[#This Row],[وسيلة الدفع]]="بطاقة",1,0)</f>
        <v>0</v>
      </c>
      <c r="O461">
        <f>IF(Table1[[#This Row],[وسيلة الدفع]]="محفظة",1,0)</f>
        <v>1</v>
      </c>
      <c r="P461">
        <f>IF(Table1[[#This Row],[وسيلة الدفع]]="تحويل",1,0)</f>
        <v>0</v>
      </c>
      <c r="Q461">
        <f>IF(Table1[[#This Row],[حضر التهيئة]]="نعم",1,0)</f>
        <v>0</v>
      </c>
      <c r="R461">
        <f>IF(Table1[[#This Row],[دورة الفوترة]]="شهري",1,0)</f>
        <v>1</v>
      </c>
    </row>
    <row r="462" spans="1:18" x14ac:dyDescent="0.25">
      <c r="A462" t="s">
        <v>482</v>
      </c>
      <c r="B462" s="1">
        <v>45466</v>
      </c>
      <c r="C462" t="s">
        <v>19</v>
      </c>
      <c r="D462">
        <v>189</v>
      </c>
      <c r="E462" t="s">
        <v>14</v>
      </c>
      <c r="F462">
        <v>4</v>
      </c>
      <c r="G462" t="s">
        <v>23</v>
      </c>
      <c r="H462">
        <v>10</v>
      </c>
      <c r="I462">
        <v>6</v>
      </c>
      <c r="J462">
        <v>0</v>
      </c>
      <c r="K462" t="s">
        <v>17</v>
      </c>
      <c r="L462" t="s">
        <v>16</v>
      </c>
      <c r="M462">
        <f>IF(Table1[[#This Row],[ألغى الاشتراك]]="نعم",1,0)</f>
        <v>1</v>
      </c>
      <c r="N462">
        <f>IF(Table1[[#This Row],[وسيلة الدفع]]="بطاقة",1,0)</f>
        <v>0</v>
      </c>
      <c r="O462">
        <f>IF(Table1[[#This Row],[وسيلة الدفع]]="محفظة",1,0)</f>
        <v>0</v>
      </c>
      <c r="P462">
        <f>IF(Table1[[#This Row],[وسيلة الدفع]]="تحويل",1,0)</f>
        <v>1</v>
      </c>
      <c r="Q462">
        <f>IF(Table1[[#This Row],[حضر التهيئة]]="نعم",1,0)</f>
        <v>0</v>
      </c>
      <c r="R462">
        <f>IF(Table1[[#This Row],[دورة الفوترة]]="شهري",1,0)</f>
        <v>1</v>
      </c>
    </row>
    <row r="463" spans="1:18" x14ac:dyDescent="0.25">
      <c r="A463" t="s">
        <v>483</v>
      </c>
      <c r="B463" s="1">
        <v>45635</v>
      </c>
      <c r="C463" t="s">
        <v>13</v>
      </c>
      <c r="D463">
        <v>89</v>
      </c>
      <c r="E463" t="s">
        <v>20</v>
      </c>
      <c r="F463">
        <v>5</v>
      </c>
      <c r="G463" t="s">
        <v>21</v>
      </c>
      <c r="H463">
        <v>7</v>
      </c>
      <c r="I463">
        <v>59</v>
      </c>
      <c r="J463">
        <v>25</v>
      </c>
      <c r="K463" t="s">
        <v>16</v>
      </c>
      <c r="L463" t="s">
        <v>17</v>
      </c>
      <c r="M463">
        <f>IF(Table1[[#This Row],[ألغى الاشتراك]]="نعم",1,0)</f>
        <v>0</v>
      </c>
      <c r="N463">
        <f>IF(Table1[[#This Row],[وسيلة الدفع]]="بطاقة",1,0)</f>
        <v>0</v>
      </c>
      <c r="O463">
        <f>IF(Table1[[#This Row],[وسيلة الدفع]]="محفظة",1,0)</f>
        <v>1</v>
      </c>
      <c r="P463">
        <f>IF(Table1[[#This Row],[وسيلة الدفع]]="تحويل",1,0)</f>
        <v>0</v>
      </c>
      <c r="Q463">
        <f>IF(Table1[[#This Row],[حضر التهيئة]]="نعم",1,0)</f>
        <v>1</v>
      </c>
      <c r="R463">
        <f>IF(Table1[[#This Row],[دورة الفوترة]]="شهري",1,0)</f>
        <v>0</v>
      </c>
    </row>
    <row r="464" spans="1:18" x14ac:dyDescent="0.25">
      <c r="A464" t="s">
        <v>484</v>
      </c>
      <c r="B464" s="1">
        <v>45345</v>
      </c>
      <c r="C464" t="s">
        <v>19</v>
      </c>
      <c r="D464">
        <v>189</v>
      </c>
      <c r="E464" t="s">
        <v>20</v>
      </c>
      <c r="F464">
        <v>21</v>
      </c>
      <c r="G464" t="s">
        <v>15</v>
      </c>
      <c r="H464">
        <v>0</v>
      </c>
      <c r="I464">
        <v>41</v>
      </c>
      <c r="J464">
        <v>10</v>
      </c>
      <c r="K464" t="s">
        <v>17</v>
      </c>
      <c r="L464" t="s">
        <v>17</v>
      </c>
      <c r="M464">
        <f>IF(Table1[[#This Row],[ألغى الاشتراك]]="نعم",1,0)</f>
        <v>0</v>
      </c>
      <c r="N464">
        <f>IF(Table1[[#This Row],[وسيلة الدفع]]="بطاقة",1,0)</f>
        <v>1</v>
      </c>
      <c r="O464">
        <f>IF(Table1[[#This Row],[وسيلة الدفع]]="محفظة",1,0)</f>
        <v>0</v>
      </c>
      <c r="P464">
        <f>IF(Table1[[#This Row],[وسيلة الدفع]]="تحويل",1,0)</f>
        <v>0</v>
      </c>
      <c r="Q464">
        <f>IF(Table1[[#This Row],[حضر التهيئة]]="نعم",1,0)</f>
        <v>0</v>
      </c>
      <c r="R464">
        <f>IF(Table1[[#This Row],[دورة الفوترة]]="شهري",1,0)</f>
        <v>0</v>
      </c>
    </row>
    <row r="465" spans="1:18" x14ac:dyDescent="0.25">
      <c r="A465" t="s">
        <v>485</v>
      </c>
      <c r="B465" s="1">
        <v>45631</v>
      </c>
      <c r="C465" t="s">
        <v>19</v>
      </c>
      <c r="D465">
        <v>189</v>
      </c>
      <c r="E465" t="s">
        <v>14</v>
      </c>
      <c r="F465">
        <v>15</v>
      </c>
      <c r="G465" t="s">
        <v>21</v>
      </c>
      <c r="H465">
        <v>0</v>
      </c>
      <c r="I465">
        <v>5</v>
      </c>
      <c r="J465">
        <v>25</v>
      </c>
      <c r="K465" t="s">
        <v>16</v>
      </c>
      <c r="L465" t="s">
        <v>17</v>
      </c>
      <c r="M465">
        <f>IF(Table1[[#This Row],[ألغى الاشتراك]]="نعم",1,0)</f>
        <v>0</v>
      </c>
      <c r="N465">
        <f>IF(Table1[[#This Row],[وسيلة الدفع]]="بطاقة",1,0)</f>
        <v>0</v>
      </c>
      <c r="O465">
        <f>IF(Table1[[#This Row],[وسيلة الدفع]]="محفظة",1,0)</f>
        <v>1</v>
      </c>
      <c r="P465">
        <f>IF(Table1[[#This Row],[وسيلة الدفع]]="تحويل",1,0)</f>
        <v>0</v>
      </c>
      <c r="Q465">
        <f>IF(Table1[[#This Row],[حضر التهيئة]]="نعم",1,0)</f>
        <v>1</v>
      </c>
      <c r="R465">
        <f>IF(Table1[[#This Row],[دورة الفوترة]]="شهري",1,0)</f>
        <v>1</v>
      </c>
    </row>
    <row r="466" spans="1:18" x14ac:dyDescent="0.25">
      <c r="A466" t="s">
        <v>486</v>
      </c>
      <c r="B466" s="1">
        <v>45914</v>
      </c>
      <c r="C466" t="s">
        <v>19</v>
      </c>
      <c r="D466">
        <v>189</v>
      </c>
      <c r="E466" t="s">
        <v>14</v>
      </c>
      <c r="F466">
        <v>27</v>
      </c>
      <c r="G466" t="s">
        <v>21</v>
      </c>
      <c r="H466">
        <v>4</v>
      </c>
      <c r="I466">
        <v>29</v>
      </c>
      <c r="J466">
        <v>0</v>
      </c>
      <c r="K466" t="s">
        <v>17</v>
      </c>
      <c r="L466" t="s">
        <v>17</v>
      </c>
      <c r="M466">
        <f>IF(Table1[[#This Row],[ألغى الاشتراك]]="نعم",1,0)</f>
        <v>0</v>
      </c>
      <c r="N466">
        <f>IF(Table1[[#This Row],[وسيلة الدفع]]="بطاقة",1,0)</f>
        <v>0</v>
      </c>
      <c r="O466">
        <f>IF(Table1[[#This Row],[وسيلة الدفع]]="محفظة",1,0)</f>
        <v>1</v>
      </c>
      <c r="P466">
        <f>IF(Table1[[#This Row],[وسيلة الدفع]]="تحويل",1,0)</f>
        <v>0</v>
      </c>
      <c r="Q466">
        <f>IF(Table1[[#This Row],[حضر التهيئة]]="نعم",1,0)</f>
        <v>0</v>
      </c>
      <c r="R466">
        <f>IF(Table1[[#This Row],[دورة الفوترة]]="شهري",1,0)</f>
        <v>1</v>
      </c>
    </row>
    <row r="467" spans="1:18" x14ac:dyDescent="0.25">
      <c r="A467" t="s">
        <v>487</v>
      </c>
      <c r="B467" s="1">
        <v>45446</v>
      </c>
      <c r="C467" t="s">
        <v>13</v>
      </c>
      <c r="D467">
        <v>89</v>
      </c>
      <c r="E467" t="s">
        <v>20</v>
      </c>
      <c r="F467">
        <v>4</v>
      </c>
      <c r="G467" t="s">
        <v>21</v>
      </c>
      <c r="H467">
        <v>0</v>
      </c>
      <c r="I467">
        <v>12</v>
      </c>
      <c r="J467">
        <v>0</v>
      </c>
      <c r="K467" t="s">
        <v>16</v>
      </c>
      <c r="L467" t="s">
        <v>17</v>
      </c>
      <c r="M467">
        <f>IF(Table1[[#This Row],[ألغى الاشتراك]]="نعم",1,0)</f>
        <v>0</v>
      </c>
      <c r="N467">
        <f>IF(Table1[[#This Row],[وسيلة الدفع]]="بطاقة",1,0)</f>
        <v>0</v>
      </c>
      <c r="O467">
        <f>IF(Table1[[#This Row],[وسيلة الدفع]]="محفظة",1,0)</f>
        <v>1</v>
      </c>
      <c r="P467">
        <f>IF(Table1[[#This Row],[وسيلة الدفع]]="تحويل",1,0)</f>
        <v>0</v>
      </c>
      <c r="Q467">
        <f>IF(Table1[[#This Row],[حضر التهيئة]]="نعم",1,0)</f>
        <v>1</v>
      </c>
      <c r="R467">
        <f>IF(Table1[[#This Row],[دورة الفوترة]]="شهري",1,0)</f>
        <v>0</v>
      </c>
    </row>
    <row r="468" spans="1:18" x14ac:dyDescent="0.25">
      <c r="A468" t="s">
        <v>488</v>
      </c>
      <c r="B468" s="1">
        <v>45854</v>
      </c>
      <c r="C468" t="s">
        <v>19</v>
      </c>
      <c r="D468">
        <v>189</v>
      </c>
      <c r="E468" t="s">
        <v>20</v>
      </c>
      <c r="F468">
        <v>9</v>
      </c>
      <c r="G468" t="s">
        <v>21</v>
      </c>
      <c r="H468">
        <v>1</v>
      </c>
      <c r="I468">
        <v>31</v>
      </c>
      <c r="J468">
        <v>0</v>
      </c>
      <c r="K468" t="s">
        <v>16</v>
      </c>
      <c r="L468" t="s">
        <v>17</v>
      </c>
      <c r="M468">
        <f>IF(Table1[[#This Row],[ألغى الاشتراك]]="نعم",1,0)</f>
        <v>0</v>
      </c>
      <c r="N468">
        <f>IF(Table1[[#This Row],[وسيلة الدفع]]="بطاقة",1,0)</f>
        <v>0</v>
      </c>
      <c r="O468">
        <f>IF(Table1[[#This Row],[وسيلة الدفع]]="محفظة",1,0)</f>
        <v>1</v>
      </c>
      <c r="P468">
        <f>IF(Table1[[#This Row],[وسيلة الدفع]]="تحويل",1,0)</f>
        <v>0</v>
      </c>
      <c r="Q468">
        <f>IF(Table1[[#This Row],[حضر التهيئة]]="نعم",1,0)</f>
        <v>1</v>
      </c>
      <c r="R468">
        <f>IF(Table1[[#This Row],[دورة الفوترة]]="شهري",1,0)</f>
        <v>0</v>
      </c>
    </row>
    <row r="469" spans="1:18" x14ac:dyDescent="0.25">
      <c r="A469" t="s">
        <v>489</v>
      </c>
      <c r="B469" s="1">
        <v>45643</v>
      </c>
      <c r="C469" t="s">
        <v>28</v>
      </c>
      <c r="D469">
        <v>39</v>
      </c>
      <c r="E469" t="s">
        <v>14</v>
      </c>
      <c r="F469">
        <v>2</v>
      </c>
      <c r="G469" t="s">
        <v>15</v>
      </c>
      <c r="H469">
        <v>11</v>
      </c>
      <c r="I469">
        <v>36</v>
      </c>
      <c r="J469">
        <v>0</v>
      </c>
      <c r="K469" t="s">
        <v>16</v>
      </c>
      <c r="L469" t="s">
        <v>17</v>
      </c>
      <c r="M469">
        <f>IF(Table1[[#This Row],[ألغى الاشتراك]]="نعم",1,0)</f>
        <v>0</v>
      </c>
      <c r="N469">
        <f>IF(Table1[[#This Row],[وسيلة الدفع]]="بطاقة",1,0)</f>
        <v>1</v>
      </c>
      <c r="O469">
        <f>IF(Table1[[#This Row],[وسيلة الدفع]]="محفظة",1,0)</f>
        <v>0</v>
      </c>
      <c r="P469">
        <f>IF(Table1[[#This Row],[وسيلة الدفع]]="تحويل",1,0)</f>
        <v>0</v>
      </c>
      <c r="Q469">
        <f>IF(Table1[[#This Row],[حضر التهيئة]]="نعم",1,0)</f>
        <v>1</v>
      </c>
      <c r="R469">
        <f>IF(Table1[[#This Row],[دورة الفوترة]]="شهري",1,0)</f>
        <v>1</v>
      </c>
    </row>
    <row r="470" spans="1:18" x14ac:dyDescent="0.25">
      <c r="A470" t="s">
        <v>490</v>
      </c>
      <c r="B470" s="1">
        <v>45679</v>
      </c>
      <c r="C470" t="s">
        <v>13</v>
      </c>
      <c r="D470">
        <v>89</v>
      </c>
      <c r="E470" t="s">
        <v>14</v>
      </c>
      <c r="F470">
        <v>9</v>
      </c>
      <c r="G470" t="s">
        <v>15</v>
      </c>
      <c r="H470">
        <v>0</v>
      </c>
      <c r="I470">
        <v>9</v>
      </c>
      <c r="J470">
        <v>0</v>
      </c>
      <c r="K470" t="s">
        <v>16</v>
      </c>
      <c r="L470" t="s">
        <v>17</v>
      </c>
      <c r="M470">
        <f>IF(Table1[[#This Row],[ألغى الاشتراك]]="نعم",1,0)</f>
        <v>0</v>
      </c>
      <c r="N470">
        <f>IF(Table1[[#This Row],[وسيلة الدفع]]="بطاقة",1,0)</f>
        <v>1</v>
      </c>
      <c r="O470">
        <f>IF(Table1[[#This Row],[وسيلة الدفع]]="محفظة",1,0)</f>
        <v>0</v>
      </c>
      <c r="P470">
        <f>IF(Table1[[#This Row],[وسيلة الدفع]]="تحويل",1,0)</f>
        <v>0</v>
      </c>
      <c r="Q470">
        <f>IF(Table1[[#This Row],[حضر التهيئة]]="نعم",1,0)</f>
        <v>1</v>
      </c>
      <c r="R470">
        <f>IF(Table1[[#This Row],[دورة الفوترة]]="شهري",1,0)</f>
        <v>1</v>
      </c>
    </row>
    <row r="471" spans="1:18" x14ac:dyDescent="0.25">
      <c r="A471" t="s">
        <v>491</v>
      </c>
      <c r="B471" s="1">
        <v>45744</v>
      </c>
      <c r="C471" t="s">
        <v>19</v>
      </c>
      <c r="D471">
        <v>189</v>
      </c>
      <c r="E471" t="s">
        <v>14</v>
      </c>
      <c r="F471">
        <v>24</v>
      </c>
      <c r="G471" t="s">
        <v>23</v>
      </c>
      <c r="H471">
        <v>0</v>
      </c>
      <c r="I471">
        <v>38</v>
      </c>
      <c r="J471">
        <v>15</v>
      </c>
      <c r="K471" t="s">
        <v>17</v>
      </c>
      <c r="L471" t="s">
        <v>17</v>
      </c>
      <c r="M471">
        <f>IF(Table1[[#This Row],[ألغى الاشتراك]]="نعم",1,0)</f>
        <v>0</v>
      </c>
      <c r="N471">
        <f>IF(Table1[[#This Row],[وسيلة الدفع]]="بطاقة",1,0)</f>
        <v>0</v>
      </c>
      <c r="O471">
        <f>IF(Table1[[#This Row],[وسيلة الدفع]]="محفظة",1,0)</f>
        <v>0</v>
      </c>
      <c r="P471">
        <f>IF(Table1[[#This Row],[وسيلة الدفع]]="تحويل",1,0)</f>
        <v>1</v>
      </c>
      <c r="Q471">
        <f>IF(Table1[[#This Row],[حضر التهيئة]]="نعم",1,0)</f>
        <v>0</v>
      </c>
      <c r="R471">
        <f>IF(Table1[[#This Row],[دورة الفوترة]]="شهري",1,0)</f>
        <v>1</v>
      </c>
    </row>
    <row r="472" spans="1:18" x14ac:dyDescent="0.25">
      <c r="A472" t="s">
        <v>492</v>
      </c>
      <c r="B472" s="1">
        <v>45387</v>
      </c>
      <c r="C472" t="s">
        <v>13</v>
      </c>
      <c r="D472">
        <v>89</v>
      </c>
      <c r="E472" t="s">
        <v>14</v>
      </c>
      <c r="F472">
        <v>6</v>
      </c>
      <c r="G472" t="s">
        <v>15</v>
      </c>
      <c r="H472">
        <v>2</v>
      </c>
      <c r="I472">
        <v>52</v>
      </c>
      <c r="J472">
        <v>0</v>
      </c>
      <c r="K472" t="s">
        <v>16</v>
      </c>
      <c r="L472" t="s">
        <v>16</v>
      </c>
      <c r="M472">
        <f>IF(Table1[[#This Row],[ألغى الاشتراك]]="نعم",1,0)</f>
        <v>1</v>
      </c>
      <c r="N472">
        <f>IF(Table1[[#This Row],[وسيلة الدفع]]="بطاقة",1,0)</f>
        <v>1</v>
      </c>
      <c r="O472">
        <f>IF(Table1[[#This Row],[وسيلة الدفع]]="محفظة",1,0)</f>
        <v>0</v>
      </c>
      <c r="P472">
        <f>IF(Table1[[#This Row],[وسيلة الدفع]]="تحويل",1,0)</f>
        <v>0</v>
      </c>
      <c r="Q472">
        <f>IF(Table1[[#This Row],[حضر التهيئة]]="نعم",1,0)</f>
        <v>1</v>
      </c>
      <c r="R472">
        <f>IF(Table1[[#This Row],[دورة الفوترة]]="شهري",1,0)</f>
        <v>1</v>
      </c>
    </row>
    <row r="473" spans="1:18" x14ac:dyDescent="0.25">
      <c r="A473" t="s">
        <v>493</v>
      </c>
      <c r="B473" s="1">
        <v>45592</v>
      </c>
      <c r="C473" t="s">
        <v>19</v>
      </c>
      <c r="D473">
        <v>189</v>
      </c>
      <c r="E473" t="s">
        <v>14</v>
      </c>
      <c r="F473">
        <v>5</v>
      </c>
      <c r="G473" t="s">
        <v>15</v>
      </c>
      <c r="H473">
        <v>5</v>
      </c>
      <c r="I473">
        <v>7</v>
      </c>
      <c r="J473">
        <v>10</v>
      </c>
      <c r="K473" t="s">
        <v>16</v>
      </c>
      <c r="L473" t="s">
        <v>17</v>
      </c>
      <c r="M473">
        <f>IF(Table1[[#This Row],[ألغى الاشتراك]]="نعم",1,0)</f>
        <v>0</v>
      </c>
      <c r="N473">
        <f>IF(Table1[[#This Row],[وسيلة الدفع]]="بطاقة",1,0)</f>
        <v>1</v>
      </c>
      <c r="O473">
        <f>IF(Table1[[#This Row],[وسيلة الدفع]]="محفظة",1,0)</f>
        <v>0</v>
      </c>
      <c r="P473">
        <f>IF(Table1[[#This Row],[وسيلة الدفع]]="تحويل",1,0)</f>
        <v>0</v>
      </c>
      <c r="Q473">
        <f>IF(Table1[[#This Row],[حضر التهيئة]]="نعم",1,0)</f>
        <v>1</v>
      </c>
      <c r="R473">
        <f>IF(Table1[[#This Row],[دورة الفوترة]]="شهري",1,0)</f>
        <v>1</v>
      </c>
    </row>
    <row r="474" spans="1:18" x14ac:dyDescent="0.25">
      <c r="A474" t="s">
        <v>494</v>
      </c>
      <c r="B474" s="1">
        <v>45724</v>
      </c>
      <c r="C474" t="s">
        <v>13</v>
      </c>
      <c r="D474">
        <v>89</v>
      </c>
      <c r="E474" t="s">
        <v>14</v>
      </c>
      <c r="F474">
        <v>29</v>
      </c>
      <c r="G474" t="s">
        <v>21</v>
      </c>
      <c r="H474">
        <v>1</v>
      </c>
      <c r="I474">
        <v>11</v>
      </c>
      <c r="J474">
        <v>0</v>
      </c>
      <c r="K474" t="s">
        <v>17</v>
      </c>
      <c r="L474" t="s">
        <v>17</v>
      </c>
      <c r="M474">
        <f>IF(Table1[[#This Row],[ألغى الاشتراك]]="نعم",1,0)</f>
        <v>0</v>
      </c>
      <c r="N474">
        <f>IF(Table1[[#This Row],[وسيلة الدفع]]="بطاقة",1,0)</f>
        <v>0</v>
      </c>
      <c r="O474">
        <f>IF(Table1[[#This Row],[وسيلة الدفع]]="محفظة",1,0)</f>
        <v>1</v>
      </c>
      <c r="P474">
        <f>IF(Table1[[#This Row],[وسيلة الدفع]]="تحويل",1,0)</f>
        <v>0</v>
      </c>
      <c r="Q474">
        <f>IF(Table1[[#This Row],[حضر التهيئة]]="نعم",1,0)</f>
        <v>0</v>
      </c>
      <c r="R474">
        <f>IF(Table1[[#This Row],[دورة الفوترة]]="شهري",1,0)</f>
        <v>1</v>
      </c>
    </row>
    <row r="475" spans="1:18" x14ac:dyDescent="0.25">
      <c r="A475" t="s">
        <v>495</v>
      </c>
      <c r="B475" s="1">
        <v>45403</v>
      </c>
      <c r="C475" t="s">
        <v>28</v>
      </c>
      <c r="D475">
        <v>39</v>
      </c>
      <c r="E475" t="s">
        <v>14</v>
      </c>
      <c r="F475">
        <v>6</v>
      </c>
      <c r="G475" t="s">
        <v>23</v>
      </c>
      <c r="H475">
        <v>2</v>
      </c>
      <c r="I475">
        <v>16</v>
      </c>
      <c r="J475">
        <v>0</v>
      </c>
      <c r="K475" t="s">
        <v>16</v>
      </c>
      <c r="L475" t="s">
        <v>17</v>
      </c>
      <c r="M475">
        <f>IF(Table1[[#This Row],[ألغى الاشتراك]]="نعم",1,0)</f>
        <v>0</v>
      </c>
      <c r="N475">
        <f>IF(Table1[[#This Row],[وسيلة الدفع]]="بطاقة",1,0)</f>
        <v>0</v>
      </c>
      <c r="O475">
        <f>IF(Table1[[#This Row],[وسيلة الدفع]]="محفظة",1,0)</f>
        <v>0</v>
      </c>
      <c r="P475">
        <f>IF(Table1[[#This Row],[وسيلة الدفع]]="تحويل",1,0)</f>
        <v>1</v>
      </c>
      <c r="Q475">
        <f>IF(Table1[[#This Row],[حضر التهيئة]]="نعم",1,0)</f>
        <v>1</v>
      </c>
      <c r="R475">
        <f>IF(Table1[[#This Row],[دورة الفوترة]]="شهري",1,0)</f>
        <v>1</v>
      </c>
    </row>
    <row r="476" spans="1:18" x14ac:dyDescent="0.25">
      <c r="A476" t="s">
        <v>496</v>
      </c>
      <c r="B476" s="1">
        <v>45914</v>
      </c>
      <c r="C476" t="s">
        <v>13</v>
      </c>
      <c r="D476">
        <v>89</v>
      </c>
      <c r="E476" t="s">
        <v>14</v>
      </c>
      <c r="F476">
        <v>25</v>
      </c>
      <c r="G476" t="s">
        <v>21</v>
      </c>
      <c r="H476">
        <v>5</v>
      </c>
      <c r="I476">
        <v>49</v>
      </c>
      <c r="J476">
        <v>0</v>
      </c>
      <c r="K476" t="s">
        <v>16</v>
      </c>
      <c r="L476" t="s">
        <v>16</v>
      </c>
      <c r="M476">
        <f>IF(Table1[[#This Row],[ألغى الاشتراك]]="نعم",1,0)</f>
        <v>1</v>
      </c>
      <c r="N476">
        <f>IF(Table1[[#This Row],[وسيلة الدفع]]="بطاقة",1,0)</f>
        <v>0</v>
      </c>
      <c r="O476">
        <f>IF(Table1[[#This Row],[وسيلة الدفع]]="محفظة",1,0)</f>
        <v>1</v>
      </c>
      <c r="P476">
        <f>IF(Table1[[#This Row],[وسيلة الدفع]]="تحويل",1,0)</f>
        <v>0</v>
      </c>
      <c r="Q476">
        <f>IF(Table1[[#This Row],[حضر التهيئة]]="نعم",1,0)</f>
        <v>1</v>
      </c>
      <c r="R476">
        <f>IF(Table1[[#This Row],[دورة الفوترة]]="شهري",1,0)</f>
        <v>1</v>
      </c>
    </row>
    <row r="477" spans="1:18" x14ac:dyDescent="0.25">
      <c r="A477" t="s">
        <v>497</v>
      </c>
      <c r="B477" s="1">
        <v>45728</v>
      </c>
      <c r="C477" t="s">
        <v>19</v>
      </c>
      <c r="D477">
        <v>189</v>
      </c>
      <c r="E477" t="s">
        <v>14</v>
      </c>
      <c r="F477">
        <v>22</v>
      </c>
      <c r="G477" t="s">
        <v>23</v>
      </c>
      <c r="H477">
        <v>6</v>
      </c>
      <c r="I477">
        <v>28</v>
      </c>
      <c r="J477">
        <v>15</v>
      </c>
      <c r="K477" t="s">
        <v>16</v>
      </c>
      <c r="L477" t="s">
        <v>17</v>
      </c>
      <c r="M477">
        <f>IF(Table1[[#This Row],[ألغى الاشتراك]]="نعم",1,0)</f>
        <v>0</v>
      </c>
      <c r="N477">
        <f>IF(Table1[[#This Row],[وسيلة الدفع]]="بطاقة",1,0)</f>
        <v>0</v>
      </c>
      <c r="O477">
        <f>IF(Table1[[#This Row],[وسيلة الدفع]]="محفظة",1,0)</f>
        <v>0</v>
      </c>
      <c r="P477">
        <f>IF(Table1[[#This Row],[وسيلة الدفع]]="تحويل",1,0)</f>
        <v>1</v>
      </c>
      <c r="Q477">
        <f>IF(Table1[[#This Row],[حضر التهيئة]]="نعم",1,0)</f>
        <v>1</v>
      </c>
      <c r="R477">
        <f>IF(Table1[[#This Row],[دورة الفوترة]]="شهري",1,0)</f>
        <v>1</v>
      </c>
    </row>
    <row r="478" spans="1:18" x14ac:dyDescent="0.25">
      <c r="A478" t="s">
        <v>498</v>
      </c>
      <c r="B478" s="1">
        <v>45659</v>
      </c>
      <c r="C478" t="s">
        <v>19</v>
      </c>
      <c r="D478">
        <v>189</v>
      </c>
      <c r="E478" t="s">
        <v>20</v>
      </c>
      <c r="F478">
        <v>14</v>
      </c>
      <c r="G478" t="s">
        <v>15</v>
      </c>
      <c r="H478">
        <v>0</v>
      </c>
      <c r="I478">
        <v>32</v>
      </c>
      <c r="J478">
        <v>5</v>
      </c>
      <c r="K478" t="s">
        <v>16</v>
      </c>
      <c r="L478" t="s">
        <v>17</v>
      </c>
      <c r="M478">
        <f>IF(Table1[[#This Row],[ألغى الاشتراك]]="نعم",1,0)</f>
        <v>0</v>
      </c>
      <c r="N478">
        <f>IF(Table1[[#This Row],[وسيلة الدفع]]="بطاقة",1,0)</f>
        <v>1</v>
      </c>
      <c r="O478">
        <f>IF(Table1[[#This Row],[وسيلة الدفع]]="محفظة",1,0)</f>
        <v>0</v>
      </c>
      <c r="P478">
        <f>IF(Table1[[#This Row],[وسيلة الدفع]]="تحويل",1,0)</f>
        <v>0</v>
      </c>
      <c r="Q478">
        <f>IF(Table1[[#This Row],[حضر التهيئة]]="نعم",1,0)</f>
        <v>1</v>
      </c>
      <c r="R478">
        <f>IF(Table1[[#This Row],[دورة الفوترة]]="شهري",1,0)</f>
        <v>0</v>
      </c>
    </row>
    <row r="479" spans="1:18" x14ac:dyDescent="0.25">
      <c r="A479" t="s">
        <v>499</v>
      </c>
      <c r="B479" s="1">
        <v>45333</v>
      </c>
      <c r="C479" t="s">
        <v>28</v>
      </c>
      <c r="D479">
        <v>39</v>
      </c>
      <c r="E479" t="s">
        <v>14</v>
      </c>
      <c r="F479">
        <v>8</v>
      </c>
      <c r="G479" t="s">
        <v>21</v>
      </c>
      <c r="H479">
        <v>2</v>
      </c>
      <c r="I479">
        <v>6</v>
      </c>
      <c r="J479">
        <v>0</v>
      </c>
      <c r="K479" t="s">
        <v>17</v>
      </c>
      <c r="L479" t="s">
        <v>16</v>
      </c>
      <c r="M479">
        <f>IF(Table1[[#This Row],[ألغى الاشتراك]]="نعم",1,0)</f>
        <v>1</v>
      </c>
      <c r="N479">
        <f>IF(Table1[[#This Row],[وسيلة الدفع]]="بطاقة",1,0)</f>
        <v>0</v>
      </c>
      <c r="O479">
        <f>IF(Table1[[#This Row],[وسيلة الدفع]]="محفظة",1,0)</f>
        <v>1</v>
      </c>
      <c r="P479">
        <f>IF(Table1[[#This Row],[وسيلة الدفع]]="تحويل",1,0)</f>
        <v>0</v>
      </c>
      <c r="Q479">
        <f>IF(Table1[[#This Row],[حضر التهيئة]]="نعم",1,0)</f>
        <v>0</v>
      </c>
      <c r="R479">
        <f>IF(Table1[[#This Row],[دورة الفوترة]]="شهري",1,0)</f>
        <v>1</v>
      </c>
    </row>
    <row r="480" spans="1:18" x14ac:dyDescent="0.25">
      <c r="A480" t="s">
        <v>500</v>
      </c>
      <c r="B480" s="1">
        <v>45866</v>
      </c>
      <c r="C480" t="s">
        <v>28</v>
      </c>
      <c r="D480">
        <v>39</v>
      </c>
      <c r="E480" t="s">
        <v>20</v>
      </c>
      <c r="F480">
        <v>21</v>
      </c>
      <c r="G480" t="s">
        <v>15</v>
      </c>
      <c r="H480">
        <v>1</v>
      </c>
      <c r="I480">
        <v>27</v>
      </c>
      <c r="J480">
        <v>0</v>
      </c>
      <c r="K480" t="s">
        <v>16</v>
      </c>
      <c r="L480" t="s">
        <v>17</v>
      </c>
      <c r="M480">
        <f>IF(Table1[[#This Row],[ألغى الاشتراك]]="نعم",1,0)</f>
        <v>0</v>
      </c>
      <c r="N480">
        <f>IF(Table1[[#This Row],[وسيلة الدفع]]="بطاقة",1,0)</f>
        <v>1</v>
      </c>
      <c r="O480">
        <f>IF(Table1[[#This Row],[وسيلة الدفع]]="محفظة",1,0)</f>
        <v>0</v>
      </c>
      <c r="P480">
        <f>IF(Table1[[#This Row],[وسيلة الدفع]]="تحويل",1,0)</f>
        <v>0</v>
      </c>
      <c r="Q480">
        <f>IF(Table1[[#This Row],[حضر التهيئة]]="نعم",1,0)</f>
        <v>1</v>
      </c>
      <c r="R480">
        <f>IF(Table1[[#This Row],[دورة الفوترة]]="شهري",1,0)</f>
        <v>0</v>
      </c>
    </row>
    <row r="481" spans="1:18" x14ac:dyDescent="0.25">
      <c r="A481" t="s">
        <v>501</v>
      </c>
      <c r="B481" s="1">
        <v>45505</v>
      </c>
      <c r="C481" t="s">
        <v>13</v>
      </c>
      <c r="D481">
        <v>89</v>
      </c>
      <c r="E481" t="s">
        <v>20</v>
      </c>
      <c r="F481">
        <v>20</v>
      </c>
      <c r="G481" t="s">
        <v>23</v>
      </c>
      <c r="H481">
        <v>4</v>
      </c>
      <c r="I481">
        <v>10</v>
      </c>
      <c r="J481">
        <v>0</v>
      </c>
      <c r="K481" t="s">
        <v>16</v>
      </c>
      <c r="L481" t="s">
        <v>17</v>
      </c>
      <c r="M481">
        <f>IF(Table1[[#This Row],[ألغى الاشتراك]]="نعم",1,0)</f>
        <v>0</v>
      </c>
      <c r="N481">
        <f>IF(Table1[[#This Row],[وسيلة الدفع]]="بطاقة",1,0)</f>
        <v>0</v>
      </c>
      <c r="O481">
        <f>IF(Table1[[#This Row],[وسيلة الدفع]]="محفظة",1,0)</f>
        <v>0</v>
      </c>
      <c r="P481">
        <f>IF(Table1[[#This Row],[وسيلة الدفع]]="تحويل",1,0)</f>
        <v>1</v>
      </c>
      <c r="Q481">
        <f>IF(Table1[[#This Row],[حضر التهيئة]]="نعم",1,0)</f>
        <v>1</v>
      </c>
      <c r="R481">
        <f>IF(Table1[[#This Row],[دورة الفوترة]]="شهري",1,0)</f>
        <v>0</v>
      </c>
    </row>
    <row r="482" spans="1:18" x14ac:dyDescent="0.25">
      <c r="A482" t="s">
        <v>502</v>
      </c>
      <c r="B482" s="1">
        <v>45918</v>
      </c>
      <c r="C482" t="s">
        <v>13</v>
      </c>
      <c r="D482">
        <v>89</v>
      </c>
      <c r="E482" t="s">
        <v>14</v>
      </c>
      <c r="F482">
        <v>3</v>
      </c>
      <c r="G482" t="s">
        <v>15</v>
      </c>
      <c r="H482">
        <v>9</v>
      </c>
      <c r="I482">
        <v>23</v>
      </c>
      <c r="J482">
        <v>0</v>
      </c>
      <c r="K482" t="s">
        <v>17</v>
      </c>
      <c r="L482" t="s">
        <v>17</v>
      </c>
      <c r="M482">
        <f>IF(Table1[[#This Row],[ألغى الاشتراك]]="نعم",1,0)</f>
        <v>0</v>
      </c>
      <c r="N482">
        <f>IF(Table1[[#This Row],[وسيلة الدفع]]="بطاقة",1,0)</f>
        <v>1</v>
      </c>
      <c r="O482">
        <f>IF(Table1[[#This Row],[وسيلة الدفع]]="محفظة",1,0)</f>
        <v>0</v>
      </c>
      <c r="P482">
        <f>IF(Table1[[#This Row],[وسيلة الدفع]]="تحويل",1,0)</f>
        <v>0</v>
      </c>
      <c r="Q482">
        <f>IF(Table1[[#This Row],[حضر التهيئة]]="نعم",1,0)</f>
        <v>0</v>
      </c>
      <c r="R482">
        <f>IF(Table1[[#This Row],[دورة الفوترة]]="شهري",1,0)</f>
        <v>1</v>
      </c>
    </row>
    <row r="483" spans="1:18" x14ac:dyDescent="0.25">
      <c r="A483" t="s">
        <v>503</v>
      </c>
      <c r="B483" s="1">
        <v>45345</v>
      </c>
      <c r="C483" t="s">
        <v>19</v>
      </c>
      <c r="D483">
        <v>189</v>
      </c>
      <c r="E483" t="s">
        <v>14</v>
      </c>
      <c r="F483">
        <v>18</v>
      </c>
      <c r="G483" t="s">
        <v>15</v>
      </c>
      <c r="H483">
        <v>0</v>
      </c>
      <c r="I483">
        <v>30</v>
      </c>
      <c r="J483">
        <v>0</v>
      </c>
      <c r="K483" t="s">
        <v>17</v>
      </c>
      <c r="L483" t="s">
        <v>17</v>
      </c>
      <c r="M483">
        <f>IF(Table1[[#This Row],[ألغى الاشتراك]]="نعم",1,0)</f>
        <v>0</v>
      </c>
      <c r="N483">
        <f>IF(Table1[[#This Row],[وسيلة الدفع]]="بطاقة",1,0)</f>
        <v>1</v>
      </c>
      <c r="O483">
        <f>IF(Table1[[#This Row],[وسيلة الدفع]]="محفظة",1,0)</f>
        <v>0</v>
      </c>
      <c r="P483">
        <f>IF(Table1[[#This Row],[وسيلة الدفع]]="تحويل",1,0)</f>
        <v>0</v>
      </c>
      <c r="Q483">
        <f>IF(Table1[[#This Row],[حضر التهيئة]]="نعم",1,0)</f>
        <v>0</v>
      </c>
      <c r="R483">
        <f>IF(Table1[[#This Row],[دورة الفوترة]]="شهري",1,0)</f>
        <v>1</v>
      </c>
    </row>
    <row r="484" spans="1:18" x14ac:dyDescent="0.25">
      <c r="A484" t="s">
        <v>504</v>
      </c>
      <c r="B484" s="1">
        <v>45521</v>
      </c>
      <c r="C484" t="s">
        <v>13</v>
      </c>
      <c r="D484">
        <v>89</v>
      </c>
      <c r="E484" t="s">
        <v>20</v>
      </c>
      <c r="F484">
        <v>27</v>
      </c>
      <c r="G484" t="s">
        <v>23</v>
      </c>
      <c r="H484">
        <v>11</v>
      </c>
      <c r="I484">
        <v>39</v>
      </c>
      <c r="J484">
        <v>25</v>
      </c>
      <c r="K484" t="s">
        <v>17</v>
      </c>
      <c r="L484" t="s">
        <v>16</v>
      </c>
      <c r="M484">
        <f>IF(Table1[[#This Row],[ألغى الاشتراك]]="نعم",1,0)</f>
        <v>1</v>
      </c>
      <c r="N484">
        <f>IF(Table1[[#This Row],[وسيلة الدفع]]="بطاقة",1,0)</f>
        <v>0</v>
      </c>
      <c r="O484">
        <f>IF(Table1[[#This Row],[وسيلة الدفع]]="محفظة",1,0)</f>
        <v>0</v>
      </c>
      <c r="P484">
        <f>IF(Table1[[#This Row],[وسيلة الدفع]]="تحويل",1,0)</f>
        <v>1</v>
      </c>
      <c r="Q484">
        <f>IF(Table1[[#This Row],[حضر التهيئة]]="نعم",1,0)</f>
        <v>0</v>
      </c>
      <c r="R484">
        <f>IF(Table1[[#This Row],[دورة الفوترة]]="شهري",1,0)</f>
        <v>0</v>
      </c>
    </row>
    <row r="485" spans="1:18" x14ac:dyDescent="0.25">
      <c r="A485" t="s">
        <v>505</v>
      </c>
      <c r="B485" s="1">
        <v>45663</v>
      </c>
      <c r="C485" t="s">
        <v>19</v>
      </c>
      <c r="D485">
        <v>189</v>
      </c>
      <c r="E485" t="s">
        <v>20</v>
      </c>
      <c r="F485">
        <v>11</v>
      </c>
      <c r="G485" t="s">
        <v>15</v>
      </c>
      <c r="H485">
        <v>0</v>
      </c>
      <c r="I485">
        <v>27</v>
      </c>
      <c r="J485">
        <v>0</v>
      </c>
      <c r="K485" t="s">
        <v>17</v>
      </c>
      <c r="L485" t="s">
        <v>16</v>
      </c>
      <c r="M485">
        <f>IF(Table1[[#This Row],[ألغى الاشتراك]]="نعم",1,0)</f>
        <v>1</v>
      </c>
      <c r="N485">
        <f>IF(Table1[[#This Row],[وسيلة الدفع]]="بطاقة",1,0)</f>
        <v>1</v>
      </c>
      <c r="O485">
        <f>IF(Table1[[#This Row],[وسيلة الدفع]]="محفظة",1,0)</f>
        <v>0</v>
      </c>
      <c r="P485">
        <f>IF(Table1[[#This Row],[وسيلة الدفع]]="تحويل",1,0)</f>
        <v>0</v>
      </c>
      <c r="Q485">
        <f>IF(Table1[[#This Row],[حضر التهيئة]]="نعم",1,0)</f>
        <v>0</v>
      </c>
      <c r="R485">
        <f>IF(Table1[[#This Row],[دورة الفوترة]]="شهري",1,0)</f>
        <v>0</v>
      </c>
    </row>
    <row r="486" spans="1:18" x14ac:dyDescent="0.25">
      <c r="A486" t="s">
        <v>506</v>
      </c>
      <c r="B486" s="1">
        <v>45341</v>
      </c>
      <c r="C486" t="s">
        <v>28</v>
      </c>
      <c r="D486">
        <v>39</v>
      </c>
      <c r="E486" t="s">
        <v>14</v>
      </c>
      <c r="F486">
        <v>14</v>
      </c>
      <c r="G486" t="s">
        <v>21</v>
      </c>
      <c r="H486">
        <v>0</v>
      </c>
      <c r="I486">
        <v>42</v>
      </c>
      <c r="J486">
        <v>0</v>
      </c>
      <c r="K486" t="s">
        <v>16</v>
      </c>
      <c r="L486" t="s">
        <v>17</v>
      </c>
      <c r="M486">
        <f>IF(Table1[[#This Row],[ألغى الاشتراك]]="نعم",1,0)</f>
        <v>0</v>
      </c>
      <c r="N486">
        <f>IF(Table1[[#This Row],[وسيلة الدفع]]="بطاقة",1,0)</f>
        <v>0</v>
      </c>
      <c r="O486">
        <f>IF(Table1[[#This Row],[وسيلة الدفع]]="محفظة",1,0)</f>
        <v>1</v>
      </c>
      <c r="P486">
        <f>IF(Table1[[#This Row],[وسيلة الدفع]]="تحويل",1,0)</f>
        <v>0</v>
      </c>
      <c r="Q486">
        <f>IF(Table1[[#This Row],[حضر التهيئة]]="نعم",1,0)</f>
        <v>1</v>
      </c>
      <c r="R486">
        <f>IF(Table1[[#This Row],[دورة الفوترة]]="شهري",1,0)</f>
        <v>1</v>
      </c>
    </row>
    <row r="487" spans="1:18" x14ac:dyDescent="0.25">
      <c r="A487" t="s">
        <v>507</v>
      </c>
      <c r="B487" s="1">
        <v>45965</v>
      </c>
      <c r="C487" t="s">
        <v>28</v>
      </c>
      <c r="D487">
        <v>39</v>
      </c>
      <c r="E487" t="s">
        <v>20</v>
      </c>
      <c r="F487">
        <v>19</v>
      </c>
      <c r="G487" t="s">
        <v>21</v>
      </c>
      <c r="H487">
        <v>6</v>
      </c>
      <c r="I487">
        <v>53</v>
      </c>
      <c r="J487">
        <v>0</v>
      </c>
      <c r="K487" t="s">
        <v>16</v>
      </c>
      <c r="L487" t="s">
        <v>16</v>
      </c>
      <c r="M487">
        <f>IF(Table1[[#This Row],[ألغى الاشتراك]]="نعم",1,0)</f>
        <v>1</v>
      </c>
      <c r="N487">
        <f>IF(Table1[[#This Row],[وسيلة الدفع]]="بطاقة",1,0)</f>
        <v>0</v>
      </c>
      <c r="O487">
        <f>IF(Table1[[#This Row],[وسيلة الدفع]]="محفظة",1,0)</f>
        <v>1</v>
      </c>
      <c r="P487">
        <f>IF(Table1[[#This Row],[وسيلة الدفع]]="تحويل",1,0)</f>
        <v>0</v>
      </c>
      <c r="Q487">
        <f>IF(Table1[[#This Row],[حضر التهيئة]]="نعم",1,0)</f>
        <v>1</v>
      </c>
      <c r="R487">
        <f>IF(Table1[[#This Row],[دورة الفوترة]]="شهري",1,0)</f>
        <v>0</v>
      </c>
    </row>
    <row r="488" spans="1:18" x14ac:dyDescent="0.25">
      <c r="A488" t="s">
        <v>508</v>
      </c>
      <c r="B488" s="1">
        <v>45631</v>
      </c>
      <c r="C488" t="s">
        <v>13</v>
      </c>
      <c r="D488">
        <v>89</v>
      </c>
      <c r="E488" t="s">
        <v>20</v>
      </c>
      <c r="F488">
        <v>8</v>
      </c>
      <c r="G488" t="s">
        <v>15</v>
      </c>
      <c r="H488">
        <v>0</v>
      </c>
      <c r="I488">
        <v>58</v>
      </c>
      <c r="J488">
        <v>0</v>
      </c>
      <c r="K488" t="s">
        <v>16</v>
      </c>
      <c r="L488" t="s">
        <v>17</v>
      </c>
      <c r="M488">
        <f>IF(Table1[[#This Row],[ألغى الاشتراك]]="نعم",1,0)</f>
        <v>0</v>
      </c>
      <c r="N488">
        <f>IF(Table1[[#This Row],[وسيلة الدفع]]="بطاقة",1,0)</f>
        <v>1</v>
      </c>
      <c r="O488">
        <f>IF(Table1[[#This Row],[وسيلة الدفع]]="محفظة",1,0)</f>
        <v>0</v>
      </c>
      <c r="P488">
        <f>IF(Table1[[#This Row],[وسيلة الدفع]]="تحويل",1,0)</f>
        <v>0</v>
      </c>
      <c r="Q488">
        <f>IF(Table1[[#This Row],[حضر التهيئة]]="نعم",1,0)</f>
        <v>1</v>
      </c>
      <c r="R488">
        <f>IF(Table1[[#This Row],[دورة الفوترة]]="شهري",1,0)</f>
        <v>0</v>
      </c>
    </row>
    <row r="489" spans="1:18" x14ac:dyDescent="0.25">
      <c r="A489" t="s">
        <v>509</v>
      </c>
      <c r="B489" s="1">
        <v>45683</v>
      </c>
      <c r="C489" t="s">
        <v>13</v>
      </c>
      <c r="D489">
        <v>89</v>
      </c>
      <c r="E489" t="s">
        <v>14</v>
      </c>
      <c r="F489">
        <v>1</v>
      </c>
      <c r="G489" t="s">
        <v>15</v>
      </c>
      <c r="H489">
        <v>1</v>
      </c>
      <c r="I489">
        <v>31</v>
      </c>
      <c r="J489">
        <v>0</v>
      </c>
      <c r="K489" t="s">
        <v>16</v>
      </c>
      <c r="L489" t="s">
        <v>16</v>
      </c>
      <c r="M489">
        <f>IF(Table1[[#This Row],[ألغى الاشتراك]]="نعم",1,0)</f>
        <v>1</v>
      </c>
      <c r="N489">
        <f>IF(Table1[[#This Row],[وسيلة الدفع]]="بطاقة",1,0)</f>
        <v>1</v>
      </c>
      <c r="O489">
        <f>IF(Table1[[#This Row],[وسيلة الدفع]]="محفظة",1,0)</f>
        <v>0</v>
      </c>
      <c r="P489">
        <f>IF(Table1[[#This Row],[وسيلة الدفع]]="تحويل",1,0)</f>
        <v>0</v>
      </c>
      <c r="Q489">
        <f>IF(Table1[[#This Row],[حضر التهيئة]]="نعم",1,0)</f>
        <v>1</v>
      </c>
      <c r="R489">
        <f>IF(Table1[[#This Row],[دورة الفوترة]]="شهري",1,0)</f>
        <v>1</v>
      </c>
    </row>
    <row r="490" spans="1:18" x14ac:dyDescent="0.25">
      <c r="A490" t="s">
        <v>510</v>
      </c>
      <c r="B490" s="1">
        <v>45462</v>
      </c>
      <c r="C490" t="s">
        <v>19</v>
      </c>
      <c r="D490">
        <v>189</v>
      </c>
      <c r="E490" t="s">
        <v>20</v>
      </c>
      <c r="F490">
        <v>26</v>
      </c>
      <c r="G490" t="s">
        <v>15</v>
      </c>
      <c r="H490">
        <v>10</v>
      </c>
      <c r="I490">
        <v>32</v>
      </c>
      <c r="J490">
        <v>0</v>
      </c>
      <c r="K490" t="s">
        <v>16</v>
      </c>
      <c r="L490" t="s">
        <v>17</v>
      </c>
      <c r="M490">
        <f>IF(Table1[[#This Row],[ألغى الاشتراك]]="نعم",1,0)</f>
        <v>0</v>
      </c>
      <c r="N490">
        <f>IF(Table1[[#This Row],[وسيلة الدفع]]="بطاقة",1,0)</f>
        <v>1</v>
      </c>
      <c r="O490">
        <f>IF(Table1[[#This Row],[وسيلة الدفع]]="محفظة",1,0)</f>
        <v>0</v>
      </c>
      <c r="P490">
        <f>IF(Table1[[#This Row],[وسيلة الدفع]]="تحويل",1,0)</f>
        <v>0</v>
      </c>
      <c r="Q490">
        <f>IF(Table1[[#This Row],[حضر التهيئة]]="نعم",1,0)</f>
        <v>1</v>
      </c>
      <c r="R490">
        <f>IF(Table1[[#This Row],[دورة الفوترة]]="شهري",1,0)</f>
        <v>0</v>
      </c>
    </row>
    <row r="491" spans="1:18" x14ac:dyDescent="0.25">
      <c r="A491" t="s">
        <v>511</v>
      </c>
      <c r="B491" s="1">
        <v>45842</v>
      </c>
      <c r="C491" t="s">
        <v>28</v>
      </c>
      <c r="D491">
        <v>39</v>
      </c>
      <c r="E491" t="s">
        <v>14</v>
      </c>
      <c r="F491">
        <v>19</v>
      </c>
      <c r="G491" t="s">
        <v>23</v>
      </c>
      <c r="H491">
        <v>2</v>
      </c>
      <c r="I491">
        <v>55</v>
      </c>
      <c r="J491">
        <v>0</v>
      </c>
      <c r="K491" t="s">
        <v>16</v>
      </c>
      <c r="L491" t="s">
        <v>17</v>
      </c>
      <c r="M491">
        <f>IF(Table1[[#This Row],[ألغى الاشتراك]]="نعم",1,0)</f>
        <v>0</v>
      </c>
      <c r="N491">
        <f>IF(Table1[[#This Row],[وسيلة الدفع]]="بطاقة",1,0)</f>
        <v>0</v>
      </c>
      <c r="O491">
        <f>IF(Table1[[#This Row],[وسيلة الدفع]]="محفظة",1,0)</f>
        <v>0</v>
      </c>
      <c r="P491">
        <f>IF(Table1[[#This Row],[وسيلة الدفع]]="تحويل",1,0)</f>
        <v>1</v>
      </c>
      <c r="Q491">
        <f>IF(Table1[[#This Row],[حضر التهيئة]]="نعم",1,0)</f>
        <v>1</v>
      </c>
      <c r="R491">
        <f>IF(Table1[[#This Row],[دورة الفوترة]]="شهري",1,0)</f>
        <v>1</v>
      </c>
    </row>
    <row r="492" spans="1:18" x14ac:dyDescent="0.25">
      <c r="A492" t="s">
        <v>512</v>
      </c>
      <c r="B492" s="1">
        <v>45918</v>
      </c>
      <c r="C492" t="s">
        <v>19</v>
      </c>
      <c r="D492">
        <v>189</v>
      </c>
      <c r="E492" t="s">
        <v>20</v>
      </c>
      <c r="F492">
        <v>8</v>
      </c>
      <c r="G492" t="s">
        <v>21</v>
      </c>
      <c r="H492">
        <v>0</v>
      </c>
      <c r="I492">
        <v>30</v>
      </c>
      <c r="J492">
        <v>5</v>
      </c>
      <c r="K492" t="s">
        <v>16</v>
      </c>
      <c r="L492" t="s">
        <v>17</v>
      </c>
      <c r="M492">
        <f>IF(Table1[[#This Row],[ألغى الاشتراك]]="نعم",1,0)</f>
        <v>0</v>
      </c>
      <c r="N492">
        <f>IF(Table1[[#This Row],[وسيلة الدفع]]="بطاقة",1,0)</f>
        <v>0</v>
      </c>
      <c r="O492">
        <f>IF(Table1[[#This Row],[وسيلة الدفع]]="محفظة",1,0)</f>
        <v>1</v>
      </c>
      <c r="P492">
        <f>IF(Table1[[#This Row],[وسيلة الدفع]]="تحويل",1,0)</f>
        <v>0</v>
      </c>
      <c r="Q492">
        <f>IF(Table1[[#This Row],[حضر التهيئة]]="نعم",1,0)</f>
        <v>1</v>
      </c>
      <c r="R492">
        <f>IF(Table1[[#This Row],[دورة الفوترة]]="شهري",1,0)</f>
        <v>0</v>
      </c>
    </row>
    <row r="493" spans="1:18" x14ac:dyDescent="0.25">
      <c r="A493" t="s">
        <v>513</v>
      </c>
      <c r="B493" s="1">
        <v>45329</v>
      </c>
      <c r="C493" t="s">
        <v>28</v>
      </c>
      <c r="D493">
        <v>39</v>
      </c>
      <c r="E493" t="s">
        <v>14</v>
      </c>
      <c r="F493">
        <v>12</v>
      </c>
      <c r="G493" t="s">
        <v>23</v>
      </c>
      <c r="H493">
        <v>4</v>
      </c>
      <c r="I493">
        <v>28</v>
      </c>
      <c r="J493">
        <v>0</v>
      </c>
      <c r="K493" t="s">
        <v>16</v>
      </c>
      <c r="L493" t="s">
        <v>17</v>
      </c>
      <c r="M493">
        <f>IF(Table1[[#This Row],[ألغى الاشتراك]]="نعم",1,0)</f>
        <v>0</v>
      </c>
      <c r="N493">
        <f>IF(Table1[[#This Row],[وسيلة الدفع]]="بطاقة",1,0)</f>
        <v>0</v>
      </c>
      <c r="O493">
        <f>IF(Table1[[#This Row],[وسيلة الدفع]]="محفظة",1,0)</f>
        <v>0</v>
      </c>
      <c r="P493">
        <f>IF(Table1[[#This Row],[وسيلة الدفع]]="تحويل",1,0)</f>
        <v>1</v>
      </c>
      <c r="Q493">
        <f>IF(Table1[[#This Row],[حضر التهيئة]]="نعم",1,0)</f>
        <v>1</v>
      </c>
      <c r="R493">
        <f>IF(Table1[[#This Row],[دورة الفوترة]]="شهري",1,0)</f>
        <v>1</v>
      </c>
    </row>
    <row r="494" spans="1:18" x14ac:dyDescent="0.25">
      <c r="A494" t="s">
        <v>514</v>
      </c>
      <c r="B494" s="1">
        <v>45724</v>
      </c>
      <c r="C494" t="s">
        <v>13</v>
      </c>
      <c r="D494">
        <v>89</v>
      </c>
      <c r="E494" t="s">
        <v>14</v>
      </c>
      <c r="F494">
        <v>7</v>
      </c>
      <c r="G494" t="s">
        <v>21</v>
      </c>
      <c r="H494">
        <v>0</v>
      </c>
      <c r="I494">
        <v>43</v>
      </c>
      <c r="J494">
        <v>0</v>
      </c>
      <c r="K494" t="s">
        <v>16</v>
      </c>
      <c r="L494" t="s">
        <v>17</v>
      </c>
      <c r="M494">
        <f>IF(Table1[[#This Row],[ألغى الاشتراك]]="نعم",1,0)</f>
        <v>0</v>
      </c>
      <c r="N494">
        <f>IF(Table1[[#This Row],[وسيلة الدفع]]="بطاقة",1,0)</f>
        <v>0</v>
      </c>
      <c r="O494">
        <f>IF(Table1[[#This Row],[وسيلة الدفع]]="محفظة",1,0)</f>
        <v>1</v>
      </c>
      <c r="P494">
        <f>IF(Table1[[#This Row],[وسيلة الدفع]]="تحويل",1,0)</f>
        <v>0</v>
      </c>
      <c r="Q494">
        <f>IF(Table1[[#This Row],[حضر التهيئة]]="نعم",1,0)</f>
        <v>1</v>
      </c>
      <c r="R494">
        <f>IF(Table1[[#This Row],[دورة الفوترة]]="شهري",1,0)</f>
        <v>1</v>
      </c>
    </row>
    <row r="495" spans="1:18" x14ac:dyDescent="0.25">
      <c r="A495" t="s">
        <v>515</v>
      </c>
      <c r="B495" s="1">
        <v>45395</v>
      </c>
      <c r="C495" t="s">
        <v>13</v>
      </c>
      <c r="D495">
        <v>89</v>
      </c>
      <c r="E495" t="s">
        <v>14</v>
      </c>
      <c r="F495">
        <v>24</v>
      </c>
      <c r="G495" t="s">
        <v>23</v>
      </c>
      <c r="H495">
        <v>2</v>
      </c>
      <c r="I495">
        <v>44</v>
      </c>
      <c r="J495">
        <v>0</v>
      </c>
      <c r="K495" t="s">
        <v>16</v>
      </c>
      <c r="L495" t="s">
        <v>17</v>
      </c>
      <c r="M495">
        <f>IF(Table1[[#This Row],[ألغى الاشتراك]]="نعم",1,0)</f>
        <v>0</v>
      </c>
      <c r="N495">
        <f>IF(Table1[[#This Row],[وسيلة الدفع]]="بطاقة",1,0)</f>
        <v>0</v>
      </c>
      <c r="O495">
        <f>IF(Table1[[#This Row],[وسيلة الدفع]]="محفظة",1,0)</f>
        <v>0</v>
      </c>
      <c r="P495">
        <f>IF(Table1[[#This Row],[وسيلة الدفع]]="تحويل",1,0)</f>
        <v>1</v>
      </c>
      <c r="Q495">
        <f>IF(Table1[[#This Row],[حضر التهيئة]]="نعم",1,0)</f>
        <v>1</v>
      </c>
      <c r="R495">
        <f>IF(Table1[[#This Row],[دورة الفوترة]]="شهري",1,0)</f>
        <v>1</v>
      </c>
    </row>
    <row r="496" spans="1:18" x14ac:dyDescent="0.25">
      <c r="A496" t="s">
        <v>516</v>
      </c>
      <c r="B496" s="1">
        <v>45926</v>
      </c>
      <c r="C496" t="s">
        <v>28</v>
      </c>
      <c r="D496">
        <v>39</v>
      </c>
      <c r="E496" t="s">
        <v>14</v>
      </c>
      <c r="F496">
        <v>7</v>
      </c>
      <c r="G496" t="s">
        <v>21</v>
      </c>
      <c r="H496">
        <v>0</v>
      </c>
      <c r="I496">
        <v>39</v>
      </c>
      <c r="J496">
        <v>0</v>
      </c>
      <c r="K496" t="s">
        <v>17</v>
      </c>
      <c r="L496" t="s">
        <v>17</v>
      </c>
      <c r="M496">
        <f>IF(Table1[[#This Row],[ألغى الاشتراك]]="نعم",1,0)</f>
        <v>0</v>
      </c>
      <c r="N496">
        <f>IF(Table1[[#This Row],[وسيلة الدفع]]="بطاقة",1,0)</f>
        <v>0</v>
      </c>
      <c r="O496">
        <f>IF(Table1[[#This Row],[وسيلة الدفع]]="محفظة",1,0)</f>
        <v>1</v>
      </c>
      <c r="P496">
        <f>IF(Table1[[#This Row],[وسيلة الدفع]]="تحويل",1,0)</f>
        <v>0</v>
      </c>
      <c r="Q496">
        <f>IF(Table1[[#This Row],[حضر التهيئة]]="نعم",1,0)</f>
        <v>0</v>
      </c>
      <c r="R496">
        <f>IF(Table1[[#This Row],[دورة الفوترة]]="شهري",1,0)</f>
        <v>1</v>
      </c>
    </row>
    <row r="497" spans="1:18" x14ac:dyDescent="0.25">
      <c r="A497" t="s">
        <v>517</v>
      </c>
      <c r="B497" s="1">
        <v>45842</v>
      </c>
      <c r="C497" t="s">
        <v>13</v>
      </c>
      <c r="D497">
        <v>89</v>
      </c>
      <c r="E497" t="s">
        <v>14</v>
      </c>
      <c r="F497">
        <v>4</v>
      </c>
      <c r="G497" t="s">
        <v>23</v>
      </c>
      <c r="H497">
        <v>0</v>
      </c>
      <c r="I497">
        <v>10</v>
      </c>
      <c r="J497">
        <v>15</v>
      </c>
      <c r="K497" t="s">
        <v>16</v>
      </c>
      <c r="L497" t="s">
        <v>17</v>
      </c>
      <c r="M497">
        <f>IF(Table1[[#This Row],[ألغى الاشتراك]]="نعم",1,0)</f>
        <v>0</v>
      </c>
      <c r="N497">
        <f>IF(Table1[[#This Row],[وسيلة الدفع]]="بطاقة",1,0)</f>
        <v>0</v>
      </c>
      <c r="O497">
        <f>IF(Table1[[#This Row],[وسيلة الدفع]]="محفظة",1,0)</f>
        <v>0</v>
      </c>
      <c r="P497">
        <f>IF(Table1[[#This Row],[وسيلة الدفع]]="تحويل",1,0)</f>
        <v>1</v>
      </c>
      <c r="Q497">
        <f>IF(Table1[[#This Row],[حضر التهيئة]]="نعم",1,0)</f>
        <v>1</v>
      </c>
      <c r="R497">
        <f>IF(Table1[[#This Row],[دورة الفوترة]]="شهري",1,0)</f>
        <v>1</v>
      </c>
    </row>
    <row r="498" spans="1:18" x14ac:dyDescent="0.25">
      <c r="A498" t="s">
        <v>518</v>
      </c>
      <c r="B498" s="1">
        <v>45383</v>
      </c>
      <c r="C498" t="s">
        <v>13</v>
      </c>
      <c r="D498">
        <v>89</v>
      </c>
      <c r="E498" t="s">
        <v>14</v>
      </c>
      <c r="F498">
        <v>2</v>
      </c>
      <c r="G498" t="s">
        <v>15</v>
      </c>
      <c r="H498">
        <v>1</v>
      </c>
      <c r="I498">
        <v>28</v>
      </c>
      <c r="J498">
        <v>0</v>
      </c>
      <c r="K498" t="s">
        <v>16</v>
      </c>
      <c r="L498" t="s">
        <v>17</v>
      </c>
      <c r="M498">
        <f>IF(Table1[[#This Row],[ألغى الاشتراك]]="نعم",1,0)</f>
        <v>0</v>
      </c>
      <c r="N498">
        <f>IF(Table1[[#This Row],[وسيلة الدفع]]="بطاقة",1,0)</f>
        <v>1</v>
      </c>
      <c r="O498">
        <f>IF(Table1[[#This Row],[وسيلة الدفع]]="محفظة",1,0)</f>
        <v>0</v>
      </c>
      <c r="P498">
        <f>IF(Table1[[#This Row],[وسيلة الدفع]]="تحويل",1,0)</f>
        <v>0</v>
      </c>
      <c r="Q498">
        <f>IF(Table1[[#This Row],[حضر التهيئة]]="نعم",1,0)</f>
        <v>1</v>
      </c>
      <c r="R498">
        <f>IF(Table1[[#This Row],[دورة الفوترة]]="شهري",1,0)</f>
        <v>1</v>
      </c>
    </row>
    <row r="499" spans="1:18" x14ac:dyDescent="0.25">
      <c r="A499" t="s">
        <v>519</v>
      </c>
      <c r="B499" s="1">
        <v>45910</v>
      </c>
      <c r="C499" t="s">
        <v>13</v>
      </c>
      <c r="D499">
        <v>89</v>
      </c>
      <c r="E499" t="s">
        <v>14</v>
      </c>
      <c r="F499">
        <v>19</v>
      </c>
      <c r="G499" t="s">
        <v>15</v>
      </c>
      <c r="H499">
        <v>1</v>
      </c>
      <c r="I499">
        <v>27</v>
      </c>
      <c r="J499">
        <v>0</v>
      </c>
      <c r="K499" t="s">
        <v>16</v>
      </c>
      <c r="L499" t="s">
        <v>17</v>
      </c>
      <c r="M499">
        <f>IF(Table1[[#This Row],[ألغى الاشتراك]]="نعم",1,0)</f>
        <v>0</v>
      </c>
      <c r="N499">
        <f>IF(Table1[[#This Row],[وسيلة الدفع]]="بطاقة",1,0)</f>
        <v>1</v>
      </c>
      <c r="O499">
        <f>IF(Table1[[#This Row],[وسيلة الدفع]]="محفظة",1,0)</f>
        <v>0</v>
      </c>
      <c r="P499">
        <f>IF(Table1[[#This Row],[وسيلة الدفع]]="تحويل",1,0)</f>
        <v>0</v>
      </c>
      <c r="Q499">
        <f>IF(Table1[[#This Row],[حضر التهيئة]]="نعم",1,0)</f>
        <v>1</v>
      </c>
      <c r="R499">
        <f>IF(Table1[[#This Row],[دورة الفوترة]]="شهري",1,0)</f>
        <v>1</v>
      </c>
    </row>
    <row r="500" spans="1:18" x14ac:dyDescent="0.25">
      <c r="A500" t="s">
        <v>520</v>
      </c>
      <c r="B500" s="1">
        <v>45862</v>
      </c>
      <c r="C500" t="s">
        <v>28</v>
      </c>
      <c r="D500">
        <v>39</v>
      </c>
      <c r="E500" t="s">
        <v>14</v>
      </c>
      <c r="F500">
        <v>8</v>
      </c>
      <c r="G500" t="s">
        <v>15</v>
      </c>
      <c r="H500">
        <v>1</v>
      </c>
      <c r="I500">
        <v>26</v>
      </c>
      <c r="J500">
        <v>15</v>
      </c>
      <c r="K500" t="s">
        <v>16</v>
      </c>
      <c r="L500" t="s">
        <v>17</v>
      </c>
      <c r="M500">
        <f>IF(Table1[[#This Row],[ألغى الاشتراك]]="نعم",1,0)</f>
        <v>0</v>
      </c>
      <c r="N500">
        <f>IF(Table1[[#This Row],[وسيلة الدفع]]="بطاقة",1,0)</f>
        <v>1</v>
      </c>
      <c r="O500">
        <f>IF(Table1[[#This Row],[وسيلة الدفع]]="محفظة",1,0)</f>
        <v>0</v>
      </c>
      <c r="P500">
        <f>IF(Table1[[#This Row],[وسيلة الدفع]]="تحويل",1,0)</f>
        <v>0</v>
      </c>
      <c r="Q500">
        <f>IF(Table1[[#This Row],[حضر التهيئة]]="نعم",1,0)</f>
        <v>1</v>
      </c>
      <c r="R500">
        <f>IF(Table1[[#This Row],[دورة الفوترة]]="شهري",1,0)</f>
        <v>1</v>
      </c>
    </row>
    <row r="501" spans="1:18" x14ac:dyDescent="0.25">
      <c r="A501" t="s">
        <v>521</v>
      </c>
      <c r="B501" s="1">
        <v>45902</v>
      </c>
      <c r="C501" t="s">
        <v>19</v>
      </c>
      <c r="D501">
        <v>189</v>
      </c>
      <c r="E501" t="s">
        <v>14</v>
      </c>
      <c r="F501">
        <v>22</v>
      </c>
      <c r="G501" t="s">
        <v>15</v>
      </c>
      <c r="H501">
        <v>1</v>
      </c>
      <c r="I501">
        <v>10</v>
      </c>
      <c r="J501">
        <v>5</v>
      </c>
      <c r="K501" t="s">
        <v>17</v>
      </c>
      <c r="L501" t="s">
        <v>16</v>
      </c>
      <c r="M501">
        <f>IF(Table1[[#This Row],[ألغى الاشتراك]]="نعم",1,0)</f>
        <v>1</v>
      </c>
      <c r="N501">
        <f>IF(Table1[[#This Row],[وسيلة الدفع]]="بطاقة",1,0)</f>
        <v>1</v>
      </c>
      <c r="O501">
        <f>IF(Table1[[#This Row],[وسيلة الدفع]]="محفظة",1,0)</f>
        <v>0</v>
      </c>
      <c r="P501">
        <f>IF(Table1[[#This Row],[وسيلة الدفع]]="تحويل",1,0)</f>
        <v>0</v>
      </c>
      <c r="Q501">
        <f>IF(Table1[[#This Row],[حضر التهيئة]]="نعم",1,0)</f>
        <v>0</v>
      </c>
      <c r="R501">
        <f>IF(Table1[[#This Row],[دورة الفوترة]]="شهري",1,0)</f>
        <v>1</v>
      </c>
    </row>
    <row r="502" spans="1:18" x14ac:dyDescent="0.25">
      <c r="A502" t="s">
        <v>522</v>
      </c>
      <c r="B502" s="1">
        <v>45568</v>
      </c>
      <c r="C502" t="s">
        <v>13</v>
      </c>
      <c r="D502">
        <v>89</v>
      </c>
      <c r="E502" t="s">
        <v>20</v>
      </c>
      <c r="F502">
        <v>24</v>
      </c>
      <c r="G502" t="s">
        <v>21</v>
      </c>
      <c r="H502">
        <v>1</v>
      </c>
      <c r="I502">
        <v>10</v>
      </c>
      <c r="J502">
        <v>0</v>
      </c>
      <c r="K502" t="s">
        <v>16</v>
      </c>
      <c r="L502" t="s">
        <v>17</v>
      </c>
      <c r="M502">
        <f>IF(Table1[[#This Row],[ألغى الاشتراك]]="نعم",1,0)</f>
        <v>0</v>
      </c>
      <c r="N502">
        <f>IF(Table1[[#This Row],[وسيلة الدفع]]="بطاقة",1,0)</f>
        <v>0</v>
      </c>
      <c r="O502">
        <f>IF(Table1[[#This Row],[وسيلة الدفع]]="محفظة",1,0)</f>
        <v>1</v>
      </c>
      <c r="P502">
        <f>IF(Table1[[#This Row],[وسيلة الدفع]]="تحويل",1,0)</f>
        <v>0</v>
      </c>
      <c r="Q502">
        <f>IF(Table1[[#This Row],[حضر التهيئة]]="نعم",1,0)</f>
        <v>1</v>
      </c>
      <c r="R502">
        <f>IF(Table1[[#This Row],[دورة الفوترة]]="شهري",1,0)</f>
        <v>0</v>
      </c>
    </row>
    <row r="503" spans="1:18" x14ac:dyDescent="0.25">
      <c r="A503" t="s">
        <v>523</v>
      </c>
      <c r="B503" s="1">
        <v>45720</v>
      </c>
      <c r="C503" t="s">
        <v>13</v>
      </c>
      <c r="D503">
        <v>89</v>
      </c>
      <c r="E503" t="s">
        <v>20</v>
      </c>
      <c r="F503">
        <v>3</v>
      </c>
      <c r="G503" t="s">
        <v>15</v>
      </c>
      <c r="H503">
        <v>8</v>
      </c>
      <c r="I503">
        <v>15</v>
      </c>
      <c r="J503">
        <v>0</v>
      </c>
      <c r="K503" t="s">
        <v>17</v>
      </c>
      <c r="L503" t="s">
        <v>17</v>
      </c>
      <c r="M503">
        <f>IF(Table1[[#This Row],[ألغى الاشتراك]]="نعم",1,0)</f>
        <v>0</v>
      </c>
      <c r="N503">
        <f>IF(Table1[[#This Row],[وسيلة الدفع]]="بطاقة",1,0)</f>
        <v>1</v>
      </c>
      <c r="O503">
        <f>IF(Table1[[#This Row],[وسيلة الدفع]]="محفظة",1,0)</f>
        <v>0</v>
      </c>
      <c r="P503">
        <f>IF(Table1[[#This Row],[وسيلة الدفع]]="تحويل",1,0)</f>
        <v>0</v>
      </c>
      <c r="Q503">
        <f>IF(Table1[[#This Row],[حضر التهيئة]]="نعم",1,0)</f>
        <v>0</v>
      </c>
      <c r="R503">
        <f>IF(Table1[[#This Row],[دورة الفوترة]]="شهري",1,0)</f>
        <v>0</v>
      </c>
    </row>
    <row r="504" spans="1:18" x14ac:dyDescent="0.25">
      <c r="A504" t="s">
        <v>524</v>
      </c>
      <c r="B504" s="1">
        <v>45391</v>
      </c>
      <c r="C504" t="s">
        <v>28</v>
      </c>
      <c r="D504">
        <v>39</v>
      </c>
      <c r="E504" t="s">
        <v>14</v>
      </c>
      <c r="F504">
        <v>2</v>
      </c>
      <c r="G504" t="s">
        <v>23</v>
      </c>
      <c r="H504">
        <v>0</v>
      </c>
      <c r="I504">
        <v>38</v>
      </c>
      <c r="J504">
        <v>0</v>
      </c>
      <c r="K504" t="s">
        <v>16</v>
      </c>
      <c r="L504" t="s">
        <v>17</v>
      </c>
      <c r="M504">
        <f>IF(Table1[[#This Row],[ألغى الاشتراك]]="نعم",1,0)</f>
        <v>0</v>
      </c>
      <c r="N504">
        <f>IF(Table1[[#This Row],[وسيلة الدفع]]="بطاقة",1,0)</f>
        <v>0</v>
      </c>
      <c r="O504">
        <f>IF(Table1[[#This Row],[وسيلة الدفع]]="محفظة",1,0)</f>
        <v>0</v>
      </c>
      <c r="P504">
        <f>IF(Table1[[#This Row],[وسيلة الدفع]]="تحويل",1,0)</f>
        <v>1</v>
      </c>
      <c r="Q504">
        <f>IF(Table1[[#This Row],[حضر التهيئة]]="نعم",1,0)</f>
        <v>1</v>
      </c>
      <c r="R504">
        <f>IF(Table1[[#This Row],[دورة الفوترة]]="شهري",1,0)</f>
        <v>1</v>
      </c>
    </row>
    <row r="505" spans="1:18" x14ac:dyDescent="0.25">
      <c r="A505" t="s">
        <v>525</v>
      </c>
      <c r="B505" s="1">
        <v>45787</v>
      </c>
      <c r="C505" t="s">
        <v>13</v>
      </c>
      <c r="D505">
        <v>89</v>
      </c>
      <c r="E505" t="s">
        <v>20</v>
      </c>
      <c r="F505">
        <v>21</v>
      </c>
      <c r="G505" t="s">
        <v>23</v>
      </c>
      <c r="H505">
        <v>0</v>
      </c>
      <c r="I505">
        <v>21</v>
      </c>
      <c r="J505">
        <v>0</v>
      </c>
      <c r="K505" t="s">
        <v>17</v>
      </c>
      <c r="L505" t="s">
        <v>17</v>
      </c>
      <c r="M505">
        <f>IF(Table1[[#This Row],[ألغى الاشتراك]]="نعم",1,0)</f>
        <v>0</v>
      </c>
      <c r="N505">
        <f>IF(Table1[[#This Row],[وسيلة الدفع]]="بطاقة",1,0)</f>
        <v>0</v>
      </c>
      <c r="O505">
        <f>IF(Table1[[#This Row],[وسيلة الدفع]]="محفظة",1,0)</f>
        <v>0</v>
      </c>
      <c r="P505">
        <f>IF(Table1[[#This Row],[وسيلة الدفع]]="تحويل",1,0)</f>
        <v>1</v>
      </c>
      <c r="Q505">
        <f>IF(Table1[[#This Row],[حضر التهيئة]]="نعم",1,0)</f>
        <v>0</v>
      </c>
      <c r="R505">
        <f>IF(Table1[[#This Row],[دورة الفوترة]]="شهري",1,0)</f>
        <v>0</v>
      </c>
    </row>
    <row r="506" spans="1:18" x14ac:dyDescent="0.25">
      <c r="A506" t="s">
        <v>526</v>
      </c>
      <c r="B506" s="1">
        <v>45588</v>
      </c>
      <c r="C506" t="s">
        <v>13</v>
      </c>
      <c r="D506">
        <v>89</v>
      </c>
      <c r="E506" t="s">
        <v>14</v>
      </c>
      <c r="F506">
        <v>22</v>
      </c>
      <c r="G506" t="s">
        <v>15</v>
      </c>
      <c r="H506">
        <v>7</v>
      </c>
      <c r="I506">
        <v>46</v>
      </c>
      <c r="J506">
        <v>0</v>
      </c>
      <c r="K506" t="s">
        <v>16</v>
      </c>
      <c r="L506" t="s">
        <v>17</v>
      </c>
      <c r="M506">
        <f>IF(Table1[[#This Row],[ألغى الاشتراك]]="نعم",1,0)</f>
        <v>0</v>
      </c>
      <c r="N506">
        <f>IF(Table1[[#This Row],[وسيلة الدفع]]="بطاقة",1,0)</f>
        <v>1</v>
      </c>
      <c r="O506">
        <f>IF(Table1[[#This Row],[وسيلة الدفع]]="محفظة",1,0)</f>
        <v>0</v>
      </c>
      <c r="P506">
        <f>IF(Table1[[#This Row],[وسيلة الدفع]]="تحويل",1,0)</f>
        <v>0</v>
      </c>
      <c r="Q506">
        <f>IF(Table1[[#This Row],[حضر التهيئة]]="نعم",1,0)</f>
        <v>1</v>
      </c>
      <c r="R506">
        <f>IF(Table1[[#This Row],[دورة الفوترة]]="شهري",1,0)</f>
        <v>1</v>
      </c>
    </row>
    <row r="507" spans="1:18" x14ac:dyDescent="0.25">
      <c r="A507" t="s">
        <v>527</v>
      </c>
      <c r="B507" s="1">
        <v>45965</v>
      </c>
      <c r="C507" t="s">
        <v>19</v>
      </c>
      <c r="D507">
        <v>189</v>
      </c>
      <c r="E507" t="s">
        <v>14</v>
      </c>
      <c r="F507">
        <v>15</v>
      </c>
      <c r="G507" t="s">
        <v>23</v>
      </c>
      <c r="H507">
        <v>0</v>
      </c>
      <c r="I507">
        <v>13</v>
      </c>
      <c r="J507">
        <v>0</v>
      </c>
      <c r="K507" t="s">
        <v>17</v>
      </c>
      <c r="L507" t="s">
        <v>17</v>
      </c>
      <c r="M507">
        <f>IF(Table1[[#This Row],[ألغى الاشتراك]]="نعم",1,0)</f>
        <v>0</v>
      </c>
      <c r="N507">
        <f>IF(Table1[[#This Row],[وسيلة الدفع]]="بطاقة",1,0)</f>
        <v>0</v>
      </c>
      <c r="O507">
        <f>IF(Table1[[#This Row],[وسيلة الدفع]]="محفظة",1,0)</f>
        <v>0</v>
      </c>
      <c r="P507">
        <f>IF(Table1[[#This Row],[وسيلة الدفع]]="تحويل",1,0)</f>
        <v>1</v>
      </c>
      <c r="Q507">
        <f>IF(Table1[[#This Row],[حضر التهيئة]]="نعم",1,0)</f>
        <v>0</v>
      </c>
      <c r="R507">
        <f>IF(Table1[[#This Row],[دورة الفوترة]]="شهري",1,0)</f>
        <v>1</v>
      </c>
    </row>
    <row r="508" spans="1:18" x14ac:dyDescent="0.25">
      <c r="A508" t="s">
        <v>528</v>
      </c>
      <c r="B508" s="1">
        <v>45387</v>
      </c>
      <c r="C508" t="s">
        <v>19</v>
      </c>
      <c r="D508">
        <v>189</v>
      </c>
      <c r="E508" t="s">
        <v>20</v>
      </c>
      <c r="F508">
        <v>10</v>
      </c>
      <c r="G508" t="s">
        <v>23</v>
      </c>
      <c r="H508">
        <v>2</v>
      </c>
      <c r="I508">
        <v>18</v>
      </c>
      <c r="J508">
        <v>0</v>
      </c>
      <c r="K508" t="s">
        <v>16</v>
      </c>
      <c r="L508" t="s">
        <v>17</v>
      </c>
      <c r="M508">
        <f>IF(Table1[[#This Row],[ألغى الاشتراك]]="نعم",1,0)</f>
        <v>0</v>
      </c>
      <c r="N508">
        <f>IF(Table1[[#This Row],[وسيلة الدفع]]="بطاقة",1,0)</f>
        <v>0</v>
      </c>
      <c r="O508">
        <f>IF(Table1[[#This Row],[وسيلة الدفع]]="محفظة",1,0)</f>
        <v>0</v>
      </c>
      <c r="P508">
        <f>IF(Table1[[#This Row],[وسيلة الدفع]]="تحويل",1,0)</f>
        <v>1</v>
      </c>
      <c r="Q508">
        <f>IF(Table1[[#This Row],[حضر التهيئة]]="نعم",1,0)</f>
        <v>1</v>
      </c>
      <c r="R508">
        <f>IF(Table1[[#This Row],[دورة الفوترة]]="شهري",1,0)</f>
        <v>0</v>
      </c>
    </row>
    <row r="509" spans="1:18" x14ac:dyDescent="0.25">
      <c r="A509" t="s">
        <v>529</v>
      </c>
      <c r="B509" s="1">
        <v>45787</v>
      </c>
      <c r="C509" t="s">
        <v>28</v>
      </c>
      <c r="D509">
        <v>39</v>
      </c>
      <c r="E509" t="s">
        <v>20</v>
      </c>
      <c r="F509">
        <v>7</v>
      </c>
      <c r="G509" t="s">
        <v>15</v>
      </c>
      <c r="H509">
        <v>2</v>
      </c>
      <c r="I509">
        <v>3</v>
      </c>
      <c r="J509">
        <v>0</v>
      </c>
      <c r="K509" t="s">
        <v>17</v>
      </c>
      <c r="L509" t="s">
        <v>17</v>
      </c>
      <c r="M509">
        <f>IF(Table1[[#This Row],[ألغى الاشتراك]]="نعم",1,0)</f>
        <v>0</v>
      </c>
      <c r="N509">
        <f>IF(Table1[[#This Row],[وسيلة الدفع]]="بطاقة",1,0)</f>
        <v>1</v>
      </c>
      <c r="O509">
        <f>IF(Table1[[#This Row],[وسيلة الدفع]]="محفظة",1,0)</f>
        <v>0</v>
      </c>
      <c r="P509">
        <f>IF(Table1[[#This Row],[وسيلة الدفع]]="تحويل",1,0)</f>
        <v>0</v>
      </c>
      <c r="Q509">
        <f>IF(Table1[[#This Row],[حضر التهيئة]]="نعم",1,0)</f>
        <v>0</v>
      </c>
      <c r="R509">
        <f>IF(Table1[[#This Row],[دورة الفوترة]]="شهري",1,0)</f>
        <v>0</v>
      </c>
    </row>
    <row r="510" spans="1:18" x14ac:dyDescent="0.25">
      <c r="A510" t="s">
        <v>530</v>
      </c>
      <c r="B510" s="1">
        <v>45454</v>
      </c>
      <c r="C510" t="s">
        <v>28</v>
      </c>
      <c r="D510">
        <v>39</v>
      </c>
      <c r="E510" t="s">
        <v>20</v>
      </c>
      <c r="F510">
        <v>6</v>
      </c>
      <c r="G510" t="s">
        <v>21</v>
      </c>
      <c r="H510">
        <v>1</v>
      </c>
      <c r="I510">
        <v>36</v>
      </c>
      <c r="J510">
        <v>0</v>
      </c>
      <c r="K510" t="s">
        <v>16</v>
      </c>
      <c r="L510" t="s">
        <v>17</v>
      </c>
      <c r="M510">
        <f>IF(Table1[[#This Row],[ألغى الاشتراك]]="نعم",1,0)</f>
        <v>0</v>
      </c>
      <c r="N510">
        <f>IF(Table1[[#This Row],[وسيلة الدفع]]="بطاقة",1,0)</f>
        <v>0</v>
      </c>
      <c r="O510">
        <f>IF(Table1[[#This Row],[وسيلة الدفع]]="محفظة",1,0)</f>
        <v>1</v>
      </c>
      <c r="P510">
        <f>IF(Table1[[#This Row],[وسيلة الدفع]]="تحويل",1,0)</f>
        <v>0</v>
      </c>
      <c r="Q510">
        <f>IF(Table1[[#This Row],[حضر التهيئة]]="نعم",1,0)</f>
        <v>1</v>
      </c>
      <c r="R510">
        <f>IF(Table1[[#This Row],[دورة الفوترة]]="شهري",1,0)</f>
        <v>0</v>
      </c>
    </row>
    <row r="511" spans="1:18" x14ac:dyDescent="0.25">
      <c r="A511" t="s">
        <v>531</v>
      </c>
      <c r="B511" s="1">
        <v>45862</v>
      </c>
      <c r="C511" t="s">
        <v>28</v>
      </c>
      <c r="D511">
        <v>39</v>
      </c>
      <c r="E511" t="s">
        <v>20</v>
      </c>
      <c r="F511">
        <v>21</v>
      </c>
      <c r="G511" t="s">
        <v>15</v>
      </c>
      <c r="H511">
        <v>0</v>
      </c>
      <c r="I511">
        <v>51</v>
      </c>
      <c r="J511">
        <v>0</v>
      </c>
      <c r="K511" t="s">
        <v>17</v>
      </c>
      <c r="L511" t="s">
        <v>17</v>
      </c>
      <c r="M511">
        <f>IF(Table1[[#This Row],[ألغى الاشتراك]]="نعم",1,0)</f>
        <v>0</v>
      </c>
      <c r="N511">
        <f>IF(Table1[[#This Row],[وسيلة الدفع]]="بطاقة",1,0)</f>
        <v>1</v>
      </c>
      <c r="O511">
        <f>IF(Table1[[#This Row],[وسيلة الدفع]]="محفظة",1,0)</f>
        <v>0</v>
      </c>
      <c r="P511">
        <f>IF(Table1[[#This Row],[وسيلة الدفع]]="تحويل",1,0)</f>
        <v>0</v>
      </c>
      <c r="Q511">
        <f>IF(Table1[[#This Row],[حضر التهيئة]]="نعم",1,0)</f>
        <v>0</v>
      </c>
      <c r="R511">
        <f>IF(Table1[[#This Row],[دورة الفوترة]]="شهري",1,0)</f>
        <v>0</v>
      </c>
    </row>
    <row r="512" spans="1:18" x14ac:dyDescent="0.25">
      <c r="A512" t="s">
        <v>532</v>
      </c>
      <c r="B512" s="1">
        <v>45395</v>
      </c>
      <c r="C512" t="s">
        <v>13</v>
      </c>
      <c r="D512">
        <v>89</v>
      </c>
      <c r="E512" t="s">
        <v>20</v>
      </c>
      <c r="F512">
        <v>24</v>
      </c>
      <c r="G512" t="s">
        <v>21</v>
      </c>
      <c r="H512">
        <v>3</v>
      </c>
      <c r="I512">
        <v>46</v>
      </c>
      <c r="J512">
        <v>0</v>
      </c>
      <c r="K512" t="s">
        <v>17</v>
      </c>
      <c r="L512" t="s">
        <v>17</v>
      </c>
      <c r="M512">
        <f>IF(Table1[[#This Row],[ألغى الاشتراك]]="نعم",1,0)</f>
        <v>0</v>
      </c>
      <c r="N512">
        <f>IF(Table1[[#This Row],[وسيلة الدفع]]="بطاقة",1,0)</f>
        <v>0</v>
      </c>
      <c r="O512">
        <f>IF(Table1[[#This Row],[وسيلة الدفع]]="محفظة",1,0)</f>
        <v>1</v>
      </c>
      <c r="P512">
        <f>IF(Table1[[#This Row],[وسيلة الدفع]]="تحويل",1,0)</f>
        <v>0</v>
      </c>
      <c r="Q512">
        <f>IF(Table1[[#This Row],[حضر التهيئة]]="نعم",1,0)</f>
        <v>0</v>
      </c>
      <c r="R512">
        <f>IF(Table1[[#This Row],[دورة الفوترة]]="شهري",1,0)</f>
        <v>0</v>
      </c>
    </row>
    <row r="513" spans="1:18" x14ac:dyDescent="0.25">
      <c r="A513" t="s">
        <v>533</v>
      </c>
      <c r="B513" s="1">
        <v>45902</v>
      </c>
      <c r="C513" t="s">
        <v>13</v>
      </c>
      <c r="D513">
        <v>89</v>
      </c>
      <c r="E513" t="s">
        <v>20</v>
      </c>
      <c r="F513">
        <v>5</v>
      </c>
      <c r="G513" t="s">
        <v>23</v>
      </c>
      <c r="H513">
        <v>1</v>
      </c>
      <c r="I513">
        <v>43</v>
      </c>
      <c r="J513">
        <v>0</v>
      </c>
      <c r="K513" t="s">
        <v>16</v>
      </c>
      <c r="L513" t="s">
        <v>17</v>
      </c>
      <c r="M513">
        <f>IF(Table1[[#This Row],[ألغى الاشتراك]]="نعم",1,0)</f>
        <v>0</v>
      </c>
      <c r="N513">
        <f>IF(Table1[[#This Row],[وسيلة الدفع]]="بطاقة",1,0)</f>
        <v>0</v>
      </c>
      <c r="O513">
        <f>IF(Table1[[#This Row],[وسيلة الدفع]]="محفظة",1,0)</f>
        <v>0</v>
      </c>
      <c r="P513">
        <f>IF(Table1[[#This Row],[وسيلة الدفع]]="تحويل",1,0)</f>
        <v>1</v>
      </c>
      <c r="Q513">
        <f>IF(Table1[[#This Row],[حضر التهيئة]]="نعم",1,0)</f>
        <v>1</v>
      </c>
      <c r="R513">
        <f>IF(Table1[[#This Row],[دورة الفوترة]]="شهري",1,0)</f>
        <v>0</v>
      </c>
    </row>
    <row r="514" spans="1:18" x14ac:dyDescent="0.25">
      <c r="A514" t="s">
        <v>534</v>
      </c>
      <c r="B514" s="1">
        <v>45580</v>
      </c>
      <c r="C514" t="s">
        <v>28</v>
      </c>
      <c r="D514">
        <v>39</v>
      </c>
      <c r="E514" t="s">
        <v>14</v>
      </c>
      <c r="F514">
        <v>6</v>
      </c>
      <c r="G514" t="s">
        <v>21</v>
      </c>
      <c r="H514">
        <v>2</v>
      </c>
      <c r="I514">
        <v>56</v>
      </c>
      <c r="J514">
        <v>0</v>
      </c>
      <c r="K514" t="s">
        <v>17</v>
      </c>
      <c r="L514" t="s">
        <v>17</v>
      </c>
      <c r="M514">
        <f>IF(Table1[[#This Row],[ألغى الاشتراك]]="نعم",1,0)</f>
        <v>0</v>
      </c>
      <c r="N514">
        <f>IF(Table1[[#This Row],[وسيلة الدفع]]="بطاقة",1,0)</f>
        <v>0</v>
      </c>
      <c r="O514">
        <f>IF(Table1[[#This Row],[وسيلة الدفع]]="محفظة",1,0)</f>
        <v>1</v>
      </c>
      <c r="P514">
        <f>IF(Table1[[#This Row],[وسيلة الدفع]]="تحويل",1,0)</f>
        <v>0</v>
      </c>
      <c r="Q514">
        <f>IF(Table1[[#This Row],[حضر التهيئة]]="نعم",1,0)</f>
        <v>0</v>
      </c>
      <c r="R514">
        <f>IF(Table1[[#This Row],[دورة الفوترة]]="شهري",1,0)</f>
        <v>1</v>
      </c>
    </row>
    <row r="515" spans="1:18" x14ac:dyDescent="0.25">
      <c r="A515" t="s">
        <v>535</v>
      </c>
      <c r="B515" s="1">
        <v>45862</v>
      </c>
      <c r="C515" t="s">
        <v>13</v>
      </c>
      <c r="D515">
        <v>89</v>
      </c>
      <c r="E515" t="s">
        <v>20</v>
      </c>
      <c r="F515">
        <v>3</v>
      </c>
      <c r="G515" t="s">
        <v>15</v>
      </c>
      <c r="H515">
        <v>0</v>
      </c>
      <c r="I515">
        <v>51</v>
      </c>
      <c r="J515">
        <v>0</v>
      </c>
      <c r="K515" t="s">
        <v>16</v>
      </c>
      <c r="L515" t="s">
        <v>17</v>
      </c>
      <c r="M515">
        <f>IF(Table1[[#This Row],[ألغى الاشتراك]]="نعم",1,0)</f>
        <v>0</v>
      </c>
      <c r="N515">
        <f>IF(Table1[[#This Row],[وسيلة الدفع]]="بطاقة",1,0)</f>
        <v>1</v>
      </c>
      <c r="O515">
        <f>IF(Table1[[#This Row],[وسيلة الدفع]]="محفظة",1,0)</f>
        <v>0</v>
      </c>
      <c r="P515">
        <f>IF(Table1[[#This Row],[وسيلة الدفع]]="تحويل",1,0)</f>
        <v>0</v>
      </c>
      <c r="Q515">
        <f>IF(Table1[[#This Row],[حضر التهيئة]]="نعم",1,0)</f>
        <v>1</v>
      </c>
      <c r="R515">
        <f>IF(Table1[[#This Row],[دورة الفوترة]]="شهري",1,0)</f>
        <v>0</v>
      </c>
    </row>
    <row r="516" spans="1:18" x14ac:dyDescent="0.25">
      <c r="A516" t="s">
        <v>536</v>
      </c>
      <c r="B516" s="1">
        <v>45403</v>
      </c>
      <c r="C516" t="s">
        <v>19</v>
      </c>
      <c r="D516">
        <v>189</v>
      </c>
      <c r="E516" t="s">
        <v>14</v>
      </c>
      <c r="F516">
        <v>8</v>
      </c>
      <c r="G516" t="s">
        <v>15</v>
      </c>
      <c r="H516">
        <v>1</v>
      </c>
      <c r="I516">
        <v>26</v>
      </c>
      <c r="J516">
        <v>0</v>
      </c>
      <c r="K516" t="s">
        <v>17</v>
      </c>
      <c r="L516" t="s">
        <v>17</v>
      </c>
      <c r="M516">
        <f>IF(Table1[[#This Row],[ألغى الاشتراك]]="نعم",1,0)</f>
        <v>0</v>
      </c>
      <c r="N516">
        <f>IF(Table1[[#This Row],[وسيلة الدفع]]="بطاقة",1,0)</f>
        <v>1</v>
      </c>
      <c r="O516">
        <f>IF(Table1[[#This Row],[وسيلة الدفع]]="محفظة",1,0)</f>
        <v>0</v>
      </c>
      <c r="P516">
        <f>IF(Table1[[#This Row],[وسيلة الدفع]]="تحويل",1,0)</f>
        <v>0</v>
      </c>
      <c r="Q516">
        <f>IF(Table1[[#This Row],[حضر التهيئة]]="نعم",1,0)</f>
        <v>0</v>
      </c>
      <c r="R516">
        <f>IF(Table1[[#This Row],[دورة الفوترة]]="شهري",1,0)</f>
        <v>1</v>
      </c>
    </row>
    <row r="517" spans="1:18" x14ac:dyDescent="0.25">
      <c r="A517" t="s">
        <v>537</v>
      </c>
      <c r="B517" s="1">
        <v>45918</v>
      </c>
      <c r="C517" t="s">
        <v>13</v>
      </c>
      <c r="D517">
        <v>89</v>
      </c>
      <c r="E517" t="s">
        <v>20</v>
      </c>
      <c r="F517">
        <v>23</v>
      </c>
      <c r="G517" t="s">
        <v>15</v>
      </c>
      <c r="H517">
        <v>6</v>
      </c>
      <c r="I517">
        <v>57</v>
      </c>
      <c r="J517">
        <v>0</v>
      </c>
      <c r="K517" t="s">
        <v>16</v>
      </c>
      <c r="L517" t="s">
        <v>17</v>
      </c>
      <c r="M517">
        <f>IF(Table1[[#This Row],[ألغى الاشتراك]]="نعم",1,0)</f>
        <v>0</v>
      </c>
      <c r="N517">
        <f>IF(Table1[[#This Row],[وسيلة الدفع]]="بطاقة",1,0)</f>
        <v>1</v>
      </c>
      <c r="O517">
        <f>IF(Table1[[#This Row],[وسيلة الدفع]]="محفظة",1,0)</f>
        <v>0</v>
      </c>
      <c r="P517">
        <f>IF(Table1[[#This Row],[وسيلة الدفع]]="تحويل",1,0)</f>
        <v>0</v>
      </c>
      <c r="Q517">
        <f>IF(Table1[[#This Row],[حضر التهيئة]]="نعم",1,0)</f>
        <v>1</v>
      </c>
      <c r="R517">
        <f>IF(Table1[[#This Row],[دورة الفوترة]]="شهري",1,0)</f>
        <v>0</v>
      </c>
    </row>
    <row r="518" spans="1:18" x14ac:dyDescent="0.25">
      <c r="A518" t="s">
        <v>538</v>
      </c>
      <c r="B518" s="1">
        <v>45454</v>
      </c>
      <c r="C518" t="s">
        <v>13</v>
      </c>
      <c r="D518">
        <v>89</v>
      </c>
      <c r="E518" t="s">
        <v>14</v>
      </c>
      <c r="F518">
        <v>24</v>
      </c>
      <c r="G518" t="s">
        <v>23</v>
      </c>
      <c r="H518">
        <v>2</v>
      </c>
      <c r="I518">
        <v>58</v>
      </c>
      <c r="J518">
        <v>0</v>
      </c>
      <c r="K518" t="s">
        <v>16</v>
      </c>
      <c r="L518" t="s">
        <v>17</v>
      </c>
      <c r="M518">
        <f>IF(Table1[[#This Row],[ألغى الاشتراك]]="نعم",1,0)</f>
        <v>0</v>
      </c>
      <c r="N518">
        <f>IF(Table1[[#This Row],[وسيلة الدفع]]="بطاقة",1,0)</f>
        <v>0</v>
      </c>
      <c r="O518">
        <f>IF(Table1[[#This Row],[وسيلة الدفع]]="محفظة",1,0)</f>
        <v>0</v>
      </c>
      <c r="P518">
        <f>IF(Table1[[#This Row],[وسيلة الدفع]]="تحويل",1,0)</f>
        <v>1</v>
      </c>
      <c r="Q518">
        <f>IF(Table1[[#This Row],[حضر التهيئة]]="نعم",1,0)</f>
        <v>1</v>
      </c>
      <c r="R518">
        <f>IF(Table1[[#This Row],[دورة الفوترة]]="شهري",1,0)</f>
        <v>1</v>
      </c>
    </row>
    <row r="519" spans="1:18" x14ac:dyDescent="0.25">
      <c r="A519" t="s">
        <v>539</v>
      </c>
      <c r="B519" s="1">
        <v>45842</v>
      </c>
      <c r="C519" t="s">
        <v>28</v>
      </c>
      <c r="D519">
        <v>39</v>
      </c>
      <c r="E519" t="s">
        <v>14</v>
      </c>
      <c r="F519">
        <v>7</v>
      </c>
      <c r="G519" t="s">
        <v>23</v>
      </c>
      <c r="H519">
        <v>0</v>
      </c>
      <c r="I519">
        <v>59</v>
      </c>
      <c r="J519">
        <v>0</v>
      </c>
      <c r="K519" t="s">
        <v>16</v>
      </c>
      <c r="L519" t="s">
        <v>17</v>
      </c>
      <c r="M519">
        <f>IF(Table1[[#This Row],[ألغى الاشتراك]]="نعم",1,0)</f>
        <v>0</v>
      </c>
      <c r="N519">
        <f>IF(Table1[[#This Row],[وسيلة الدفع]]="بطاقة",1,0)</f>
        <v>0</v>
      </c>
      <c r="O519">
        <f>IF(Table1[[#This Row],[وسيلة الدفع]]="محفظة",1,0)</f>
        <v>0</v>
      </c>
      <c r="P519">
        <f>IF(Table1[[#This Row],[وسيلة الدفع]]="تحويل",1,0)</f>
        <v>1</v>
      </c>
      <c r="Q519">
        <f>IF(Table1[[#This Row],[حضر التهيئة]]="نعم",1,0)</f>
        <v>1</v>
      </c>
      <c r="R519">
        <f>IF(Table1[[#This Row],[دورة الفوترة]]="شهري",1,0)</f>
        <v>1</v>
      </c>
    </row>
    <row r="520" spans="1:18" x14ac:dyDescent="0.25">
      <c r="A520" t="s">
        <v>540</v>
      </c>
      <c r="B520" s="1">
        <v>45635</v>
      </c>
      <c r="C520" t="s">
        <v>13</v>
      </c>
      <c r="D520">
        <v>89</v>
      </c>
      <c r="E520" t="s">
        <v>14</v>
      </c>
      <c r="F520">
        <v>22</v>
      </c>
      <c r="G520" t="s">
        <v>15</v>
      </c>
      <c r="H520">
        <v>8</v>
      </c>
      <c r="I520">
        <v>44</v>
      </c>
      <c r="J520">
        <v>0</v>
      </c>
      <c r="K520" t="s">
        <v>17</v>
      </c>
      <c r="L520" t="s">
        <v>17</v>
      </c>
      <c r="M520">
        <f>IF(Table1[[#This Row],[ألغى الاشتراك]]="نعم",1,0)</f>
        <v>0</v>
      </c>
      <c r="N520">
        <f>IF(Table1[[#This Row],[وسيلة الدفع]]="بطاقة",1,0)</f>
        <v>1</v>
      </c>
      <c r="O520">
        <f>IF(Table1[[#This Row],[وسيلة الدفع]]="محفظة",1,0)</f>
        <v>0</v>
      </c>
      <c r="P520">
        <f>IF(Table1[[#This Row],[وسيلة الدفع]]="تحويل",1,0)</f>
        <v>0</v>
      </c>
      <c r="Q520">
        <f>IF(Table1[[#This Row],[حضر التهيئة]]="نعم",1,0)</f>
        <v>0</v>
      </c>
      <c r="R520">
        <f>IF(Table1[[#This Row],[دورة الفوترة]]="شهري",1,0)</f>
        <v>1</v>
      </c>
    </row>
    <row r="521" spans="1:18" x14ac:dyDescent="0.25">
      <c r="A521" t="s">
        <v>541</v>
      </c>
      <c r="B521" s="1">
        <v>45922</v>
      </c>
      <c r="C521" t="s">
        <v>19</v>
      </c>
      <c r="D521">
        <v>189</v>
      </c>
      <c r="E521" t="s">
        <v>20</v>
      </c>
      <c r="F521">
        <v>5</v>
      </c>
      <c r="G521" t="s">
        <v>23</v>
      </c>
      <c r="H521">
        <v>9</v>
      </c>
      <c r="I521">
        <v>53</v>
      </c>
      <c r="J521">
        <v>0</v>
      </c>
      <c r="K521" t="s">
        <v>16</v>
      </c>
      <c r="L521" t="s">
        <v>17</v>
      </c>
      <c r="M521">
        <f>IF(Table1[[#This Row],[ألغى الاشتراك]]="نعم",1,0)</f>
        <v>0</v>
      </c>
      <c r="N521">
        <f>IF(Table1[[#This Row],[وسيلة الدفع]]="بطاقة",1,0)</f>
        <v>0</v>
      </c>
      <c r="O521">
        <f>IF(Table1[[#This Row],[وسيلة الدفع]]="محفظة",1,0)</f>
        <v>0</v>
      </c>
      <c r="P521">
        <f>IF(Table1[[#This Row],[وسيلة الدفع]]="تحويل",1,0)</f>
        <v>1</v>
      </c>
      <c r="Q521">
        <f>IF(Table1[[#This Row],[حضر التهيئة]]="نعم",1,0)</f>
        <v>1</v>
      </c>
      <c r="R521">
        <f>IF(Table1[[#This Row],[دورة الفوترة]]="شهري",1,0)</f>
        <v>0</v>
      </c>
    </row>
    <row r="522" spans="1:18" x14ac:dyDescent="0.25">
      <c r="A522" t="s">
        <v>542</v>
      </c>
      <c r="B522" s="1">
        <v>45470</v>
      </c>
      <c r="C522" t="s">
        <v>13</v>
      </c>
      <c r="D522">
        <v>89</v>
      </c>
      <c r="E522" t="s">
        <v>14</v>
      </c>
      <c r="F522">
        <v>16</v>
      </c>
      <c r="G522" t="s">
        <v>23</v>
      </c>
      <c r="H522">
        <v>6</v>
      </c>
      <c r="I522">
        <v>30</v>
      </c>
      <c r="J522">
        <v>0</v>
      </c>
      <c r="K522" t="s">
        <v>16</v>
      </c>
      <c r="L522" t="s">
        <v>16</v>
      </c>
      <c r="M522">
        <f>IF(Table1[[#This Row],[ألغى الاشتراك]]="نعم",1,0)</f>
        <v>1</v>
      </c>
      <c r="N522">
        <f>IF(Table1[[#This Row],[وسيلة الدفع]]="بطاقة",1,0)</f>
        <v>0</v>
      </c>
      <c r="O522">
        <f>IF(Table1[[#This Row],[وسيلة الدفع]]="محفظة",1,0)</f>
        <v>0</v>
      </c>
      <c r="P522">
        <f>IF(Table1[[#This Row],[وسيلة الدفع]]="تحويل",1,0)</f>
        <v>1</v>
      </c>
      <c r="Q522">
        <f>IF(Table1[[#This Row],[حضر التهيئة]]="نعم",1,0)</f>
        <v>1</v>
      </c>
      <c r="R522">
        <f>IF(Table1[[#This Row],[دورة الفوترة]]="شهري",1,0)</f>
        <v>1</v>
      </c>
    </row>
    <row r="523" spans="1:18" x14ac:dyDescent="0.25">
      <c r="A523" t="s">
        <v>543</v>
      </c>
      <c r="B523" s="1">
        <v>45969</v>
      </c>
      <c r="C523" t="s">
        <v>19</v>
      </c>
      <c r="D523">
        <v>189</v>
      </c>
      <c r="E523" t="s">
        <v>20</v>
      </c>
      <c r="F523">
        <v>1</v>
      </c>
      <c r="G523" t="s">
        <v>23</v>
      </c>
      <c r="H523">
        <v>6</v>
      </c>
      <c r="I523">
        <v>27</v>
      </c>
      <c r="J523">
        <v>0</v>
      </c>
      <c r="K523" t="s">
        <v>17</v>
      </c>
      <c r="L523" t="s">
        <v>17</v>
      </c>
      <c r="M523">
        <f>IF(Table1[[#This Row],[ألغى الاشتراك]]="نعم",1,0)</f>
        <v>0</v>
      </c>
      <c r="N523">
        <f>IF(Table1[[#This Row],[وسيلة الدفع]]="بطاقة",1,0)</f>
        <v>0</v>
      </c>
      <c r="O523">
        <f>IF(Table1[[#This Row],[وسيلة الدفع]]="محفظة",1,0)</f>
        <v>0</v>
      </c>
      <c r="P523">
        <f>IF(Table1[[#This Row],[وسيلة الدفع]]="تحويل",1,0)</f>
        <v>1</v>
      </c>
      <c r="Q523">
        <f>IF(Table1[[#This Row],[حضر التهيئة]]="نعم",1,0)</f>
        <v>0</v>
      </c>
      <c r="R523">
        <f>IF(Table1[[#This Row],[دورة الفوترة]]="شهري",1,0)</f>
        <v>0</v>
      </c>
    </row>
    <row r="524" spans="1:18" x14ac:dyDescent="0.25">
      <c r="A524" t="s">
        <v>544</v>
      </c>
      <c r="B524" s="1">
        <v>45803</v>
      </c>
      <c r="C524" t="s">
        <v>28</v>
      </c>
      <c r="D524">
        <v>39</v>
      </c>
      <c r="E524" t="s">
        <v>20</v>
      </c>
      <c r="F524">
        <v>12</v>
      </c>
      <c r="G524" t="s">
        <v>23</v>
      </c>
      <c r="H524">
        <v>2</v>
      </c>
      <c r="I524">
        <v>20</v>
      </c>
      <c r="J524">
        <v>5</v>
      </c>
      <c r="K524" t="s">
        <v>17</v>
      </c>
      <c r="L524" t="s">
        <v>17</v>
      </c>
      <c r="M524">
        <f>IF(Table1[[#This Row],[ألغى الاشتراك]]="نعم",1,0)</f>
        <v>0</v>
      </c>
      <c r="N524">
        <f>IF(Table1[[#This Row],[وسيلة الدفع]]="بطاقة",1,0)</f>
        <v>0</v>
      </c>
      <c r="O524">
        <f>IF(Table1[[#This Row],[وسيلة الدفع]]="محفظة",1,0)</f>
        <v>0</v>
      </c>
      <c r="P524">
        <f>IF(Table1[[#This Row],[وسيلة الدفع]]="تحويل",1,0)</f>
        <v>1</v>
      </c>
      <c r="Q524">
        <f>IF(Table1[[#This Row],[حضر التهيئة]]="نعم",1,0)</f>
        <v>0</v>
      </c>
      <c r="R524">
        <f>IF(Table1[[#This Row],[دورة الفوترة]]="شهري",1,0)</f>
        <v>0</v>
      </c>
    </row>
    <row r="525" spans="1:18" x14ac:dyDescent="0.25">
      <c r="A525" t="s">
        <v>545</v>
      </c>
      <c r="B525" s="1">
        <v>45740</v>
      </c>
      <c r="C525" t="s">
        <v>19</v>
      </c>
      <c r="D525">
        <v>189</v>
      </c>
      <c r="E525" t="s">
        <v>14</v>
      </c>
      <c r="F525">
        <v>28</v>
      </c>
      <c r="G525" t="s">
        <v>15</v>
      </c>
      <c r="H525">
        <v>2</v>
      </c>
      <c r="I525">
        <v>44</v>
      </c>
      <c r="J525">
        <v>15</v>
      </c>
      <c r="K525" t="s">
        <v>16</v>
      </c>
      <c r="L525" t="s">
        <v>17</v>
      </c>
      <c r="M525">
        <f>IF(Table1[[#This Row],[ألغى الاشتراك]]="نعم",1,0)</f>
        <v>0</v>
      </c>
      <c r="N525">
        <f>IF(Table1[[#This Row],[وسيلة الدفع]]="بطاقة",1,0)</f>
        <v>1</v>
      </c>
      <c r="O525">
        <f>IF(Table1[[#This Row],[وسيلة الدفع]]="محفظة",1,0)</f>
        <v>0</v>
      </c>
      <c r="P525">
        <f>IF(Table1[[#This Row],[وسيلة الدفع]]="تحويل",1,0)</f>
        <v>0</v>
      </c>
      <c r="Q525">
        <f>IF(Table1[[#This Row],[حضر التهيئة]]="نعم",1,0)</f>
        <v>1</v>
      </c>
      <c r="R525">
        <f>IF(Table1[[#This Row],[دورة الفوترة]]="شهري",1,0)</f>
        <v>1</v>
      </c>
    </row>
    <row r="526" spans="1:18" x14ac:dyDescent="0.25">
      <c r="A526" t="s">
        <v>546</v>
      </c>
      <c r="B526" s="1">
        <v>45639</v>
      </c>
      <c r="C526" t="s">
        <v>19</v>
      </c>
      <c r="D526">
        <v>189</v>
      </c>
      <c r="E526" t="s">
        <v>14</v>
      </c>
      <c r="F526">
        <v>6</v>
      </c>
      <c r="G526" t="s">
        <v>15</v>
      </c>
      <c r="H526">
        <v>2</v>
      </c>
      <c r="I526">
        <v>50</v>
      </c>
      <c r="J526">
        <v>0</v>
      </c>
      <c r="K526" t="s">
        <v>17</v>
      </c>
      <c r="L526" t="s">
        <v>17</v>
      </c>
      <c r="M526">
        <f>IF(Table1[[#This Row],[ألغى الاشتراك]]="نعم",1,0)</f>
        <v>0</v>
      </c>
      <c r="N526">
        <f>IF(Table1[[#This Row],[وسيلة الدفع]]="بطاقة",1,0)</f>
        <v>1</v>
      </c>
      <c r="O526">
        <f>IF(Table1[[#This Row],[وسيلة الدفع]]="محفظة",1,0)</f>
        <v>0</v>
      </c>
      <c r="P526">
        <f>IF(Table1[[#This Row],[وسيلة الدفع]]="تحويل",1,0)</f>
        <v>0</v>
      </c>
      <c r="Q526">
        <f>IF(Table1[[#This Row],[حضر التهيئة]]="نعم",1,0)</f>
        <v>0</v>
      </c>
      <c r="R526">
        <f>IF(Table1[[#This Row],[دورة الفوترة]]="شهري",1,0)</f>
        <v>1</v>
      </c>
    </row>
    <row r="527" spans="1:18" x14ac:dyDescent="0.25">
      <c r="A527" t="s">
        <v>547</v>
      </c>
      <c r="B527" s="1">
        <v>45914</v>
      </c>
      <c r="C527" t="s">
        <v>19</v>
      </c>
      <c r="D527">
        <v>189</v>
      </c>
      <c r="E527" t="s">
        <v>14</v>
      </c>
      <c r="F527">
        <v>21</v>
      </c>
      <c r="G527" t="s">
        <v>21</v>
      </c>
      <c r="H527">
        <v>2</v>
      </c>
      <c r="I527">
        <v>37</v>
      </c>
      <c r="J527">
        <v>0</v>
      </c>
      <c r="K527" t="s">
        <v>17</v>
      </c>
      <c r="L527" t="s">
        <v>16</v>
      </c>
      <c r="M527">
        <f>IF(Table1[[#This Row],[ألغى الاشتراك]]="نعم",1,0)</f>
        <v>1</v>
      </c>
      <c r="N527">
        <f>IF(Table1[[#This Row],[وسيلة الدفع]]="بطاقة",1,0)</f>
        <v>0</v>
      </c>
      <c r="O527">
        <f>IF(Table1[[#This Row],[وسيلة الدفع]]="محفظة",1,0)</f>
        <v>1</v>
      </c>
      <c r="P527">
        <f>IF(Table1[[#This Row],[وسيلة الدفع]]="تحويل",1,0)</f>
        <v>0</v>
      </c>
      <c r="Q527">
        <f>IF(Table1[[#This Row],[حضر التهيئة]]="نعم",1,0)</f>
        <v>0</v>
      </c>
      <c r="R527">
        <f>IF(Table1[[#This Row],[دورة الفوترة]]="شهري",1,0)</f>
        <v>1</v>
      </c>
    </row>
    <row r="528" spans="1:18" x14ac:dyDescent="0.25">
      <c r="A528" t="s">
        <v>548</v>
      </c>
      <c r="B528" s="1">
        <v>45341</v>
      </c>
      <c r="C528" t="s">
        <v>28</v>
      </c>
      <c r="D528">
        <v>39</v>
      </c>
      <c r="E528" t="s">
        <v>14</v>
      </c>
      <c r="F528">
        <v>6</v>
      </c>
      <c r="G528" t="s">
        <v>23</v>
      </c>
      <c r="H528">
        <v>0</v>
      </c>
      <c r="I528">
        <v>50</v>
      </c>
      <c r="J528">
        <v>0</v>
      </c>
      <c r="K528" t="s">
        <v>17</v>
      </c>
      <c r="L528" t="s">
        <v>17</v>
      </c>
      <c r="M528">
        <f>IF(Table1[[#This Row],[ألغى الاشتراك]]="نعم",1,0)</f>
        <v>0</v>
      </c>
      <c r="N528">
        <f>IF(Table1[[#This Row],[وسيلة الدفع]]="بطاقة",1,0)</f>
        <v>0</v>
      </c>
      <c r="O528">
        <f>IF(Table1[[#This Row],[وسيلة الدفع]]="محفظة",1,0)</f>
        <v>0</v>
      </c>
      <c r="P528">
        <f>IF(Table1[[#This Row],[وسيلة الدفع]]="تحويل",1,0)</f>
        <v>1</v>
      </c>
      <c r="Q528">
        <f>IF(Table1[[#This Row],[حضر التهيئة]]="نعم",1,0)</f>
        <v>0</v>
      </c>
      <c r="R528">
        <f>IF(Table1[[#This Row],[دورة الفوترة]]="شهري",1,0)</f>
        <v>1</v>
      </c>
    </row>
    <row r="529" spans="1:18" x14ac:dyDescent="0.25">
      <c r="A529" t="s">
        <v>549</v>
      </c>
      <c r="B529" s="1">
        <v>45850</v>
      </c>
      <c r="C529" t="s">
        <v>13</v>
      </c>
      <c r="D529">
        <v>89</v>
      </c>
      <c r="E529" t="s">
        <v>14</v>
      </c>
      <c r="F529">
        <v>23</v>
      </c>
      <c r="G529" t="s">
        <v>23</v>
      </c>
      <c r="H529">
        <v>7</v>
      </c>
      <c r="I529">
        <v>21</v>
      </c>
      <c r="J529">
        <v>0</v>
      </c>
      <c r="K529" t="s">
        <v>16</v>
      </c>
      <c r="L529" t="s">
        <v>17</v>
      </c>
      <c r="M529">
        <f>IF(Table1[[#This Row],[ألغى الاشتراك]]="نعم",1,0)</f>
        <v>0</v>
      </c>
      <c r="N529">
        <f>IF(Table1[[#This Row],[وسيلة الدفع]]="بطاقة",1,0)</f>
        <v>0</v>
      </c>
      <c r="O529">
        <f>IF(Table1[[#This Row],[وسيلة الدفع]]="محفظة",1,0)</f>
        <v>0</v>
      </c>
      <c r="P529">
        <f>IF(Table1[[#This Row],[وسيلة الدفع]]="تحويل",1,0)</f>
        <v>1</v>
      </c>
      <c r="Q529">
        <f>IF(Table1[[#This Row],[حضر التهيئة]]="نعم",1,0)</f>
        <v>1</v>
      </c>
      <c r="R529">
        <f>IF(Table1[[#This Row],[دورة الفوترة]]="شهري",1,0)</f>
        <v>1</v>
      </c>
    </row>
    <row r="530" spans="1:18" x14ac:dyDescent="0.25">
      <c r="A530" t="s">
        <v>550</v>
      </c>
      <c r="B530" s="1">
        <v>45395</v>
      </c>
      <c r="C530" t="s">
        <v>28</v>
      </c>
      <c r="D530">
        <v>39</v>
      </c>
      <c r="E530" t="s">
        <v>20</v>
      </c>
      <c r="F530">
        <v>18</v>
      </c>
      <c r="G530" t="s">
        <v>21</v>
      </c>
      <c r="H530">
        <v>2</v>
      </c>
      <c r="I530">
        <v>34</v>
      </c>
      <c r="J530">
        <v>0</v>
      </c>
      <c r="K530" t="s">
        <v>16</v>
      </c>
      <c r="L530" t="s">
        <v>17</v>
      </c>
      <c r="M530">
        <f>IF(Table1[[#This Row],[ألغى الاشتراك]]="نعم",1,0)</f>
        <v>0</v>
      </c>
      <c r="N530">
        <f>IF(Table1[[#This Row],[وسيلة الدفع]]="بطاقة",1,0)</f>
        <v>0</v>
      </c>
      <c r="O530">
        <f>IF(Table1[[#This Row],[وسيلة الدفع]]="محفظة",1,0)</f>
        <v>1</v>
      </c>
      <c r="P530">
        <f>IF(Table1[[#This Row],[وسيلة الدفع]]="تحويل",1,0)</f>
        <v>0</v>
      </c>
      <c r="Q530">
        <f>IF(Table1[[#This Row],[حضر التهيئة]]="نعم",1,0)</f>
        <v>1</v>
      </c>
      <c r="R530">
        <f>IF(Table1[[#This Row],[دورة الفوترة]]="شهري",1,0)</f>
        <v>0</v>
      </c>
    </row>
    <row r="531" spans="1:18" x14ac:dyDescent="0.25">
      <c r="A531" t="s">
        <v>551</v>
      </c>
      <c r="B531" s="1">
        <v>45675</v>
      </c>
      <c r="C531" t="s">
        <v>19</v>
      </c>
      <c r="D531">
        <v>189</v>
      </c>
      <c r="E531" t="s">
        <v>14</v>
      </c>
      <c r="F531">
        <v>27</v>
      </c>
      <c r="G531" t="s">
        <v>15</v>
      </c>
      <c r="H531">
        <v>7</v>
      </c>
      <c r="I531">
        <v>31</v>
      </c>
      <c r="J531">
        <v>0</v>
      </c>
      <c r="K531" t="s">
        <v>17</v>
      </c>
      <c r="L531" t="s">
        <v>17</v>
      </c>
      <c r="M531">
        <f>IF(Table1[[#This Row],[ألغى الاشتراك]]="نعم",1,0)</f>
        <v>0</v>
      </c>
      <c r="N531">
        <f>IF(Table1[[#This Row],[وسيلة الدفع]]="بطاقة",1,0)</f>
        <v>1</v>
      </c>
      <c r="O531">
        <f>IF(Table1[[#This Row],[وسيلة الدفع]]="محفظة",1,0)</f>
        <v>0</v>
      </c>
      <c r="P531">
        <f>IF(Table1[[#This Row],[وسيلة الدفع]]="تحويل",1,0)</f>
        <v>0</v>
      </c>
      <c r="Q531">
        <f>IF(Table1[[#This Row],[حضر التهيئة]]="نعم",1,0)</f>
        <v>0</v>
      </c>
      <c r="R531">
        <f>IF(Table1[[#This Row],[دورة الفوترة]]="شهري",1,0)</f>
        <v>1</v>
      </c>
    </row>
    <row r="532" spans="1:18" x14ac:dyDescent="0.25">
      <c r="A532" t="s">
        <v>552</v>
      </c>
      <c r="B532" s="1">
        <v>45329</v>
      </c>
      <c r="C532" t="s">
        <v>19</v>
      </c>
      <c r="D532">
        <v>189</v>
      </c>
      <c r="E532" t="s">
        <v>14</v>
      </c>
      <c r="F532">
        <v>6</v>
      </c>
      <c r="G532" t="s">
        <v>21</v>
      </c>
      <c r="H532">
        <v>2</v>
      </c>
      <c r="I532">
        <v>4</v>
      </c>
      <c r="J532">
        <v>0</v>
      </c>
      <c r="K532" t="s">
        <v>17</v>
      </c>
      <c r="L532" t="s">
        <v>17</v>
      </c>
      <c r="M532">
        <f>IF(Table1[[#This Row],[ألغى الاشتراك]]="نعم",1,0)</f>
        <v>0</v>
      </c>
      <c r="N532">
        <f>IF(Table1[[#This Row],[وسيلة الدفع]]="بطاقة",1,0)</f>
        <v>0</v>
      </c>
      <c r="O532">
        <f>IF(Table1[[#This Row],[وسيلة الدفع]]="محفظة",1,0)</f>
        <v>1</v>
      </c>
      <c r="P532">
        <f>IF(Table1[[#This Row],[وسيلة الدفع]]="تحويل",1,0)</f>
        <v>0</v>
      </c>
      <c r="Q532">
        <f>IF(Table1[[#This Row],[حضر التهيئة]]="نعم",1,0)</f>
        <v>0</v>
      </c>
      <c r="R532">
        <f>IF(Table1[[#This Row],[دورة الفوترة]]="شهري",1,0)</f>
        <v>1</v>
      </c>
    </row>
    <row r="533" spans="1:18" x14ac:dyDescent="0.25">
      <c r="A533" t="s">
        <v>553</v>
      </c>
      <c r="B533" s="1">
        <v>45858</v>
      </c>
      <c r="C533" t="s">
        <v>28</v>
      </c>
      <c r="D533">
        <v>39</v>
      </c>
      <c r="E533" t="s">
        <v>20</v>
      </c>
      <c r="F533">
        <v>21</v>
      </c>
      <c r="G533" t="s">
        <v>21</v>
      </c>
      <c r="H533">
        <v>0</v>
      </c>
      <c r="I533">
        <v>5</v>
      </c>
      <c r="J533">
        <v>0</v>
      </c>
      <c r="K533" t="s">
        <v>16</v>
      </c>
      <c r="L533" t="s">
        <v>17</v>
      </c>
      <c r="M533">
        <f>IF(Table1[[#This Row],[ألغى الاشتراك]]="نعم",1,0)</f>
        <v>0</v>
      </c>
      <c r="N533">
        <f>IF(Table1[[#This Row],[وسيلة الدفع]]="بطاقة",1,0)</f>
        <v>0</v>
      </c>
      <c r="O533">
        <f>IF(Table1[[#This Row],[وسيلة الدفع]]="محفظة",1,0)</f>
        <v>1</v>
      </c>
      <c r="P533">
        <f>IF(Table1[[#This Row],[وسيلة الدفع]]="تحويل",1,0)</f>
        <v>0</v>
      </c>
      <c r="Q533">
        <f>IF(Table1[[#This Row],[حضر التهيئة]]="نعم",1,0)</f>
        <v>1</v>
      </c>
      <c r="R533">
        <f>IF(Table1[[#This Row],[دورة الفوترة]]="شهري",1,0)</f>
        <v>0</v>
      </c>
    </row>
    <row r="534" spans="1:18" x14ac:dyDescent="0.25">
      <c r="A534" t="s">
        <v>554</v>
      </c>
      <c r="B534" s="1">
        <v>45529</v>
      </c>
      <c r="C534" t="s">
        <v>19</v>
      </c>
      <c r="D534">
        <v>189</v>
      </c>
      <c r="E534" t="s">
        <v>14</v>
      </c>
      <c r="F534">
        <v>4</v>
      </c>
      <c r="G534" t="s">
        <v>21</v>
      </c>
      <c r="H534">
        <v>0</v>
      </c>
      <c r="I534">
        <v>26</v>
      </c>
      <c r="J534">
        <v>0</v>
      </c>
      <c r="K534" t="s">
        <v>16</v>
      </c>
      <c r="L534" t="s">
        <v>17</v>
      </c>
      <c r="M534">
        <f>IF(Table1[[#This Row],[ألغى الاشتراك]]="نعم",1,0)</f>
        <v>0</v>
      </c>
      <c r="N534">
        <f>IF(Table1[[#This Row],[وسيلة الدفع]]="بطاقة",1,0)</f>
        <v>0</v>
      </c>
      <c r="O534">
        <f>IF(Table1[[#This Row],[وسيلة الدفع]]="محفظة",1,0)</f>
        <v>1</v>
      </c>
      <c r="P534">
        <f>IF(Table1[[#This Row],[وسيلة الدفع]]="تحويل",1,0)</f>
        <v>0</v>
      </c>
      <c r="Q534">
        <f>IF(Table1[[#This Row],[حضر التهيئة]]="نعم",1,0)</f>
        <v>1</v>
      </c>
      <c r="R534">
        <f>IF(Table1[[#This Row],[دورة الفوترة]]="شهري",1,0)</f>
        <v>1</v>
      </c>
    </row>
    <row r="535" spans="1:18" x14ac:dyDescent="0.25">
      <c r="A535" t="s">
        <v>555</v>
      </c>
      <c r="B535" s="1">
        <v>45470</v>
      </c>
      <c r="C535" t="s">
        <v>28</v>
      </c>
      <c r="D535">
        <v>39</v>
      </c>
      <c r="E535" t="s">
        <v>20</v>
      </c>
      <c r="F535">
        <v>19</v>
      </c>
      <c r="G535" t="s">
        <v>23</v>
      </c>
      <c r="H535">
        <v>0</v>
      </c>
      <c r="I535">
        <v>9</v>
      </c>
      <c r="J535">
        <v>10</v>
      </c>
      <c r="K535" t="s">
        <v>17</v>
      </c>
      <c r="L535" t="s">
        <v>17</v>
      </c>
      <c r="M535">
        <f>IF(Table1[[#This Row],[ألغى الاشتراك]]="نعم",1,0)</f>
        <v>0</v>
      </c>
      <c r="N535">
        <f>IF(Table1[[#This Row],[وسيلة الدفع]]="بطاقة",1,0)</f>
        <v>0</v>
      </c>
      <c r="O535">
        <f>IF(Table1[[#This Row],[وسيلة الدفع]]="محفظة",1,0)</f>
        <v>0</v>
      </c>
      <c r="P535">
        <f>IF(Table1[[#This Row],[وسيلة الدفع]]="تحويل",1,0)</f>
        <v>1</v>
      </c>
      <c r="Q535">
        <f>IF(Table1[[#This Row],[حضر التهيئة]]="نعم",1,0)</f>
        <v>0</v>
      </c>
      <c r="R535">
        <f>IF(Table1[[#This Row],[دورة الفوترة]]="شهري",1,0)</f>
        <v>0</v>
      </c>
    </row>
    <row r="536" spans="1:18" x14ac:dyDescent="0.25">
      <c r="A536" t="s">
        <v>556</v>
      </c>
      <c r="B536" s="1">
        <v>45977</v>
      </c>
      <c r="C536" t="s">
        <v>13</v>
      </c>
      <c r="D536">
        <v>89</v>
      </c>
      <c r="E536" t="s">
        <v>20</v>
      </c>
      <c r="F536">
        <v>15</v>
      </c>
      <c r="G536" t="s">
        <v>15</v>
      </c>
      <c r="H536">
        <v>2</v>
      </c>
      <c r="I536">
        <v>23</v>
      </c>
      <c r="J536">
        <v>0</v>
      </c>
      <c r="K536" t="s">
        <v>16</v>
      </c>
      <c r="L536" t="s">
        <v>17</v>
      </c>
      <c r="M536">
        <f>IF(Table1[[#This Row],[ألغى الاشتراك]]="نعم",1,0)</f>
        <v>0</v>
      </c>
      <c r="N536">
        <f>IF(Table1[[#This Row],[وسيلة الدفع]]="بطاقة",1,0)</f>
        <v>1</v>
      </c>
      <c r="O536">
        <f>IF(Table1[[#This Row],[وسيلة الدفع]]="محفظة",1,0)</f>
        <v>0</v>
      </c>
      <c r="P536">
        <f>IF(Table1[[#This Row],[وسيلة الدفع]]="تحويل",1,0)</f>
        <v>0</v>
      </c>
      <c r="Q536">
        <f>IF(Table1[[#This Row],[حضر التهيئة]]="نعم",1,0)</f>
        <v>1</v>
      </c>
      <c r="R536">
        <f>IF(Table1[[#This Row],[دورة الفوترة]]="شهري",1,0)</f>
        <v>0</v>
      </c>
    </row>
    <row r="537" spans="1:18" x14ac:dyDescent="0.25">
      <c r="A537" t="s">
        <v>557</v>
      </c>
      <c r="B537" s="1">
        <v>45399</v>
      </c>
      <c r="C537" t="s">
        <v>13</v>
      </c>
      <c r="D537">
        <v>89</v>
      </c>
      <c r="E537" t="s">
        <v>20</v>
      </c>
      <c r="F537">
        <v>14</v>
      </c>
      <c r="G537" t="s">
        <v>23</v>
      </c>
      <c r="H537">
        <v>0</v>
      </c>
      <c r="I537">
        <v>4</v>
      </c>
      <c r="J537">
        <v>0</v>
      </c>
      <c r="K537" t="s">
        <v>17</v>
      </c>
      <c r="L537" t="s">
        <v>17</v>
      </c>
      <c r="M537">
        <f>IF(Table1[[#This Row],[ألغى الاشتراك]]="نعم",1,0)</f>
        <v>0</v>
      </c>
      <c r="N537">
        <f>IF(Table1[[#This Row],[وسيلة الدفع]]="بطاقة",1,0)</f>
        <v>0</v>
      </c>
      <c r="O537">
        <f>IF(Table1[[#This Row],[وسيلة الدفع]]="محفظة",1,0)</f>
        <v>0</v>
      </c>
      <c r="P537">
        <f>IF(Table1[[#This Row],[وسيلة الدفع]]="تحويل",1,0)</f>
        <v>1</v>
      </c>
      <c r="Q537">
        <f>IF(Table1[[#This Row],[حضر التهيئة]]="نعم",1,0)</f>
        <v>0</v>
      </c>
      <c r="R537">
        <f>IF(Table1[[#This Row],[دورة الفوترة]]="شهري",1,0)</f>
        <v>0</v>
      </c>
    </row>
    <row r="538" spans="1:18" x14ac:dyDescent="0.25">
      <c r="A538" t="s">
        <v>558</v>
      </c>
      <c r="B538" s="1">
        <v>45795</v>
      </c>
      <c r="C538" t="s">
        <v>13</v>
      </c>
      <c r="D538">
        <v>89</v>
      </c>
      <c r="E538" t="s">
        <v>20</v>
      </c>
      <c r="F538">
        <v>29</v>
      </c>
      <c r="G538" t="s">
        <v>21</v>
      </c>
      <c r="H538">
        <v>4</v>
      </c>
      <c r="I538">
        <v>25</v>
      </c>
      <c r="J538">
        <v>0</v>
      </c>
      <c r="K538" t="s">
        <v>16</v>
      </c>
      <c r="L538" t="s">
        <v>17</v>
      </c>
      <c r="M538">
        <f>IF(Table1[[#This Row],[ألغى الاشتراك]]="نعم",1,0)</f>
        <v>0</v>
      </c>
      <c r="N538">
        <f>IF(Table1[[#This Row],[وسيلة الدفع]]="بطاقة",1,0)</f>
        <v>0</v>
      </c>
      <c r="O538">
        <f>IF(Table1[[#This Row],[وسيلة الدفع]]="محفظة",1,0)</f>
        <v>1</v>
      </c>
      <c r="P538">
        <f>IF(Table1[[#This Row],[وسيلة الدفع]]="تحويل",1,0)</f>
        <v>0</v>
      </c>
      <c r="Q538">
        <f>IF(Table1[[#This Row],[حضر التهيئة]]="نعم",1,0)</f>
        <v>1</v>
      </c>
      <c r="R538">
        <f>IF(Table1[[#This Row],[دورة الفوترة]]="شهري",1,0)</f>
        <v>0</v>
      </c>
    </row>
    <row r="539" spans="1:18" x14ac:dyDescent="0.25">
      <c r="A539" t="s">
        <v>559</v>
      </c>
      <c r="B539" s="1">
        <v>45333</v>
      </c>
      <c r="C539" t="s">
        <v>13</v>
      </c>
      <c r="D539">
        <v>89</v>
      </c>
      <c r="E539" t="s">
        <v>20</v>
      </c>
      <c r="F539">
        <v>12</v>
      </c>
      <c r="G539" t="s">
        <v>15</v>
      </c>
      <c r="H539">
        <v>0</v>
      </c>
      <c r="I539">
        <v>30</v>
      </c>
      <c r="J539">
        <v>0</v>
      </c>
      <c r="K539" t="s">
        <v>16</v>
      </c>
      <c r="L539" t="s">
        <v>17</v>
      </c>
      <c r="M539">
        <f>IF(Table1[[#This Row],[ألغى الاشتراك]]="نعم",1,0)</f>
        <v>0</v>
      </c>
      <c r="N539">
        <f>IF(Table1[[#This Row],[وسيلة الدفع]]="بطاقة",1,0)</f>
        <v>1</v>
      </c>
      <c r="O539">
        <f>IF(Table1[[#This Row],[وسيلة الدفع]]="محفظة",1,0)</f>
        <v>0</v>
      </c>
      <c r="P539">
        <f>IF(Table1[[#This Row],[وسيلة الدفع]]="تحويل",1,0)</f>
        <v>0</v>
      </c>
      <c r="Q539">
        <f>IF(Table1[[#This Row],[حضر التهيئة]]="نعم",1,0)</f>
        <v>1</v>
      </c>
      <c r="R539">
        <f>IF(Table1[[#This Row],[دورة الفوترة]]="شهري",1,0)</f>
        <v>0</v>
      </c>
    </row>
    <row r="540" spans="1:18" x14ac:dyDescent="0.25">
      <c r="A540" t="s">
        <v>560</v>
      </c>
      <c r="B540" s="1">
        <v>45740</v>
      </c>
      <c r="C540" t="s">
        <v>28</v>
      </c>
      <c r="D540">
        <v>39</v>
      </c>
      <c r="E540" t="s">
        <v>20</v>
      </c>
      <c r="F540">
        <v>17</v>
      </c>
      <c r="G540" t="s">
        <v>15</v>
      </c>
      <c r="H540">
        <v>1</v>
      </c>
      <c r="I540">
        <v>49</v>
      </c>
      <c r="J540">
        <v>0</v>
      </c>
      <c r="K540" t="s">
        <v>17</v>
      </c>
      <c r="L540" t="s">
        <v>17</v>
      </c>
      <c r="M540">
        <f>IF(Table1[[#This Row],[ألغى الاشتراك]]="نعم",1,0)</f>
        <v>0</v>
      </c>
      <c r="N540">
        <f>IF(Table1[[#This Row],[وسيلة الدفع]]="بطاقة",1,0)</f>
        <v>1</v>
      </c>
      <c r="O540">
        <f>IF(Table1[[#This Row],[وسيلة الدفع]]="محفظة",1,0)</f>
        <v>0</v>
      </c>
      <c r="P540">
        <f>IF(Table1[[#This Row],[وسيلة الدفع]]="تحويل",1,0)</f>
        <v>0</v>
      </c>
      <c r="Q540">
        <f>IF(Table1[[#This Row],[حضر التهيئة]]="نعم",1,0)</f>
        <v>0</v>
      </c>
      <c r="R540">
        <f>IF(Table1[[#This Row],[دورة الفوترة]]="شهري",1,0)</f>
        <v>0</v>
      </c>
    </row>
    <row r="541" spans="1:18" x14ac:dyDescent="0.25">
      <c r="A541" t="s">
        <v>561</v>
      </c>
      <c r="B541" s="1">
        <v>45383</v>
      </c>
      <c r="C541" t="s">
        <v>19</v>
      </c>
      <c r="D541">
        <v>189</v>
      </c>
      <c r="E541" t="s">
        <v>20</v>
      </c>
      <c r="F541">
        <v>2</v>
      </c>
      <c r="G541" t="s">
        <v>15</v>
      </c>
      <c r="H541">
        <v>9</v>
      </c>
      <c r="I541">
        <v>48</v>
      </c>
      <c r="J541">
        <v>0</v>
      </c>
      <c r="K541" t="s">
        <v>16</v>
      </c>
      <c r="L541" t="s">
        <v>17</v>
      </c>
      <c r="M541">
        <f>IF(Table1[[#This Row],[ألغى الاشتراك]]="نعم",1,0)</f>
        <v>0</v>
      </c>
      <c r="N541">
        <f>IF(Table1[[#This Row],[وسيلة الدفع]]="بطاقة",1,0)</f>
        <v>1</v>
      </c>
      <c r="O541">
        <f>IF(Table1[[#This Row],[وسيلة الدفع]]="محفظة",1,0)</f>
        <v>0</v>
      </c>
      <c r="P541">
        <f>IF(Table1[[#This Row],[وسيلة الدفع]]="تحويل",1,0)</f>
        <v>0</v>
      </c>
      <c r="Q541">
        <f>IF(Table1[[#This Row],[حضر التهيئة]]="نعم",1,0)</f>
        <v>1</v>
      </c>
      <c r="R541">
        <f>IF(Table1[[#This Row],[دورة الفوترة]]="شهري",1,0)</f>
        <v>0</v>
      </c>
    </row>
    <row r="542" spans="1:18" x14ac:dyDescent="0.25">
      <c r="A542" t="s">
        <v>562</v>
      </c>
      <c r="B542" s="1">
        <v>45902</v>
      </c>
      <c r="C542" t="s">
        <v>19</v>
      </c>
      <c r="D542">
        <v>189</v>
      </c>
      <c r="E542" t="s">
        <v>14</v>
      </c>
      <c r="F542">
        <v>3</v>
      </c>
      <c r="G542" t="s">
        <v>15</v>
      </c>
      <c r="H542">
        <v>5</v>
      </c>
      <c r="I542">
        <v>25</v>
      </c>
      <c r="J542">
        <v>0</v>
      </c>
      <c r="K542" t="s">
        <v>17</v>
      </c>
      <c r="L542" t="s">
        <v>17</v>
      </c>
      <c r="M542">
        <f>IF(Table1[[#This Row],[ألغى الاشتراك]]="نعم",1,0)</f>
        <v>0</v>
      </c>
      <c r="N542">
        <f>IF(Table1[[#This Row],[وسيلة الدفع]]="بطاقة",1,0)</f>
        <v>1</v>
      </c>
      <c r="O542">
        <f>IF(Table1[[#This Row],[وسيلة الدفع]]="محفظة",1,0)</f>
        <v>0</v>
      </c>
      <c r="P542">
        <f>IF(Table1[[#This Row],[وسيلة الدفع]]="تحويل",1,0)</f>
        <v>0</v>
      </c>
      <c r="Q542">
        <f>IF(Table1[[#This Row],[حضر التهيئة]]="نعم",1,0)</f>
        <v>0</v>
      </c>
      <c r="R542">
        <f>IF(Table1[[#This Row],[دورة الفوترة]]="شهري",1,0)</f>
        <v>1</v>
      </c>
    </row>
    <row r="543" spans="1:18" x14ac:dyDescent="0.25">
      <c r="A543" t="s">
        <v>563</v>
      </c>
      <c r="B543" s="1">
        <v>45470</v>
      </c>
      <c r="C543" t="s">
        <v>13</v>
      </c>
      <c r="D543">
        <v>89</v>
      </c>
      <c r="E543" t="s">
        <v>14</v>
      </c>
      <c r="F543">
        <v>12</v>
      </c>
      <c r="G543" t="s">
        <v>15</v>
      </c>
      <c r="H543">
        <v>10</v>
      </c>
      <c r="I543">
        <v>28</v>
      </c>
      <c r="J543">
        <v>0</v>
      </c>
      <c r="K543" t="s">
        <v>17</v>
      </c>
      <c r="L543" t="s">
        <v>17</v>
      </c>
      <c r="M543">
        <f>IF(Table1[[#This Row],[ألغى الاشتراك]]="نعم",1,0)</f>
        <v>0</v>
      </c>
      <c r="N543">
        <f>IF(Table1[[#This Row],[وسيلة الدفع]]="بطاقة",1,0)</f>
        <v>1</v>
      </c>
      <c r="O543">
        <f>IF(Table1[[#This Row],[وسيلة الدفع]]="محفظة",1,0)</f>
        <v>0</v>
      </c>
      <c r="P543">
        <f>IF(Table1[[#This Row],[وسيلة الدفع]]="تحويل",1,0)</f>
        <v>0</v>
      </c>
      <c r="Q543">
        <f>IF(Table1[[#This Row],[حضر التهيئة]]="نعم",1,0)</f>
        <v>0</v>
      </c>
      <c r="R543">
        <f>IF(Table1[[#This Row],[دورة الفوترة]]="شهري",1,0)</f>
        <v>1</v>
      </c>
    </row>
    <row r="544" spans="1:18" x14ac:dyDescent="0.25">
      <c r="A544" t="s">
        <v>564</v>
      </c>
      <c r="B544" s="1">
        <v>45862</v>
      </c>
      <c r="C544" t="s">
        <v>28</v>
      </c>
      <c r="D544">
        <v>39</v>
      </c>
      <c r="E544" t="s">
        <v>14</v>
      </c>
      <c r="F544">
        <v>23</v>
      </c>
      <c r="G544" t="s">
        <v>15</v>
      </c>
      <c r="H544">
        <v>2</v>
      </c>
      <c r="I544">
        <v>41</v>
      </c>
      <c r="J544">
        <v>0</v>
      </c>
      <c r="K544" t="s">
        <v>16</v>
      </c>
      <c r="L544" t="s">
        <v>17</v>
      </c>
      <c r="M544">
        <f>IF(Table1[[#This Row],[ألغى الاشتراك]]="نعم",1,0)</f>
        <v>0</v>
      </c>
      <c r="N544">
        <f>IF(Table1[[#This Row],[وسيلة الدفع]]="بطاقة",1,0)</f>
        <v>1</v>
      </c>
      <c r="O544">
        <f>IF(Table1[[#This Row],[وسيلة الدفع]]="محفظة",1,0)</f>
        <v>0</v>
      </c>
      <c r="P544">
        <f>IF(Table1[[#This Row],[وسيلة الدفع]]="تحويل",1,0)</f>
        <v>0</v>
      </c>
      <c r="Q544">
        <f>IF(Table1[[#This Row],[حضر التهيئة]]="نعم",1,0)</f>
        <v>1</v>
      </c>
      <c r="R544">
        <f>IF(Table1[[#This Row],[دورة الفوترة]]="شهري",1,0)</f>
        <v>1</v>
      </c>
    </row>
    <row r="545" spans="1:18" x14ac:dyDescent="0.25">
      <c r="A545" t="s">
        <v>565</v>
      </c>
      <c r="B545" s="1">
        <v>45529</v>
      </c>
      <c r="C545" t="s">
        <v>28</v>
      </c>
      <c r="D545">
        <v>39</v>
      </c>
      <c r="E545" t="s">
        <v>14</v>
      </c>
      <c r="F545">
        <v>18</v>
      </c>
      <c r="G545" t="s">
        <v>15</v>
      </c>
      <c r="H545">
        <v>0</v>
      </c>
      <c r="I545">
        <v>2</v>
      </c>
      <c r="J545">
        <v>0</v>
      </c>
      <c r="K545" t="s">
        <v>16</v>
      </c>
      <c r="L545" t="s">
        <v>17</v>
      </c>
      <c r="M545">
        <f>IF(Table1[[#This Row],[ألغى الاشتراك]]="نعم",1,0)</f>
        <v>0</v>
      </c>
      <c r="N545">
        <f>IF(Table1[[#This Row],[وسيلة الدفع]]="بطاقة",1,0)</f>
        <v>1</v>
      </c>
      <c r="O545">
        <f>IF(Table1[[#This Row],[وسيلة الدفع]]="محفظة",1,0)</f>
        <v>0</v>
      </c>
      <c r="P545">
        <f>IF(Table1[[#This Row],[وسيلة الدفع]]="تحويل",1,0)</f>
        <v>0</v>
      </c>
      <c r="Q545">
        <f>IF(Table1[[#This Row],[حضر التهيئة]]="نعم",1,0)</f>
        <v>1</v>
      </c>
      <c r="R545">
        <f>IF(Table1[[#This Row],[دورة الفوترة]]="شهري",1,0)</f>
        <v>1</v>
      </c>
    </row>
    <row r="546" spans="1:18" x14ac:dyDescent="0.25">
      <c r="A546" t="s">
        <v>566</v>
      </c>
      <c r="B546" s="1">
        <v>45671</v>
      </c>
      <c r="C546" t="s">
        <v>28</v>
      </c>
      <c r="D546">
        <v>39</v>
      </c>
      <c r="E546" t="s">
        <v>20</v>
      </c>
      <c r="F546">
        <v>3</v>
      </c>
      <c r="G546" t="s">
        <v>21</v>
      </c>
      <c r="H546">
        <v>2</v>
      </c>
      <c r="I546">
        <v>19</v>
      </c>
      <c r="J546">
        <v>0</v>
      </c>
      <c r="K546" t="s">
        <v>16</v>
      </c>
      <c r="L546" t="s">
        <v>17</v>
      </c>
      <c r="M546">
        <f>IF(Table1[[#This Row],[ألغى الاشتراك]]="نعم",1,0)</f>
        <v>0</v>
      </c>
      <c r="N546">
        <f>IF(Table1[[#This Row],[وسيلة الدفع]]="بطاقة",1,0)</f>
        <v>0</v>
      </c>
      <c r="O546">
        <f>IF(Table1[[#This Row],[وسيلة الدفع]]="محفظة",1,0)</f>
        <v>1</v>
      </c>
      <c r="P546">
        <f>IF(Table1[[#This Row],[وسيلة الدفع]]="تحويل",1,0)</f>
        <v>0</v>
      </c>
      <c r="Q546">
        <f>IF(Table1[[#This Row],[حضر التهيئة]]="نعم",1,0)</f>
        <v>1</v>
      </c>
      <c r="R546">
        <f>IF(Table1[[#This Row],[دورة الفوترة]]="شهري",1,0)</f>
        <v>0</v>
      </c>
    </row>
    <row r="547" spans="1:18" x14ac:dyDescent="0.25">
      <c r="A547" t="s">
        <v>567</v>
      </c>
      <c r="B547" s="1">
        <v>45349</v>
      </c>
      <c r="C547" t="s">
        <v>19</v>
      </c>
      <c r="D547">
        <v>189</v>
      </c>
      <c r="E547" t="s">
        <v>14</v>
      </c>
      <c r="F547">
        <v>30</v>
      </c>
      <c r="G547" t="s">
        <v>15</v>
      </c>
      <c r="H547">
        <v>2</v>
      </c>
      <c r="I547">
        <v>32</v>
      </c>
      <c r="J547">
        <v>0</v>
      </c>
      <c r="K547" t="s">
        <v>17</v>
      </c>
      <c r="L547" t="s">
        <v>17</v>
      </c>
      <c r="M547">
        <f>IF(Table1[[#This Row],[ألغى الاشتراك]]="نعم",1,0)</f>
        <v>0</v>
      </c>
      <c r="N547">
        <f>IF(Table1[[#This Row],[وسيلة الدفع]]="بطاقة",1,0)</f>
        <v>1</v>
      </c>
      <c r="O547">
        <f>IF(Table1[[#This Row],[وسيلة الدفع]]="محفظة",1,0)</f>
        <v>0</v>
      </c>
      <c r="P547">
        <f>IF(Table1[[#This Row],[وسيلة الدفع]]="تحويل",1,0)</f>
        <v>0</v>
      </c>
      <c r="Q547">
        <f>IF(Table1[[#This Row],[حضر التهيئة]]="نعم",1,0)</f>
        <v>0</v>
      </c>
      <c r="R547">
        <f>IF(Table1[[#This Row],[دورة الفوترة]]="شهري",1,0)</f>
        <v>1</v>
      </c>
    </row>
    <row r="548" spans="1:18" x14ac:dyDescent="0.25">
      <c r="A548" t="s">
        <v>568</v>
      </c>
      <c r="B548" s="1">
        <v>45627</v>
      </c>
      <c r="C548" t="s">
        <v>13</v>
      </c>
      <c r="D548">
        <v>89</v>
      </c>
      <c r="E548" t="s">
        <v>20</v>
      </c>
      <c r="F548">
        <v>27</v>
      </c>
      <c r="G548" t="s">
        <v>23</v>
      </c>
      <c r="H548">
        <v>2</v>
      </c>
      <c r="I548">
        <v>29</v>
      </c>
      <c r="J548">
        <v>25</v>
      </c>
      <c r="K548" t="s">
        <v>17</v>
      </c>
      <c r="L548" t="s">
        <v>17</v>
      </c>
      <c r="M548">
        <f>IF(Table1[[#This Row],[ألغى الاشتراك]]="نعم",1,0)</f>
        <v>0</v>
      </c>
      <c r="N548">
        <f>IF(Table1[[#This Row],[وسيلة الدفع]]="بطاقة",1,0)</f>
        <v>0</v>
      </c>
      <c r="O548">
        <f>IF(Table1[[#This Row],[وسيلة الدفع]]="محفظة",1,0)</f>
        <v>0</v>
      </c>
      <c r="P548">
        <f>IF(Table1[[#This Row],[وسيلة الدفع]]="تحويل",1,0)</f>
        <v>1</v>
      </c>
      <c r="Q548">
        <f>IF(Table1[[#This Row],[حضر التهيئة]]="نعم",1,0)</f>
        <v>0</v>
      </c>
      <c r="R548">
        <f>IF(Table1[[#This Row],[دورة الفوترة]]="شهري",1,0)</f>
        <v>0</v>
      </c>
    </row>
    <row r="549" spans="1:18" x14ac:dyDescent="0.25">
      <c r="A549" t="s">
        <v>569</v>
      </c>
      <c r="B549" s="1">
        <v>45918</v>
      </c>
      <c r="C549" t="s">
        <v>28</v>
      </c>
      <c r="D549">
        <v>39</v>
      </c>
      <c r="E549" t="s">
        <v>20</v>
      </c>
      <c r="F549">
        <v>27</v>
      </c>
      <c r="G549" t="s">
        <v>23</v>
      </c>
      <c r="H549">
        <v>4</v>
      </c>
      <c r="I549">
        <v>11</v>
      </c>
      <c r="J549">
        <v>0</v>
      </c>
      <c r="K549" t="s">
        <v>17</v>
      </c>
      <c r="L549" t="s">
        <v>17</v>
      </c>
      <c r="M549">
        <f>IF(Table1[[#This Row],[ألغى الاشتراك]]="نعم",1,0)</f>
        <v>0</v>
      </c>
      <c r="N549">
        <f>IF(Table1[[#This Row],[وسيلة الدفع]]="بطاقة",1,0)</f>
        <v>0</v>
      </c>
      <c r="O549">
        <f>IF(Table1[[#This Row],[وسيلة الدفع]]="محفظة",1,0)</f>
        <v>0</v>
      </c>
      <c r="P549">
        <f>IF(Table1[[#This Row],[وسيلة الدفع]]="تحويل",1,0)</f>
        <v>1</v>
      </c>
      <c r="Q549">
        <f>IF(Table1[[#This Row],[حضر التهيئة]]="نعم",1,0)</f>
        <v>0</v>
      </c>
      <c r="R549">
        <f>IF(Table1[[#This Row],[دورة الفوترة]]="شهري",1,0)</f>
        <v>0</v>
      </c>
    </row>
    <row r="550" spans="1:18" x14ac:dyDescent="0.25">
      <c r="A550" t="s">
        <v>570</v>
      </c>
      <c r="B550" s="1">
        <v>45985</v>
      </c>
      <c r="C550" t="s">
        <v>19</v>
      </c>
      <c r="D550">
        <v>189</v>
      </c>
      <c r="E550" t="s">
        <v>14</v>
      </c>
      <c r="F550">
        <v>10</v>
      </c>
      <c r="G550" t="s">
        <v>21</v>
      </c>
      <c r="H550">
        <v>1</v>
      </c>
      <c r="I550">
        <v>44</v>
      </c>
      <c r="J550">
        <v>15</v>
      </c>
      <c r="K550" t="s">
        <v>17</v>
      </c>
      <c r="L550" t="s">
        <v>17</v>
      </c>
      <c r="M550">
        <f>IF(Table1[[#This Row],[ألغى الاشتراك]]="نعم",1,0)</f>
        <v>0</v>
      </c>
      <c r="N550">
        <f>IF(Table1[[#This Row],[وسيلة الدفع]]="بطاقة",1,0)</f>
        <v>0</v>
      </c>
      <c r="O550">
        <f>IF(Table1[[#This Row],[وسيلة الدفع]]="محفظة",1,0)</f>
        <v>1</v>
      </c>
      <c r="P550">
        <f>IF(Table1[[#This Row],[وسيلة الدفع]]="تحويل",1,0)</f>
        <v>0</v>
      </c>
      <c r="Q550">
        <f>IF(Table1[[#This Row],[حضر التهيئة]]="نعم",1,0)</f>
        <v>0</v>
      </c>
      <c r="R550">
        <f>IF(Table1[[#This Row],[دورة الفوترة]]="شهري",1,0)</f>
        <v>1</v>
      </c>
    </row>
    <row r="551" spans="1:18" x14ac:dyDescent="0.25">
      <c r="A551" t="s">
        <v>571</v>
      </c>
      <c r="B551" s="1">
        <v>45407</v>
      </c>
      <c r="C551" t="s">
        <v>28</v>
      </c>
      <c r="D551">
        <v>39</v>
      </c>
      <c r="E551" t="s">
        <v>20</v>
      </c>
      <c r="F551">
        <v>6</v>
      </c>
      <c r="G551" t="s">
        <v>15</v>
      </c>
      <c r="H551">
        <v>1</v>
      </c>
      <c r="I551">
        <v>42</v>
      </c>
      <c r="J551">
        <v>0</v>
      </c>
      <c r="K551" t="s">
        <v>16</v>
      </c>
      <c r="L551" t="s">
        <v>17</v>
      </c>
      <c r="M551">
        <f>IF(Table1[[#This Row],[ألغى الاشتراك]]="نعم",1,0)</f>
        <v>0</v>
      </c>
      <c r="N551">
        <f>IF(Table1[[#This Row],[وسيلة الدفع]]="بطاقة",1,0)</f>
        <v>1</v>
      </c>
      <c r="O551">
        <f>IF(Table1[[#This Row],[وسيلة الدفع]]="محفظة",1,0)</f>
        <v>0</v>
      </c>
      <c r="P551">
        <f>IF(Table1[[#This Row],[وسيلة الدفع]]="تحويل",1,0)</f>
        <v>0</v>
      </c>
      <c r="Q551">
        <f>IF(Table1[[#This Row],[حضر التهيئة]]="نعم",1,0)</f>
        <v>1</v>
      </c>
      <c r="R551">
        <f>IF(Table1[[#This Row],[دورة الفوترة]]="شهري",1,0)</f>
        <v>0</v>
      </c>
    </row>
    <row r="552" spans="1:18" x14ac:dyDescent="0.25">
      <c r="A552" t="s">
        <v>572</v>
      </c>
      <c r="B552" s="1">
        <v>45799</v>
      </c>
      <c r="C552" t="s">
        <v>28</v>
      </c>
      <c r="D552">
        <v>39</v>
      </c>
      <c r="E552" t="s">
        <v>20</v>
      </c>
      <c r="F552">
        <v>23</v>
      </c>
      <c r="G552" t="s">
        <v>21</v>
      </c>
      <c r="H552">
        <v>2</v>
      </c>
      <c r="I552">
        <v>31</v>
      </c>
      <c r="J552">
        <v>0</v>
      </c>
      <c r="K552" t="s">
        <v>17</v>
      </c>
      <c r="L552" t="s">
        <v>16</v>
      </c>
      <c r="M552">
        <f>IF(Table1[[#This Row],[ألغى الاشتراك]]="نعم",1,0)</f>
        <v>1</v>
      </c>
      <c r="N552">
        <f>IF(Table1[[#This Row],[وسيلة الدفع]]="بطاقة",1,0)</f>
        <v>0</v>
      </c>
      <c r="O552">
        <f>IF(Table1[[#This Row],[وسيلة الدفع]]="محفظة",1,0)</f>
        <v>1</v>
      </c>
      <c r="P552">
        <f>IF(Table1[[#This Row],[وسيلة الدفع]]="تحويل",1,0)</f>
        <v>0</v>
      </c>
      <c r="Q552">
        <f>IF(Table1[[#This Row],[حضر التهيئة]]="نعم",1,0)</f>
        <v>0</v>
      </c>
      <c r="R552">
        <f>IF(Table1[[#This Row],[دورة الفوترة]]="شهري",1,0)</f>
        <v>0</v>
      </c>
    </row>
    <row r="553" spans="1:18" x14ac:dyDescent="0.25">
      <c r="A553" t="s">
        <v>573</v>
      </c>
      <c r="B553" s="1">
        <v>45572</v>
      </c>
      <c r="C553" t="s">
        <v>28</v>
      </c>
      <c r="D553">
        <v>39</v>
      </c>
      <c r="E553" t="s">
        <v>14</v>
      </c>
      <c r="F553">
        <v>12</v>
      </c>
      <c r="G553" t="s">
        <v>15</v>
      </c>
      <c r="H553">
        <v>2</v>
      </c>
      <c r="I553">
        <v>26</v>
      </c>
      <c r="J553">
        <v>0</v>
      </c>
      <c r="K553" t="s">
        <v>16</v>
      </c>
      <c r="L553" t="s">
        <v>17</v>
      </c>
      <c r="M553">
        <f>IF(Table1[[#This Row],[ألغى الاشتراك]]="نعم",1,0)</f>
        <v>0</v>
      </c>
      <c r="N553">
        <f>IF(Table1[[#This Row],[وسيلة الدفع]]="بطاقة",1,0)</f>
        <v>1</v>
      </c>
      <c r="O553">
        <f>IF(Table1[[#This Row],[وسيلة الدفع]]="محفظة",1,0)</f>
        <v>0</v>
      </c>
      <c r="P553">
        <f>IF(Table1[[#This Row],[وسيلة الدفع]]="تحويل",1,0)</f>
        <v>0</v>
      </c>
      <c r="Q553">
        <f>IF(Table1[[#This Row],[حضر التهيئة]]="نعم",1,0)</f>
        <v>1</v>
      </c>
      <c r="R553">
        <f>IF(Table1[[#This Row],[دورة الفوترة]]="شهري",1,0)</f>
        <v>1</v>
      </c>
    </row>
    <row r="554" spans="1:18" x14ac:dyDescent="0.25">
      <c r="A554" t="s">
        <v>574</v>
      </c>
      <c r="B554" s="1">
        <v>45862</v>
      </c>
      <c r="C554" t="s">
        <v>13</v>
      </c>
      <c r="D554">
        <v>89</v>
      </c>
      <c r="E554" t="s">
        <v>20</v>
      </c>
      <c r="F554">
        <v>25</v>
      </c>
      <c r="G554" t="s">
        <v>23</v>
      </c>
      <c r="H554">
        <v>1</v>
      </c>
      <c r="I554">
        <v>33</v>
      </c>
      <c r="J554">
        <v>0</v>
      </c>
      <c r="K554" t="s">
        <v>16</v>
      </c>
      <c r="L554" t="s">
        <v>17</v>
      </c>
      <c r="M554">
        <f>IF(Table1[[#This Row],[ألغى الاشتراك]]="نعم",1,0)</f>
        <v>0</v>
      </c>
      <c r="N554">
        <f>IF(Table1[[#This Row],[وسيلة الدفع]]="بطاقة",1,0)</f>
        <v>0</v>
      </c>
      <c r="O554">
        <f>IF(Table1[[#This Row],[وسيلة الدفع]]="محفظة",1,0)</f>
        <v>0</v>
      </c>
      <c r="P554">
        <f>IF(Table1[[#This Row],[وسيلة الدفع]]="تحويل",1,0)</f>
        <v>1</v>
      </c>
      <c r="Q554">
        <f>IF(Table1[[#This Row],[حضر التهيئة]]="نعم",1,0)</f>
        <v>1</v>
      </c>
      <c r="R554">
        <f>IF(Table1[[#This Row],[دورة الفوترة]]="شهري",1,0)</f>
        <v>0</v>
      </c>
    </row>
    <row r="555" spans="1:18" x14ac:dyDescent="0.25">
      <c r="A555" t="s">
        <v>575</v>
      </c>
      <c r="B555" s="1">
        <v>45639</v>
      </c>
      <c r="C555" t="s">
        <v>13</v>
      </c>
      <c r="D555">
        <v>89</v>
      </c>
      <c r="E555" t="s">
        <v>14</v>
      </c>
      <c r="F555">
        <v>30</v>
      </c>
      <c r="G555" t="s">
        <v>23</v>
      </c>
      <c r="H555">
        <v>0</v>
      </c>
      <c r="I555">
        <v>2</v>
      </c>
      <c r="J555">
        <v>0</v>
      </c>
      <c r="K555" t="s">
        <v>17</v>
      </c>
      <c r="L555" t="s">
        <v>17</v>
      </c>
      <c r="M555">
        <f>IF(Table1[[#This Row],[ألغى الاشتراك]]="نعم",1,0)</f>
        <v>0</v>
      </c>
      <c r="N555">
        <f>IF(Table1[[#This Row],[وسيلة الدفع]]="بطاقة",1,0)</f>
        <v>0</v>
      </c>
      <c r="O555">
        <f>IF(Table1[[#This Row],[وسيلة الدفع]]="محفظة",1,0)</f>
        <v>0</v>
      </c>
      <c r="P555">
        <f>IF(Table1[[#This Row],[وسيلة الدفع]]="تحويل",1,0)</f>
        <v>1</v>
      </c>
      <c r="Q555">
        <f>IF(Table1[[#This Row],[حضر التهيئة]]="نعم",1,0)</f>
        <v>0</v>
      </c>
      <c r="R555">
        <f>IF(Table1[[#This Row],[دورة الفوترة]]="شهري",1,0)</f>
        <v>1</v>
      </c>
    </row>
    <row r="556" spans="1:18" x14ac:dyDescent="0.25">
      <c r="A556" t="s">
        <v>576</v>
      </c>
      <c r="B556" s="1">
        <v>45803</v>
      </c>
      <c r="C556" t="s">
        <v>19</v>
      </c>
      <c r="D556">
        <v>189</v>
      </c>
      <c r="E556" t="s">
        <v>20</v>
      </c>
      <c r="F556">
        <v>25</v>
      </c>
      <c r="G556" t="s">
        <v>23</v>
      </c>
      <c r="H556">
        <v>1</v>
      </c>
      <c r="I556">
        <v>5</v>
      </c>
      <c r="J556">
        <v>0</v>
      </c>
      <c r="K556" t="s">
        <v>17</v>
      </c>
      <c r="L556" t="s">
        <v>17</v>
      </c>
      <c r="M556">
        <f>IF(Table1[[#This Row],[ألغى الاشتراك]]="نعم",1,0)</f>
        <v>0</v>
      </c>
      <c r="N556">
        <f>IF(Table1[[#This Row],[وسيلة الدفع]]="بطاقة",1,0)</f>
        <v>0</v>
      </c>
      <c r="O556">
        <f>IF(Table1[[#This Row],[وسيلة الدفع]]="محفظة",1,0)</f>
        <v>0</v>
      </c>
      <c r="P556">
        <f>IF(Table1[[#This Row],[وسيلة الدفع]]="تحويل",1,0)</f>
        <v>1</v>
      </c>
      <c r="Q556">
        <f>IF(Table1[[#This Row],[حضر التهيئة]]="نعم",1,0)</f>
        <v>0</v>
      </c>
      <c r="R556">
        <f>IF(Table1[[#This Row],[دورة الفوترة]]="شهري",1,0)</f>
        <v>0</v>
      </c>
    </row>
    <row r="557" spans="1:18" x14ac:dyDescent="0.25">
      <c r="A557" t="s">
        <v>577</v>
      </c>
      <c r="B557" s="1">
        <v>45470</v>
      </c>
      <c r="C557" t="s">
        <v>19</v>
      </c>
      <c r="D557">
        <v>189</v>
      </c>
      <c r="E557" t="s">
        <v>14</v>
      </c>
      <c r="F557">
        <v>4</v>
      </c>
      <c r="G557" t="s">
        <v>23</v>
      </c>
      <c r="H557">
        <v>1</v>
      </c>
      <c r="I557">
        <v>26</v>
      </c>
      <c r="J557">
        <v>0</v>
      </c>
      <c r="K557" t="s">
        <v>16</v>
      </c>
      <c r="L557" t="s">
        <v>17</v>
      </c>
      <c r="M557">
        <f>IF(Table1[[#This Row],[ألغى الاشتراك]]="نعم",1,0)</f>
        <v>0</v>
      </c>
      <c r="N557">
        <f>IF(Table1[[#This Row],[وسيلة الدفع]]="بطاقة",1,0)</f>
        <v>0</v>
      </c>
      <c r="O557">
        <f>IF(Table1[[#This Row],[وسيلة الدفع]]="محفظة",1,0)</f>
        <v>0</v>
      </c>
      <c r="P557">
        <f>IF(Table1[[#This Row],[وسيلة الدفع]]="تحويل",1,0)</f>
        <v>1</v>
      </c>
      <c r="Q557">
        <f>IF(Table1[[#This Row],[حضر التهيئة]]="نعم",1,0)</f>
        <v>1</v>
      </c>
      <c r="R557">
        <f>IF(Table1[[#This Row],[دورة الفوترة]]="شهري",1,0)</f>
        <v>1</v>
      </c>
    </row>
    <row r="558" spans="1:18" x14ac:dyDescent="0.25">
      <c r="A558" t="s">
        <v>578</v>
      </c>
      <c r="B558" s="1">
        <v>45635</v>
      </c>
      <c r="C558" t="s">
        <v>13</v>
      </c>
      <c r="D558">
        <v>89</v>
      </c>
      <c r="E558" t="s">
        <v>20</v>
      </c>
      <c r="F558">
        <v>27</v>
      </c>
      <c r="G558" t="s">
        <v>15</v>
      </c>
      <c r="H558">
        <v>1</v>
      </c>
      <c r="I558">
        <v>45</v>
      </c>
      <c r="J558">
        <v>25</v>
      </c>
      <c r="K558" t="s">
        <v>16</v>
      </c>
      <c r="L558" t="s">
        <v>17</v>
      </c>
      <c r="M558">
        <f>IF(Table1[[#This Row],[ألغى الاشتراك]]="نعم",1,0)</f>
        <v>0</v>
      </c>
      <c r="N558">
        <f>IF(Table1[[#This Row],[وسيلة الدفع]]="بطاقة",1,0)</f>
        <v>1</v>
      </c>
      <c r="O558">
        <f>IF(Table1[[#This Row],[وسيلة الدفع]]="محفظة",1,0)</f>
        <v>0</v>
      </c>
      <c r="P558">
        <f>IF(Table1[[#This Row],[وسيلة الدفع]]="تحويل",1,0)</f>
        <v>0</v>
      </c>
      <c r="Q558">
        <f>IF(Table1[[#This Row],[حضر التهيئة]]="نعم",1,0)</f>
        <v>1</v>
      </c>
      <c r="R558">
        <f>IF(Table1[[#This Row],[دورة الفوترة]]="شهري",1,0)</f>
        <v>0</v>
      </c>
    </row>
    <row r="559" spans="1:18" x14ac:dyDescent="0.25">
      <c r="A559" t="s">
        <v>579</v>
      </c>
      <c r="B559" s="1">
        <v>45337</v>
      </c>
      <c r="C559" t="s">
        <v>13</v>
      </c>
      <c r="D559">
        <v>89</v>
      </c>
      <c r="E559" t="s">
        <v>20</v>
      </c>
      <c r="F559">
        <v>1</v>
      </c>
      <c r="G559" t="s">
        <v>23</v>
      </c>
      <c r="H559">
        <v>1</v>
      </c>
      <c r="I559">
        <v>37</v>
      </c>
      <c r="J559">
        <v>10</v>
      </c>
      <c r="K559" t="s">
        <v>16</v>
      </c>
      <c r="L559" t="s">
        <v>17</v>
      </c>
      <c r="M559">
        <f>IF(Table1[[#This Row],[ألغى الاشتراك]]="نعم",1,0)</f>
        <v>0</v>
      </c>
      <c r="N559">
        <f>IF(Table1[[#This Row],[وسيلة الدفع]]="بطاقة",1,0)</f>
        <v>0</v>
      </c>
      <c r="O559">
        <f>IF(Table1[[#This Row],[وسيلة الدفع]]="محفظة",1,0)</f>
        <v>0</v>
      </c>
      <c r="P559">
        <f>IF(Table1[[#This Row],[وسيلة الدفع]]="تحويل",1,0)</f>
        <v>1</v>
      </c>
      <c r="Q559">
        <f>IF(Table1[[#This Row],[حضر التهيئة]]="نعم",1,0)</f>
        <v>1</v>
      </c>
      <c r="R559">
        <f>IF(Table1[[#This Row],[دورة الفوترة]]="شهري",1,0)</f>
        <v>0</v>
      </c>
    </row>
    <row r="560" spans="1:18" x14ac:dyDescent="0.25">
      <c r="A560" t="s">
        <v>580</v>
      </c>
      <c r="B560" s="1">
        <v>45977</v>
      </c>
      <c r="C560" t="s">
        <v>19</v>
      </c>
      <c r="D560">
        <v>189</v>
      </c>
      <c r="E560" t="s">
        <v>14</v>
      </c>
      <c r="F560">
        <v>23</v>
      </c>
      <c r="G560" t="s">
        <v>23</v>
      </c>
      <c r="H560">
        <v>2</v>
      </c>
      <c r="I560">
        <v>29</v>
      </c>
      <c r="J560">
        <v>0</v>
      </c>
      <c r="K560" t="s">
        <v>17</v>
      </c>
      <c r="L560" t="s">
        <v>17</v>
      </c>
      <c r="M560">
        <f>IF(Table1[[#This Row],[ألغى الاشتراك]]="نعم",1,0)</f>
        <v>0</v>
      </c>
      <c r="N560">
        <f>IF(Table1[[#This Row],[وسيلة الدفع]]="بطاقة",1,0)</f>
        <v>0</v>
      </c>
      <c r="O560">
        <f>IF(Table1[[#This Row],[وسيلة الدفع]]="محفظة",1,0)</f>
        <v>0</v>
      </c>
      <c r="P560">
        <f>IF(Table1[[#This Row],[وسيلة الدفع]]="تحويل",1,0)</f>
        <v>1</v>
      </c>
      <c r="Q560">
        <f>IF(Table1[[#This Row],[حضر التهيئة]]="نعم",1,0)</f>
        <v>0</v>
      </c>
      <c r="R560">
        <f>IF(Table1[[#This Row],[دورة الفوترة]]="شهري",1,0)</f>
        <v>1</v>
      </c>
    </row>
    <row r="561" spans="1:18" x14ac:dyDescent="0.25">
      <c r="A561" t="s">
        <v>581</v>
      </c>
      <c r="B561" s="1">
        <v>45505</v>
      </c>
      <c r="C561" t="s">
        <v>28</v>
      </c>
      <c r="D561">
        <v>39</v>
      </c>
      <c r="E561" t="s">
        <v>14</v>
      </c>
      <c r="F561">
        <v>26</v>
      </c>
      <c r="G561" t="s">
        <v>23</v>
      </c>
      <c r="H561">
        <v>0</v>
      </c>
      <c r="I561">
        <v>6</v>
      </c>
      <c r="J561">
        <v>0</v>
      </c>
      <c r="K561" t="s">
        <v>17</v>
      </c>
      <c r="L561" t="s">
        <v>16</v>
      </c>
      <c r="M561">
        <f>IF(Table1[[#This Row],[ألغى الاشتراك]]="نعم",1,0)</f>
        <v>1</v>
      </c>
      <c r="N561">
        <f>IF(Table1[[#This Row],[وسيلة الدفع]]="بطاقة",1,0)</f>
        <v>0</v>
      </c>
      <c r="O561">
        <f>IF(Table1[[#This Row],[وسيلة الدفع]]="محفظة",1,0)</f>
        <v>0</v>
      </c>
      <c r="P561">
        <f>IF(Table1[[#This Row],[وسيلة الدفع]]="تحويل",1,0)</f>
        <v>1</v>
      </c>
      <c r="Q561">
        <f>IF(Table1[[#This Row],[حضر التهيئة]]="نعم",1,0)</f>
        <v>0</v>
      </c>
      <c r="R561">
        <f>IF(Table1[[#This Row],[دورة الفوترة]]="شهري",1,0)</f>
        <v>1</v>
      </c>
    </row>
    <row r="562" spans="1:18" x14ac:dyDescent="0.25">
      <c r="A562" t="s">
        <v>582</v>
      </c>
      <c r="B562" s="1">
        <v>45671</v>
      </c>
      <c r="C562" t="s">
        <v>28</v>
      </c>
      <c r="D562">
        <v>39</v>
      </c>
      <c r="E562" t="s">
        <v>14</v>
      </c>
      <c r="F562">
        <v>27</v>
      </c>
      <c r="G562" t="s">
        <v>15</v>
      </c>
      <c r="H562">
        <v>4</v>
      </c>
      <c r="I562">
        <v>51</v>
      </c>
      <c r="J562">
        <v>0</v>
      </c>
      <c r="K562" t="s">
        <v>17</v>
      </c>
      <c r="L562" t="s">
        <v>17</v>
      </c>
      <c r="M562">
        <f>IF(Table1[[#This Row],[ألغى الاشتراك]]="نعم",1,0)</f>
        <v>0</v>
      </c>
      <c r="N562">
        <f>IF(Table1[[#This Row],[وسيلة الدفع]]="بطاقة",1,0)</f>
        <v>1</v>
      </c>
      <c r="O562">
        <f>IF(Table1[[#This Row],[وسيلة الدفع]]="محفظة",1,0)</f>
        <v>0</v>
      </c>
      <c r="P562">
        <f>IF(Table1[[#This Row],[وسيلة الدفع]]="تحويل",1,0)</f>
        <v>0</v>
      </c>
      <c r="Q562">
        <f>IF(Table1[[#This Row],[حضر التهيئة]]="نعم",1,0)</f>
        <v>0</v>
      </c>
      <c r="R562">
        <f>IF(Table1[[#This Row],[دورة الفوترة]]="شهري",1,0)</f>
        <v>1</v>
      </c>
    </row>
    <row r="563" spans="1:18" x14ac:dyDescent="0.25">
      <c r="A563" t="s">
        <v>583</v>
      </c>
      <c r="B563" s="1">
        <v>45568</v>
      </c>
      <c r="C563" t="s">
        <v>19</v>
      </c>
      <c r="D563">
        <v>189</v>
      </c>
      <c r="E563" t="s">
        <v>14</v>
      </c>
      <c r="F563">
        <v>2</v>
      </c>
      <c r="G563" t="s">
        <v>23</v>
      </c>
      <c r="H563">
        <v>2</v>
      </c>
      <c r="I563">
        <v>18</v>
      </c>
      <c r="J563">
        <v>0</v>
      </c>
      <c r="K563" t="s">
        <v>16</v>
      </c>
      <c r="L563" t="s">
        <v>17</v>
      </c>
      <c r="M563">
        <f>IF(Table1[[#This Row],[ألغى الاشتراك]]="نعم",1,0)</f>
        <v>0</v>
      </c>
      <c r="N563">
        <f>IF(Table1[[#This Row],[وسيلة الدفع]]="بطاقة",1,0)</f>
        <v>0</v>
      </c>
      <c r="O563">
        <f>IF(Table1[[#This Row],[وسيلة الدفع]]="محفظة",1,0)</f>
        <v>0</v>
      </c>
      <c r="P563">
        <f>IF(Table1[[#This Row],[وسيلة الدفع]]="تحويل",1,0)</f>
        <v>1</v>
      </c>
      <c r="Q563">
        <f>IF(Table1[[#This Row],[حضر التهيئة]]="نعم",1,0)</f>
        <v>1</v>
      </c>
      <c r="R563">
        <f>IF(Table1[[#This Row],[دورة الفوترة]]="شهري",1,0)</f>
        <v>1</v>
      </c>
    </row>
    <row r="564" spans="1:18" x14ac:dyDescent="0.25">
      <c r="A564" t="s">
        <v>584</v>
      </c>
      <c r="B564" s="1">
        <v>45744</v>
      </c>
      <c r="C564" t="s">
        <v>28</v>
      </c>
      <c r="D564">
        <v>39</v>
      </c>
      <c r="E564" t="s">
        <v>20</v>
      </c>
      <c r="F564">
        <v>29</v>
      </c>
      <c r="G564" t="s">
        <v>15</v>
      </c>
      <c r="H564">
        <v>2</v>
      </c>
      <c r="I564">
        <v>51</v>
      </c>
      <c r="J564">
        <v>0</v>
      </c>
      <c r="K564" t="s">
        <v>16</v>
      </c>
      <c r="L564" t="s">
        <v>17</v>
      </c>
      <c r="M564">
        <f>IF(Table1[[#This Row],[ألغى الاشتراك]]="نعم",1,0)</f>
        <v>0</v>
      </c>
      <c r="N564">
        <f>IF(Table1[[#This Row],[وسيلة الدفع]]="بطاقة",1,0)</f>
        <v>1</v>
      </c>
      <c r="O564">
        <f>IF(Table1[[#This Row],[وسيلة الدفع]]="محفظة",1,0)</f>
        <v>0</v>
      </c>
      <c r="P564">
        <f>IF(Table1[[#This Row],[وسيلة الدفع]]="تحويل",1,0)</f>
        <v>0</v>
      </c>
      <c r="Q564">
        <f>IF(Table1[[#This Row],[حضر التهيئة]]="نعم",1,0)</f>
        <v>1</v>
      </c>
      <c r="R564">
        <f>IF(Table1[[#This Row],[دورة الفوترة]]="شهري",1,0)</f>
        <v>0</v>
      </c>
    </row>
    <row r="565" spans="1:18" x14ac:dyDescent="0.25">
      <c r="A565" t="s">
        <v>585</v>
      </c>
      <c r="B565" s="1">
        <v>45525</v>
      </c>
      <c r="C565" t="s">
        <v>13</v>
      </c>
      <c r="D565">
        <v>89</v>
      </c>
      <c r="E565" t="s">
        <v>14</v>
      </c>
      <c r="F565">
        <v>4</v>
      </c>
      <c r="G565" t="s">
        <v>15</v>
      </c>
      <c r="H565">
        <v>0</v>
      </c>
      <c r="I565">
        <v>36</v>
      </c>
      <c r="J565">
        <v>0</v>
      </c>
      <c r="K565" t="s">
        <v>16</v>
      </c>
      <c r="L565" t="s">
        <v>17</v>
      </c>
      <c r="M565">
        <f>IF(Table1[[#This Row],[ألغى الاشتراك]]="نعم",1,0)</f>
        <v>0</v>
      </c>
      <c r="N565">
        <f>IF(Table1[[#This Row],[وسيلة الدفع]]="بطاقة",1,0)</f>
        <v>1</v>
      </c>
      <c r="O565">
        <f>IF(Table1[[#This Row],[وسيلة الدفع]]="محفظة",1,0)</f>
        <v>0</v>
      </c>
      <c r="P565">
        <f>IF(Table1[[#This Row],[وسيلة الدفع]]="تحويل",1,0)</f>
        <v>0</v>
      </c>
      <c r="Q565">
        <f>IF(Table1[[#This Row],[حضر التهيئة]]="نعم",1,0)</f>
        <v>1</v>
      </c>
      <c r="R565">
        <f>IF(Table1[[#This Row],[دورة الفوترة]]="شهري",1,0)</f>
        <v>1</v>
      </c>
    </row>
    <row r="566" spans="1:18" x14ac:dyDescent="0.25">
      <c r="A566" t="s">
        <v>586</v>
      </c>
      <c r="B566" s="1">
        <v>45910</v>
      </c>
      <c r="C566" t="s">
        <v>28</v>
      </c>
      <c r="D566">
        <v>39</v>
      </c>
      <c r="E566" t="s">
        <v>14</v>
      </c>
      <c r="F566">
        <v>15</v>
      </c>
      <c r="G566" t="s">
        <v>21</v>
      </c>
      <c r="H566">
        <v>2</v>
      </c>
      <c r="I566">
        <v>15</v>
      </c>
      <c r="J566">
        <v>0</v>
      </c>
      <c r="K566" t="s">
        <v>16</v>
      </c>
      <c r="L566" t="s">
        <v>17</v>
      </c>
      <c r="M566">
        <f>IF(Table1[[#This Row],[ألغى الاشتراك]]="نعم",1,0)</f>
        <v>0</v>
      </c>
      <c r="N566">
        <f>IF(Table1[[#This Row],[وسيلة الدفع]]="بطاقة",1,0)</f>
        <v>0</v>
      </c>
      <c r="O566">
        <f>IF(Table1[[#This Row],[وسيلة الدفع]]="محفظة",1,0)</f>
        <v>1</v>
      </c>
      <c r="P566">
        <f>IF(Table1[[#This Row],[وسيلة الدفع]]="تحويل",1,0)</f>
        <v>0</v>
      </c>
      <c r="Q566">
        <f>IF(Table1[[#This Row],[حضر التهيئة]]="نعم",1,0)</f>
        <v>1</v>
      </c>
      <c r="R566">
        <f>IF(Table1[[#This Row],[دورة الفوترة]]="شهري",1,0)</f>
        <v>1</v>
      </c>
    </row>
    <row r="567" spans="1:18" x14ac:dyDescent="0.25">
      <c r="A567" t="s">
        <v>587</v>
      </c>
      <c r="B567" s="1">
        <v>45744</v>
      </c>
      <c r="C567" t="s">
        <v>13</v>
      </c>
      <c r="D567">
        <v>89</v>
      </c>
      <c r="E567" t="s">
        <v>14</v>
      </c>
      <c r="F567">
        <v>4</v>
      </c>
      <c r="G567" t="s">
        <v>23</v>
      </c>
      <c r="H567">
        <v>0</v>
      </c>
      <c r="I567">
        <v>18</v>
      </c>
      <c r="J567">
        <v>15</v>
      </c>
      <c r="K567" t="s">
        <v>16</v>
      </c>
      <c r="L567" t="s">
        <v>17</v>
      </c>
      <c r="M567">
        <f>IF(Table1[[#This Row],[ألغى الاشتراك]]="نعم",1,0)</f>
        <v>0</v>
      </c>
      <c r="N567">
        <f>IF(Table1[[#This Row],[وسيلة الدفع]]="بطاقة",1,0)</f>
        <v>0</v>
      </c>
      <c r="O567">
        <f>IF(Table1[[#This Row],[وسيلة الدفع]]="محفظة",1,0)</f>
        <v>0</v>
      </c>
      <c r="P567">
        <f>IF(Table1[[#This Row],[وسيلة الدفع]]="تحويل",1,0)</f>
        <v>1</v>
      </c>
      <c r="Q567">
        <f>IF(Table1[[#This Row],[حضر التهيئة]]="نعم",1,0)</f>
        <v>1</v>
      </c>
      <c r="R567">
        <f>IF(Table1[[#This Row],[دورة الفوترة]]="شهري",1,0)</f>
        <v>1</v>
      </c>
    </row>
    <row r="568" spans="1:18" x14ac:dyDescent="0.25">
      <c r="A568" t="s">
        <v>588</v>
      </c>
      <c r="B568" s="1">
        <v>45383</v>
      </c>
      <c r="C568" t="s">
        <v>13</v>
      </c>
      <c r="D568">
        <v>89</v>
      </c>
      <c r="E568" t="s">
        <v>20</v>
      </c>
      <c r="F568">
        <v>26</v>
      </c>
      <c r="G568" t="s">
        <v>21</v>
      </c>
      <c r="H568">
        <v>1</v>
      </c>
      <c r="I568">
        <v>58</v>
      </c>
      <c r="J568">
        <v>0</v>
      </c>
      <c r="K568" t="s">
        <v>16</v>
      </c>
      <c r="L568" t="s">
        <v>17</v>
      </c>
      <c r="M568">
        <f>IF(Table1[[#This Row],[ألغى الاشتراك]]="نعم",1,0)</f>
        <v>0</v>
      </c>
      <c r="N568">
        <f>IF(Table1[[#This Row],[وسيلة الدفع]]="بطاقة",1,0)</f>
        <v>0</v>
      </c>
      <c r="O568">
        <f>IF(Table1[[#This Row],[وسيلة الدفع]]="محفظة",1,0)</f>
        <v>1</v>
      </c>
      <c r="P568">
        <f>IF(Table1[[#This Row],[وسيلة الدفع]]="تحويل",1,0)</f>
        <v>0</v>
      </c>
      <c r="Q568">
        <f>IF(Table1[[#This Row],[حضر التهيئة]]="نعم",1,0)</f>
        <v>1</v>
      </c>
      <c r="R568">
        <f>IF(Table1[[#This Row],[دورة الفوترة]]="شهري",1,0)</f>
        <v>0</v>
      </c>
    </row>
    <row r="569" spans="1:18" x14ac:dyDescent="0.25">
      <c r="A569" t="s">
        <v>589</v>
      </c>
      <c r="B569" s="1">
        <v>45783</v>
      </c>
      <c r="C569" t="s">
        <v>13</v>
      </c>
      <c r="D569">
        <v>89</v>
      </c>
      <c r="E569" t="s">
        <v>20</v>
      </c>
      <c r="F569">
        <v>9</v>
      </c>
      <c r="G569" t="s">
        <v>15</v>
      </c>
      <c r="H569">
        <v>0</v>
      </c>
      <c r="I569">
        <v>13</v>
      </c>
      <c r="J569">
        <v>0</v>
      </c>
      <c r="K569" t="s">
        <v>16</v>
      </c>
      <c r="L569" t="s">
        <v>17</v>
      </c>
      <c r="M569">
        <f>IF(Table1[[#This Row],[ألغى الاشتراك]]="نعم",1,0)</f>
        <v>0</v>
      </c>
      <c r="N569">
        <f>IF(Table1[[#This Row],[وسيلة الدفع]]="بطاقة",1,0)</f>
        <v>1</v>
      </c>
      <c r="O569">
        <f>IF(Table1[[#This Row],[وسيلة الدفع]]="محفظة",1,0)</f>
        <v>0</v>
      </c>
      <c r="P569">
        <f>IF(Table1[[#This Row],[وسيلة الدفع]]="تحويل",1,0)</f>
        <v>0</v>
      </c>
      <c r="Q569">
        <f>IF(Table1[[#This Row],[حضر التهيئة]]="نعم",1,0)</f>
        <v>1</v>
      </c>
      <c r="R569">
        <f>IF(Table1[[#This Row],[دورة الفوترة]]="شهري",1,0)</f>
        <v>0</v>
      </c>
    </row>
    <row r="570" spans="1:18" x14ac:dyDescent="0.25">
      <c r="A570" t="s">
        <v>590</v>
      </c>
      <c r="B570" s="1">
        <v>45450</v>
      </c>
      <c r="C570" t="s">
        <v>19</v>
      </c>
      <c r="D570">
        <v>189</v>
      </c>
      <c r="E570" t="s">
        <v>14</v>
      </c>
      <c r="F570">
        <v>4</v>
      </c>
      <c r="G570" t="s">
        <v>23</v>
      </c>
      <c r="H570">
        <v>2</v>
      </c>
      <c r="I570">
        <v>4</v>
      </c>
      <c r="J570">
        <v>0</v>
      </c>
      <c r="K570" t="s">
        <v>16</v>
      </c>
      <c r="L570" t="s">
        <v>17</v>
      </c>
      <c r="M570">
        <f>IF(Table1[[#This Row],[ألغى الاشتراك]]="نعم",1,0)</f>
        <v>0</v>
      </c>
      <c r="N570">
        <f>IF(Table1[[#This Row],[وسيلة الدفع]]="بطاقة",1,0)</f>
        <v>0</v>
      </c>
      <c r="O570">
        <f>IF(Table1[[#This Row],[وسيلة الدفع]]="محفظة",1,0)</f>
        <v>0</v>
      </c>
      <c r="P570">
        <f>IF(Table1[[#This Row],[وسيلة الدفع]]="تحويل",1,0)</f>
        <v>1</v>
      </c>
      <c r="Q570">
        <f>IF(Table1[[#This Row],[حضر التهيئة]]="نعم",1,0)</f>
        <v>1</v>
      </c>
      <c r="R570">
        <f>IF(Table1[[#This Row],[دورة الفوترة]]="شهري",1,0)</f>
        <v>1</v>
      </c>
    </row>
    <row r="571" spans="1:18" x14ac:dyDescent="0.25">
      <c r="A571" t="s">
        <v>591</v>
      </c>
      <c r="B571" s="1">
        <v>45854</v>
      </c>
      <c r="C571" t="s">
        <v>19</v>
      </c>
      <c r="D571">
        <v>189</v>
      </c>
      <c r="E571" t="s">
        <v>14</v>
      </c>
      <c r="F571">
        <v>29</v>
      </c>
      <c r="G571" t="s">
        <v>21</v>
      </c>
      <c r="H571">
        <v>1</v>
      </c>
      <c r="I571">
        <v>23</v>
      </c>
      <c r="J571">
        <v>0</v>
      </c>
      <c r="K571" t="s">
        <v>17</v>
      </c>
      <c r="L571" t="s">
        <v>17</v>
      </c>
      <c r="M571">
        <f>IF(Table1[[#This Row],[ألغى الاشتراك]]="نعم",1,0)</f>
        <v>0</v>
      </c>
      <c r="N571">
        <f>IF(Table1[[#This Row],[وسيلة الدفع]]="بطاقة",1,0)</f>
        <v>0</v>
      </c>
      <c r="O571">
        <f>IF(Table1[[#This Row],[وسيلة الدفع]]="محفظة",1,0)</f>
        <v>1</v>
      </c>
      <c r="P571">
        <f>IF(Table1[[#This Row],[وسيلة الدفع]]="تحويل",1,0)</f>
        <v>0</v>
      </c>
      <c r="Q571">
        <f>IF(Table1[[#This Row],[حضر التهيئة]]="نعم",1,0)</f>
        <v>0</v>
      </c>
      <c r="R571">
        <f>IF(Table1[[#This Row],[دورة الفوترة]]="شهري",1,0)</f>
        <v>1</v>
      </c>
    </row>
    <row r="572" spans="1:18" x14ac:dyDescent="0.25">
      <c r="A572" t="s">
        <v>592</v>
      </c>
      <c r="B572" s="1">
        <v>45407</v>
      </c>
      <c r="C572" t="s">
        <v>13</v>
      </c>
      <c r="D572">
        <v>89</v>
      </c>
      <c r="E572" t="s">
        <v>14</v>
      </c>
      <c r="F572">
        <v>28</v>
      </c>
      <c r="G572" t="s">
        <v>21</v>
      </c>
      <c r="H572">
        <v>0</v>
      </c>
      <c r="I572">
        <v>54</v>
      </c>
      <c r="J572">
        <v>0</v>
      </c>
      <c r="K572" t="s">
        <v>17</v>
      </c>
      <c r="L572" t="s">
        <v>17</v>
      </c>
      <c r="M572">
        <f>IF(Table1[[#This Row],[ألغى الاشتراك]]="نعم",1,0)</f>
        <v>0</v>
      </c>
      <c r="N572">
        <f>IF(Table1[[#This Row],[وسيلة الدفع]]="بطاقة",1,0)</f>
        <v>0</v>
      </c>
      <c r="O572">
        <f>IF(Table1[[#This Row],[وسيلة الدفع]]="محفظة",1,0)</f>
        <v>1</v>
      </c>
      <c r="P572">
        <f>IF(Table1[[#This Row],[وسيلة الدفع]]="تحويل",1,0)</f>
        <v>0</v>
      </c>
      <c r="Q572">
        <f>IF(Table1[[#This Row],[حضر التهيئة]]="نعم",1,0)</f>
        <v>0</v>
      </c>
      <c r="R572">
        <f>IF(Table1[[#This Row],[دورة الفوترة]]="شهري",1,0)</f>
        <v>1</v>
      </c>
    </row>
    <row r="573" spans="1:18" x14ac:dyDescent="0.25">
      <c r="A573" t="s">
        <v>593</v>
      </c>
      <c r="B573" s="1">
        <v>45683</v>
      </c>
      <c r="C573" t="s">
        <v>13</v>
      </c>
      <c r="D573">
        <v>89</v>
      </c>
      <c r="E573" t="s">
        <v>14</v>
      </c>
      <c r="F573">
        <v>25</v>
      </c>
      <c r="G573" t="s">
        <v>15</v>
      </c>
      <c r="H573">
        <v>1</v>
      </c>
      <c r="I573">
        <v>31</v>
      </c>
      <c r="J573">
        <v>0</v>
      </c>
      <c r="K573" t="s">
        <v>17</v>
      </c>
      <c r="L573" t="s">
        <v>17</v>
      </c>
      <c r="M573">
        <f>IF(Table1[[#This Row],[ألغى الاشتراك]]="نعم",1,0)</f>
        <v>0</v>
      </c>
      <c r="N573">
        <f>IF(Table1[[#This Row],[وسيلة الدفع]]="بطاقة",1,0)</f>
        <v>1</v>
      </c>
      <c r="O573">
        <f>IF(Table1[[#This Row],[وسيلة الدفع]]="محفظة",1,0)</f>
        <v>0</v>
      </c>
      <c r="P573">
        <f>IF(Table1[[#This Row],[وسيلة الدفع]]="تحويل",1,0)</f>
        <v>0</v>
      </c>
      <c r="Q573">
        <f>IF(Table1[[#This Row],[حضر التهيئة]]="نعم",1,0)</f>
        <v>0</v>
      </c>
      <c r="R573">
        <f>IF(Table1[[#This Row],[دورة الفوترة]]="شهري",1,0)</f>
        <v>1</v>
      </c>
    </row>
    <row r="574" spans="1:18" x14ac:dyDescent="0.25">
      <c r="A574" t="s">
        <v>594</v>
      </c>
      <c r="B574" s="1">
        <v>45568</v>
      </c>
      <c r="C574" t="s">
        <v>19</v>
      </c>
      <c r="D574">
        <v>189</v>
      </c>
      <c r="E574" t="s">
        <v>14</v>
      </c>
      <c r="F574">
        <v>28</v>
      </c>
      <c r="G574" t="s">
        <v>15</v>
      </c>
      <c r="H574">
        <v>2</v>
      </c>
      <c r="I574">
        <v>10</v>
      </c>
      <c r="J574">
        <v>0</v>
      </c>
      <c r="K574" t="s">
        <v>16</v>
      </c>
      <c r="L574" t="s">
        <v>17</v>
      </c>
      <c r="M574">
        <f>IF(Table1[[#This Row],[ألغى الاشتراك]]="نعم",1,0)</f>
        <v>0</v>
      </c>
      <c r="N574">
        <f>IF(Table1[[#This Row],[وسيلة الدفع]]="بطاقة",1,0)</f>
        <v>1</v>
      </c>
      <c r="O574">
        <f>IF(Table1[[#This Row],[وسيلة الدفع]]="محفظة",1,0)</f>
        <v>0</v>
      </c>
      <c r="P574">
        <f>IF(Table1[[#This Row],[وسيلة الدفع]]="تحويل",1,0)</f>
        <v>0</v>
      </c>
      <c r="Q574">
        <f>IF(Table1[[#This Row],[حضر التهيئة]]="نعم",1,0)</f>
        <v>1</v>
      </c>
      <c r="R574">
        <f>IF(Table1[[#This Row],[دورة الفوترة]]="شهري",1,0)</f>
        <v>1</v>
      </c>
    </row>
    <row r="575" spans="1:18" x14ac:dyDescent="0.25">
      <c r="A575" t="s">
        <v>595</v>
      </c>
      <c r="B575" s="1">
        <v>45981</v>
      </c>
      <c r="C575" t="s">
        <v>13</v>
      </c>
      <c r="D575">
        <v>89</v>
      </c>
      <c r="E575" t="s">
        <v>14</v>
      </c>
      <c r="F575">
        <v>23</v>
      </c>
      <c r="G575" t="s">
        <v>15</v>
      </c>
      <c r="H575">
        <v>4</v>
      </c>
      <c r="I575">
        <v>51</v>
      </c>
      <c r="J575">
        <v>0</v>
      </c>
      <c r="K575" t="s">
        <v>17</v>
      </c>
      <c r="L575" t="s">
        <v>17</v>
      </c>
      <c r="M575">
        <f>IF(Table1[[#This Row],[ألغى الاشتراك]]="نعم",1,0)</f>
        <v>0</v>
      </c>
      <c r="N575">
        <f>IF(Table1[[#This Row],[وسيلة الدفع]]="بطاقة",1,0)</f>
        <v>1</v>
      </c>
      <c r="O575">
        <f>IF(Table1[[#This Row],[وسيلة الدفع]]="محفظة",1,0)</f>
        <v>0</v>
      </c>
      <c r="P575">
        <f>IF(Table1[[#This Row],[وسيلة الدفع]]="تحويل",1,0)</f>
        <v>0</v>
      </c>
      <c r="Q575">
        <f>IF(Table1[[#This Row],[حضر التهيئة]]="نعم",1,0)</f>
        <v>0</v>
      </c>
      <c r="R575">
        <f>IF(Table1[[#This Row],[دورة الفوترة]]="شهري",1,0)</f>
        <v>1</v>
      </c>
    </row>
    <row r="576" spans="1:18" x14ac:dyDescent="0.25">
      <c r="A576" t="s">
        <v>596</v>
      </c>
      <c r="B576" s="1">
        <v>45387</v>
      </c>
      <c r="C576" t="s">
        <v>13</v>
      </c>
      <c r="D576">
        <v>89</v>
      </c>
      <c r="E576" t="s">
        <v>14</v>
      </c>
      <c r="F576">
        <v>28</v>
      </c>
      <c r="G576" t="s">
        <v>15</v>
      </c>
      <c r="H576">
        <v>1</v>
      </c>
      <c r="I576">
        <v>40</v>
      </c>
      <c r="J576">
        <v>0</v>
      </c>
      <c r="K576" t="s">
        <v>17</v>
      </c>
      <c r="L576" t="s">
        <v>17</v>
      </c>
      <c r="M576">
        <f>IF(Table1[[#This Row],[ألغى الاشتراك]]="نعم",1,0)</f>
        <v>0</v>
      </c>
      <c r="N576">
        <f>IF(Table1[[#This Row],[وسيلة الدفع]]="بطاقة",1,0)</f>
        <v>1</v>
      </c>
      <c r="O576">
        <f>IF(Table1[[#This Row],[وسيلة الدفع]]="محفظة",1,0)</f>
        <v>0</v>
      </c>
      <c r="P576">
        <f>IF(Table1[[#This Row],[وسيلة الدفع]]="تحويل",1,0)</f>
        <v>0</v>
      </c>
      <c r="Q576">
        <f>IF(Table1[[#This Row],[حضر التهيئة]]="نعم",1,0)</f>
        <v>0</v>
      </c>
      <c r="R576">
        <f>IF(Table1[[#This Row],[دورة الفوترة]]="شهري",1,0)</f>
        <v>1</v>
      </c>
    </row>
    <row r="577" spans="1:18" x14ac:dyDescent="0.25">
      <c r="A577" t="s">
        <v>597</v>
      </c>
      <c r="B577" s="1">
        <v>45922</v>
      </c>
      <c r="C577" t="s">
        <v>19</v>
      </c>
      <c r="D577">
        <v>189</v>
      </c>
      <c r="E577" t="s">
        <v>20</v>
      </c>
      <c r="F577">
        <v>13</v>
      </c>
      <c r="G577" t="s">
        <v>23</v>
      </c>
      <c r="H577">
        <v>1</v>
      </c>
      <c r="I577">
        <v>35</v>
      </c>
      <c r="J577">
        <v>0</v>
      </c>
      <c r="K577" t="s">
        <v>16</v>
      </c>
      <c r="L577" t="s">
        <v>17</v>
      </c>
      <c r="M577">
        <f>IF(Table1[[#This Row],[ألغى الاشتراك]]="نعم",1,0)</f>
        <v>0</v>
      </c>
      <c r="N577">
        <f>IF(Table1[[#This Row],[وسيلة الدفع]]="بطاقة",1,0)</f>
        <v>0</v>
      </c>
      <c r="O577">
        <f>IF(Table1[[#This Row],[وسيلة الدفع]]="محفظة",1,0)</f>
        <v>0</v>
      </c>
      <c r="P577">
        <f>IF(Table1[[#This Row],[وسيلة الدفع]]="تحويل",1,0)</f>
        <v>1</v>
      </c>
      <c r="Q577">
        <f>IF(Table1[[#This Row],[حضر التهيئة]]="نعم",1,0)</f>
        <v>1</v>
      </c>
      <c r="R577">
        <f>IF(Table1[[#This Row],[دورة الفوترة]]="شهري",1,0)</f>
        <v>0</v>
      </c>
    </row>
    <row r="578" spans="1:18" x14ac:dyDescent="0.25">
      <c r="A578" t="s">
        <v>598</v>
      </c>
      <c r="B578" s="1">
        <v>45862</v>
      </c>
      <c r="C578" t="s">
        <v>28</v>
      </c>
      <c r="D578">
        <v>39</v>
      </c>
      <c r="E578" t="s">
        <v>20</v>
      </c>
      <c r="F578">
        <v>10</v>
      </c>
      <c r="G578" t="s">
        <v>15</v>
      </c>
      <c r="H578">
        <v>2</v>
      </c>
      <c r="I578">
        <v>24</v>
      </c>
      <c r="J578">
        <v>15</v>
      </c>
      <c r="K578" t="s">
        <v>17</v>
      </c>
      <c r="L578" t="s">
        <v>17</v>
      </c>
      <c r="M578">
        <f>IF(Table1[[#This Row],[ألغى الاشتراك]]="نعم",1,0)</f>
        <v>0</v>
      </c>
      <c r="N578">
        <f>IF(Table1[[#This Row],[وسيلة الدفع]]="بطاقة",1,0)</f>
        <v>1</v>
      </c>
      <c r="O578">
        <f>IF(Table1[[#This Row],[وسيلة الدفع]]="محفظة",1,0)</f>
        <v>0</v>
      </c>
      <c r="P578">
        <f>IF(Table1[[#This Row],[وسيلة الدفع]]="تحويل",1,0)</f>
        <v>0</v>
      </c>
      <c r="Q578">
        <f>IF(Table1[[#This Row],[حضر التهيئة]]="نعم",1,0)</f>
        <v>0</v>
      </c>
      <c r="R578">
        <f>IF(Table1[[#This Row],[دورة الفوترة]]="شهري",1,0)</f>
        <v>0</v>
      </c>
    </row>
    <row r="579" spans="1:18" x14ac:dyDescent="0.25">
      <c r="A579" t="s">
        <v>599</v>
      </c>
      <c r="B579" s="1">
        <v>45521</v>
      </c>
      <c r="C579" t="s">
        <v>28</v>
      </c>
      <c r="D579">
        <v>39</v>
      </c>
      <c r="E579" t="s">
        <v>20</v>
      </c>
      <c r="F579">
        <v>12</v>
      </c>
      <c r="G579" t="s">
        <v>15</v>
      </c>
      <c r="H579">
        <v>1</v>
      </c>
      <c r="I579">
        <v>40</v>
      </c>
      <c r="J579">
        <v>0</v>
      </c>
      <c r="K579" t="s">
        <v>17</v>
      </c>
      <c r="L579" t="s">
        <v>17</v>
      </c>
      <c r="M579">
        <f>IF(Table1[[#This Row],[ألغى الاشتراك]]="نعم",1,0)</f>
        <v>0</v>
      </c>
      <c r="N579">
        <f>IF(Table1[[#This Row],[وسيلة الدفع]]="بطاقة",1,0)</f>
        <v>1</v>
      </c>
      <c r="O579">
        <f>IF(Table1[[#This Row],[وسيلة الدفع]]="محفظة",1,0)</f>
        <v>0</v>
      </c>
      <c r="P579">
        <f>IF(Table1[[#This Row],[وسيلة الدفع]]="تحويل",1,0)</f>
        <v>0</v>
      </c>
      <c r="Q579">
        <f>IF(Table1[[#This Row],[حضر التهيئة]]="نعم",1,0)</f>
        <v>0</v>
      </c>
      <c r="R579">
        <f>IF(Table1[[#This Row],[دورة الفوترة]]="شهري",1,0)</f>
        <v>0</v>
      </c>
    </row>
    <row r="580" spans="1:18" x14ac:dyDescent="0.25">
      <c r="A580" t="s">
        <v>600</v>
      </c>
      <c r="B580" s="1">
        <v>45663</v>
      </c>
      <c r="C580" t="s">
        <v>13</v>
      </c>
      <c r="D580">
        <v>89</v>
      </c>
      <c r="E580" t="s">
        <v>14</v>
      </c>
      <c r="F580">
        <v>23</v>
      </c>
      <c r="G580" t="s">
        <v>15</v>
      </c>
      <c r="H580">
        <v>1</v>
      </c>
      <c r="I580">
        <v>49</v>
      </c>
      <c r="J580">
        <v>0</v>
      </c>
      <c r="K580" t="s">
        <v>16</v>
      </c>
      <c r="L580" t="s">
        <v>17</v>
      </c>
      <c r="M580">
        <f>IF(Table1[[#This Row],[ألغى الاشتراك]]="نعم",1,0)</f>
        <v>0</v>
      </c>
      <c r="N580">
        <f>IF(Table1[[#This Row],[وسيلة الدفع]]="بطاقة",1,0)</f>
        <v>1</v>
      </c>
      <c r="O580">
        <f>IF(Table1[[#This Row],[وسيلة الدفع]]="محفظة",1,0)</f>
        <v>0</v>
      </c>
      <c r="P580">
        <f>IF(Table1[[#This Row],[وسيلة الدفع]]="تحويل",1,0)</f>
        <v>0</v>
      </c>
      <c r="Q580">
        <f>IF(Table1[[#This Row],[حضر التهيئة]]="نعم",1,0)</f>
        <v>1</v>
      </c>
      <c r="R580">
        <f>IF(Table1[[#This Row],[دورة الفوترة]]="شهري",1,0)</f>
        <v>1</v>
      </c>
    </row>
    <row r="581" spans="1:18" x14ac:dyDescent="0.25">
      <c r="A581" t="s">
        <v>601</v>
      </c>
      <c r="B581" s="1">
        <v>45458</v>
      </c>
      <c r="C581" t="s">
        <v>28</v>
      </c>
      <c r="D581">
        <v>39</v>
      </c>
      <c r="E581" t="s">
        <v>14</v>
      </c>
      <c r="F581">
        <v>6</v>
      </c>
      <c r="G581" t="s">
        <v>15</v>
      </c>
      <c r="H581">
        <v>2</v>
      </c>
      <c r="I581">
        <v>24</v>
      </c>
      <c r="J581">
        <v>0</v>
      </c>
      <c r="K581" t="s">
        <v>17</v>
      </c>
      <c r="L581" t="s">
        <v>17</v>
      </c>
      <c r="M581">
        <f>IF(Table1[[#This Row],[ألغى الاشتراك]]="نعم",1,0)</f>
        <v>0</v>
      </c>
      <c r="N581">
        <f>IF(Table1[[#This Row],[وسيلة الدفع]]="بطاقة",1,0)</f>
        <v>1</v>
      </c>
      <c r="O581">
        <f>IF(Table1[[#This Row],[وسيلة الدفع]]="محفظة",1,0)</f>
        <v>0</v>
      </c>
      <c r="P581">
        <f>IF(Table1[[#This Row],[وسيلة الدفع]]="تحويل",1,0)</f>
        <v>0</v>
      </c>
      <c r="Q581">
        <f>IF(Table1[[#This Row],[حضر التهيئة]]="نعم",1,0)</f>
        <v>0</v>
      </c>
      <c r="R581">
        <f>IF(Table1[[#This Row],[دورة الفوترة]]="شهري",1,0)</f>
        <v>1</v>
      </c>
    </row>
    <row r="582" spans="1:18" x14ac:dyDescent="0.25">
      <c r="A582" t="s">
        <v>602</v>
      </c>
      <c r="B582" s="1">
        <v>45862</v>
      </c>
      <c r="C582" t="s">
        <v>28</v>
      </c>
      <c r="D582">
        <v>39</v>
      </c>
      <c r="E582" t="s">
        <v>20</v>
      </c>
      <c r="F582">
        <v>29</v>
      </c>
      <c r="G582" t="s">
        <v>15</v>
      </c>
      <c r="H582">
        <v>0</v>
      </c>
      <c r="I582">
        <v>27</v>
      </c>
      <c r="J582">
        <v>0</v>
      </c>
      <c r="K582" t="s">
        <v>17</v>
      </c>
      <c r="L582" t="s">
        <v>17</v>
      </c>
      <c r="M582">
        <f>IF(Table1[[#This Row],[ألغى الاشتراك]]="نعم",1,0)</f>
        <v>0</v>
      </c>
      <c r="N582">
        <f>IF(Table1[[#This Row],[وسيلة الدفع]]="بطاقة",1,0)</f>
        <v>1</v>
      </c>
      <c r="O582">
        <f>IF(Table1[[#This Row],[وسيلة الدفع]]="محفظة",1,0)</f>
        <v>0</v>
      </c>
      <c r="P582">
        <f>IF(Table1[[#This Row],[وسيلة الدفع]]="تحويل",1,0)</f>
        <v>0</v>
      </c>
      <c r="Q582">
        <f>IF(Table1[[#This Row],[حضر التهيئة]]="نعم",1,0)</f>
        <v>0</v>
      </c>
      <c r="R582">
        <f>IF(Table1[[#This Row],[دورة الفوترة]]="شهري",1,0)</f>
        <v>0</v>
      </c>
    </row>
    <row r="583" spans="1:18" x14ac:dyDescent="0.25">
      <c r="A583" t="s">
        <v>603</v>
      </c>
      <c r="B583" s="1">
        <v>45635</v>
      </c>
      <c r="C583" t="s">
        <v>13</v>
      </c>
      <c r="D583">
        <v>89</v>
      </c>
      <c r="E583" t="s">
        <v>20</v>
      </c>
      <c r="F583">
        <v>6</v>
      </c>
      <c r="G583" t="s">
        <v>15</v>
      </c>
      <c r="H583">
        <v>2</v>
      </c>
      <c r="I583">
        <v>12</v>
      </c>
      <c r="J583">
        <v>0</v>
      </c>
      <c r="K583" t="s">
        <v>16</v>
      </c>
      <c r="L583" t="s">
        <v>17</v>
      </c>
      <c r="M583">
        <f>IF(Table1[[#This Row],[ألغى الاشتراك]]="نعم",1,0)</f>
        <v>0</v>
      </c>
      <c r="N583">
        <f>IF(Table1[[#This Row],[وسيلة الدفع]]="بطاقة",1,0)</f>
        <v>1</v>
      </c>
      <c r="O583">
        <f>IF(Table1[[#This Row],[وسيلة الدفع]]="محفظة",1,0)</f>
        <v>0</v>
      </c>
      <c r="P583">
        <f>IF(Table1[[#This Row],[وسيلة الدفع]]="تحويل",1,0)</f>
        <v>0</v>
      </c>
      <c r="Q583">
        <f>IF(Table1[[#This Row],[حضر التهيئة]]="نعم",1,0)</f>
        <v>1</v>
      </c>
      <c r="R583">
        <f>IF(Table1[[#This Row],[دورة الفوترة]]="شهري",1,0)</f>
        <v>0</v>
      </c>
    </row>
    <row r="584" spans="1:18" x14ac:dyDescent="0.25">
      <c r="A584" t="s">
        <v>604</v>
      </c>
      <c r="B584" s="1">
        <v>45795</v>
      </c>
      <c r="C584" t="s">
        <v>19</v>
      </c>
      <c r="D584">
        <v>189</v>
      </c>
      <c r="E584" t="s">
        <v>20</v>
      </c>
      <c r="F584">
        <v>3</v>
      </c>
      <c r="G584" t="s">
        <v>15</v>
      </c>
      <c r="H584">
        <v>2</v>
      </c>
      <c r="I584">
        <v>33</v>
      </c>
      <c r="J584">
        <v>0</v>
      </c>
      <c r="K584" t="s">
        <v>16</v>
      </c>
      <c r="L584" t="s">
        <v>17</v>
      </c>
      <c r="M584">
        <f>IF(Table1[[#This Row],[ألغى الاشتراك]]="نعم",1,0)</f>
        <v>0</v>
      </c>
      <c r="N584">
        <f>IF(Table1[[#This Row],[وسيلة الدفع]]="بطاقة",1,0)</f>
        <v>1</v>
      </c>
      <c r="O584">
        <f>IF(Table1[[#This Row],[وسيلة الدفع]]="محفظة",1,0)</f>
        <v>0</v>
      </c>
      <c r="P584">
        <f>IF(Table1[[#This Row],[وسيلة الدفع]]="تحويل",1,0)</f>
        <v>0</v>
      </c>
      <c r="Q584">
        <f>IF(Table1[[#This Row],[حضر التهيئة]]="نعم",1,0)</f>
        <v>1</v>
      </c>
      <c r="R584">
        <f>IF(Table1[[#This Row],[دورة الفوترة]]="شهري",1,0)</f>
        <v>0</v>
      </c>
    </row>
    <row r="585" spans="1:18" x14ac:dyDescent="0.25">
      <c r="A585" t="s">
        <v>605</v>
      </c>
      <c r="B585" s="1">
        <v>45592</v>
      </c>
      <c r="C585" t="s">
        <v>28</v>
      </c>
      <c r="D585">
        <v>39</v>
      </c>
      <c r="E585" t="s">
        <v>14</v>
      </c>
      <c r="F585">
        <v>18</v>
      </c>
      <c r="G585" t="s">
        <v>15</v>
      </c>
      <c r="H585">
        <v>2</v>
      </c>
      <c r="I585">
        <v>30</v>
      </c>
      <c r="J585">
        <v>0</v>
      </c>
      <c r="K585" t="s">
        <v>16</v>
      </c>
      <c r="L585" t="s">
        <v>17</v>
      </c>
      <c r="M585">
        <f>IF(Table1[[#This Row],[ألغى الاشتراك]]="نعم",1,0)</f>
        <v>0</v>
      </c>
      <c r="N585">
        <f>IF(Table1[[#This Row],[وسيلة الدفع]]="بطاقة",1,0)</f>
        <v>1</v>
      </c>
      <c r="O585">
        <f>IF(Table1[[#This Row],[وسيلة الدفع]]="محفظة",1,0)</f>
        <v>0</v>
      </c>
      <c r="P585">
        <f>IF(Table1[[#This Row],[وسيلة الدفع]]="تحويل",1,0)</f>
        <v>0</v>
      </c>
      <c r="Q585">
        <f>IF(Table1[[#This Row],[حضر التهيئة]]="نعم",1,0)</f>
        <v>1</v>
      </c>
      <c r="R585">
        <f>IF(Table1[[#This Row],[دورة الفوترة]]="شهري",1,0)</f>
        <v>1</v>
      </c>
    </row>
    <row r="586" spans="1:18" x14ac:dyDescent="0.25">
      <c r="A586" t="s">
        <v>606</v>
      </c>
      <c r="B586" s="1">
        <v>45981</v>
      </c>
      <c r="C586" t="s">
        <v>19</v>
      </c>
      <c r="D586">
        <v>189</v>
      </c>
      <c r="E586" t="s">
        <v>20</v>
      </c>
      <c r="F586">
        <v>15</v>
      </c>
      <c r="G586" t="s">
        <v>15</v>
      </c>
      <c r="H586">
        <v>0</v>
      </c>
      <c r="I586">
        <v>13</v>
      </c>
      <c r="J586">
        <v>0</v>
      </c>
      <c r="K586" t="s">
        <v>16</v>
      </c>
      <c r="L586" t="s">
        <v>17</v>
      </c>
      <c r="M586">
        <f>IF(Table1[[#This Row],[ألغى الاشتراك]]="نعم",1,0)</f>
        <v>0</v>
      </c>
      <c r="N586">
        <f>IF(Table1[[#This Row],[وسيلة الدفع]]="بطاقة",1,0)</f>
        <v>1</v>
      </c>
      <c r="O586">
        <f>IF(Table1[[#This Row],[وسيلة الدفع]]="محفظة",1,0)</f>
        <v>0</v>
      </c>
      <c r="P586">
        <f>IF(Table1[[#This Row],[وسيلة الدفع]]="تحويل",1,0)</f>
        <v>0</v>
      </c>
      <c r="Q586">
        <f>IF(Table1[[#This Row],[حضر التهيئة]]="نعم",1,0)</f>
        <v>1</v>
      </c>
      <c r="R586">
        <f>IF(Table1[[#This Row],[دورة الفوترة]]="شهري",1,0)</f>
        <v>0</v>
      </c>
    </row>
    <row r="587" spans="1:18" x14ac:dyDescent="0.25">
      <c r="A587" t="s">
        <v>607</v>
      </c>
      <c r="B587" s="1">
        <v>45803</v>
      </c>
      <c r="C587" t="s">
        <v>19</v>
      </c>
      <c r="D587">
        <v>189</v>
      </c>
      <c r="E587" t="s">
        <v>14</v>
      </c>
      <c r="F587">
        <v>18</v>
      </c>
      <c r="G587" t="s">
        <v>15</v>
      </c>
      <c r="H587">
        <v>1</v>
      </c>
      <c r="I587">
        <v>50</v>
      </c>
      <c r="J587">
        <v>5</v>
      </c>
      <c r="K587" t="s">
        <v>17</v>
      </c>
      <c r="L587" t="s">
        <v>17</v>
      </c>
      <c r="M587">
        <f>IF(Table1[[#This Row],[ألغى الاشتراك]]="نعم",1,0)</f>
        <v>0</v>
      </c>
      <c r="N587">
        <f>IF(Table1[[#This Row],[وسيلة الدفع]]="بطاقة",1,0)</f>
        <v>1</v>
      </c>
      <c r="O587">
        <f>IF(Table1[[#This Row],[وسيلة الدفع]]="محفظة",1,0)</f>
        <v>0</v>
      </c>
      <c r="P587">
        <f>IF(Table1[[#This Row],[وسيلة الدفع]]="تحويل",1,0)</f>
        <v>0</v>
      </c>
      <c r="Q587">
        <f>IF(Table1[[#This Row],[حضر التهيئة]]="نعم",1,0)</f>
        <v>0</v>
      </c>
      <c r="R587">
        <f>IF(Table1[[#This Row],[دورة الفوترة]]="شهري",1,0)</f>
        <v>1</v>
      </c>
    </row>
    <row r="588" spans="1:18" x14ac:dyDescent="0.25">
      <c r="A588" t="s">
        <v>608</v>
      </c>
      <c r="B588" s="1">
        <v>45341</v>
      </c>
      <c r="C588" t="s">
        <v>13</v>
      </c>
      <c r="D588">
        <v>89</v>
      </c>
      <c r="E588" t="s">
        <v>20</v>
      </c>
      <c r="F588">
        <v>26</v>
      </c>
      <c r="G588" t="s">
        <v>21</v>
      </c>
      <c r="H588">
        <v>0</v>
      </c>
      <c r="I588">
        <v>44</v>
      </c>
      <c r="J588">
        <v>0</v>
      </c>
      <c r="K588" t="s">
        <v>16</v>
      </c>
      <c r="L588" t="s">
        <v>17</v>
      </c>
      <c r="M588">
        <f>IF(Table1[[#This Row],[ألغى الاشتراك]]="نعم",1,0)</f>
        <v>0</v>
      </c>
      <c r="N588">
        <f>IF(Table1[[#This Row],[وسيلة الدفع]]="بطاقة",1,0)</f>
        <v>0</v>
      </c>
      <c r="O588">
        <f>IF(Table1[[#This Row],[وسيلة الدفع]]="محفظة",1,0)</f>
        <v>1</v>
      </c>
      <c r="P588">
        <f>IF(Table1[[#This Row],[وسيلة الدفع]]="تحويل",1,0)</f>
        <v>0</v>
      </c>
      <c r="Q588">
        <f>IF(Table1[[#This Row],[حضر التهيئة]]="نعم",1,0)</f>
        <v>1</v>
      </c>
      <c r="R588">
        <f>IF(Table1[[#This Row],[دورة الفوترة]]="شهري",1,0)</f>
        <v>0</v>
      </c>
    </row>
    <row r="589" spans="1:18" x14ac:dyDescent="0.25">
      <c r="A589" t="s">
        <v>609</v>
      </c>
      <c r="B589" s="1">
        <v>45862</v>
      </c>
      <c r="C589" t="s">
        <v>13</v>
      </c>
      <c r="D589">
        <v>89</v>
      </c>
      <c r="E589" t="s">
        <v>20</v>
      </c>
      <c r="F589">
        <v>9</v>
      </c>
      <c r="G589" t="s">
        <v>23</v>
      </c>
      <c r="H589">
        <v>6</v>
      </c>
      <c r="I589">
        <v>27</v>
      </c>
      <c r="J589">
        <v>0</v>
      </c>
      <c r="K589" t="s">
        <v>17</v>
      </c>
      <c r="L589" t="s">
        <v>17</v>
      </c>
      <c r="M589">
        <f>IF(Table1[[#This Row],[ألغى الاشتراك]]="نعم",1,0)</f>
        <v>0</v>
      </c>
      <c r="N589">
        <f>IF(Table1[[#This Row],[وسيلة الدفع]]="بطاقة",1,0)</f>
        <v>0</v>
      </c>
      <c r="O589">
        <f>IF(Table1[[#This Row],[وسيلة الدفع]]="محفظة",1,0)</f>
        <v>0</v>
      </c>
      <c r="P589">
        <f>IF(Table1[[#This Row],[وسيلة الدفع]]="تحويل",1,0)</f>
        <v>1</v>
      </c>
      <c r="Q589">
        <f>IF(Table1[[#This Row],[حضر التهيئة]]="نعم",1,0)</f>
        <v>0</v>
      </c>
      <c r="R589">
        <f>IF(Table1[[#This Row],[دورة الفوترة]]="شهري",1,0)</f>
        <v>0</v>
      </c>
    </row>
    <row r="590" spans="1:18" x14ac:dyDescent="0.25">
      <c r="A590" t="s">
        <v>610</v>
      </c>
      <c r="B590" s="1">
        <v>45521</v>
      </c>
      <c r="C590" t="s">
        <v>19</v>
      </c>
      <c r="D590">
        <v>189</v>
      </c>
      <c r="E590" t="s">
        <v>20</v>
      </c>
      <c r="F590">
        <v>20</v>
      </c>
      <c r="G590" t="s">
        <v>21</v>
      </c>
      <c r="H590">
        <v>11</v>
      </c>
      <c r="I590">
        <v>44</v>
      </c>
      <c r="J590">
        <v>0</v>
      </c>
      <c r="K590" t="s">
        <v>16</v>
      </c>
      <c r="L590" t="s">
        <v>17</v>
      </c>
      <c r="M590">
        <f>IF(Table1[[#This Row],[ألغى الاشتراك]]="نعم",1,0)</f>
        <v>0</v>
      </c>
      <c r="N590">
        <f>IF(Table1[[#This Row],[وسيلة الدفع]]="بطاقة",1,0)</f>
        <v>0</v>
      </c>
      <c r="O590">
        <f>IF(Table1[[#This Row],[وسيلة الدفع]]="محفظة",1,0)</f>
        <v>1</v>
      </c>
      <c r="P590">
        <f>IF(Table1[[#This Row],[وسيلة الدفع]]="تحويل",1,0)</f>
        <v>0</v>
      </c>
      <c r="Q590">
        <f>IF(Table1[[#This Row],[حضر التهيئة]]="نعم",1,0)</f>
        <v>1</v>
      </c>
      <c r="R590">
        <f>IF(Table1[[#This Row],[دورة الفوترة]]="شهري",1,0)</f>
        <v>0</v>
      </c>
    </row>
    <row r="591" spans="1:18" x14ac:dyDescent="0.25">
      <c r="A591" t="s">
        <v>611</v>
      </c>
      <c r="B591" s="1">
        <v>45795</v>
      </c>
      <c r="C591" t="s">
        <v>28</v>
      </c>
      <c r="D591">
        <v>39</v>
      </c>
      <c r="E591" t="s">
        <v>14</v>
      </c>
      <c r="F591">
        <v>21</v>
      </c>
      <c r="G591" t="s">
        <v>23</v>
      </c>
      <c r="H591">
        <v>1</v>
      </c>
      <c r="I591">
        <v>47</v>
      </c>
      <c r="J591">
        <v>0</v>
      </c>
      <c r="K591" t="s">
        <v>16</v>
      </c>
      <c r="L591" t="s">
        <v>17</v>
      </c>
      <c r="M591">
        <f>IF(Table1[[#This Row],[ألغى الاشتراك]]="نعم",1,0)</f>
        <v>0</v>
      </c>
      <c r="N591">
        <f>IF(Table1[[#This Row],[وسيلة الدفع]]="بطاقة",1,0)</f>
        <v>0</v>
      </c>
      <c r="O591">
        <f>IF(Table1[[#This Row],[وسيلة الدفع]]="محفظة",1,0)</f>
        <v>0</v>
      </c>
      <c r="P591">
        <f>IF(Table1[[#This Row],[وسيلة الدفع]]="تحويل",1,0)</f>
        <v>1</v>
      </c>
      <c r="Q591">
        <f>IF(Table1[[#This Row],[حضر التهيئة]]="نعم",1,0)</f>
        <v>1</v>
      </c>
      <c r="R591">
        <f>IF(Table1[[#This Row],[دورة الفوترة]]="شهري",1,0)</f>
        <v>1</v>
      </c>
    </row>
    <row r="592" spans="1:18" x14ac:dyDescent="0.25">
      <c r="A592" t="s">
        <v>612</v>
      </c>
      <c r="B592" s="1">
        <v>45720</v>
      </c>
      <c r="C592" t="s">
        <v>19</v>
      </c>
      <c r="D592">
        <v>189</v>
      </c>
      <c r="E592" t="s">
        <v>20</v>
      </c>
      <c r="F592">
        <v>28</v>
      </c>
      <c r="G592" t="s">
        <v>21</v>
      </c>
      <c r="H592">
        <v>2</v>
      </c>
      <c r="I592">
        <v>16</v>
      </c>
      <c r="J592">
        <v>15</v>
      </c>
      <c r="K592" t="s">
        <v>16</v>
      </c>
      <c r="L592" t="s">
        <v>17</v>
      </c>
      <c r="M592">
        <f>IF(Table1[[#This Row],[ألغى الاشتراك]]="نعم",1,0)</f>
        <v>0</v>
      </c>
      <c r="N592">
        <f>IF(Table1[[#This Row],[وسيلة الدفع]]="بطاقة",1,0)</f>
        <v>0</v>
      </c>
      <c r="O592">
        <f>IF(Table1[[#This Row],[وسيلة الدفع]]="محفظة",1,0)</f>
        <v>1</v>
      </c>
      <c r="P592">
        <f>IF(Table1[[#This Row],[وسيلة الدفع]]="تحويل",1,0)</f>
        <v>0</v>
      </c>
      <c r="Q592">
        <f>IF(Table1[[#This Row],[حضر التهيئة]]="نعم",1,0)</f>
        <v>1</v>
      </c>
      <c r="R592">
        <f>IF(Table1[[#This Row],[دورة الفوترة]]="شهري",1,0)</f>
        <v>0</v>
      </c>
    </row>
    <row r="593" spans="1:18" x14ac:dyDescent="0.25">
      <c r="A593" t="s">
        <v>613</v>
      </c>
      <c r="B593" s="1">
        <v>45525</v>
      </c>
      <c r="C593" t="s">
        <v>28</v>
      </c>
      <c r="D593">
        <v>39</v>
      </c>
      <c r="E593" t="s">
        <v>20</v>
      </c>
      <c r="F593">
        <v>24</v>
      </c>
      <c r="G593" t="s">
        <v>23</v>
      </c>
      <c r="H593">
        <v>1</v>
      </c>
      <c r="I593">
        <v>2</v>
      </c>
      <c r="J593">
        <v>0</v>
      </c>
      <c r="K593" t="s">
        <v>16</v>
      </c>
      <c r="L593" t="s">
        <v>16</v>
      </c>
      <c r="M593">
        <f>IF(Table1[[#This Row],[ألغى الاشتراك]]="نعم",1,0)</f>
        <v>1</v>
      </c>
      <c r="N593">
        <f>IF(Table1[[#This Row],[وسيلة الدفع]]="بطاقة",1,0)</f>
        <v>0</v>
      </c>
      <c r="O593">
        <f>IF(Table1[[#This Row],[وسيلة الدفع]]="محفظة",1,0)</f>
        <v>0</v>
      </c>
      <c r="P593">
        <f>IF(Table1[[#This Row],[وسيلة الدفع]]="تحويل",1,0)</f>
        <v>1</v>
      </c>
      <c r="Q593">
        <f>IF(Table1[[#This Row],[حضر التهيئة]]="نعم",1,0)</f>
        <v>1</v>
      </c>
      <c r="R593">
        <f>IF(Table1[[#This Row],[دورة الفوترة]]="شهري",1,0)</f>
        <v>0</v>
      </c>
    </row>
    <row r="594" spans="1:18" x14ac:dyDescent="0.25">
      <c r="A594" t="s">
        <v>614</v>
      </c>
      <c r="B594" s="1">
        <v>45791</v>
      </c>
      <c r="C594" t="s">
        <v>19</v>
      </c>
      <c r="D594">
        <v>189</v>
      </c>
      <c r="E594" t="s">
        <v>14</v>
      </c>
      <c r="F594">
        <v>5</v>
      </c>
      <c r="G594" t="s">
        <v>21</v>
      </c>
      <c r="H594">
        <v>1</v>
      </c>
      <c r="I594">
        <v>11</v>
      </c>
      <c r="J594">
        <v>0</v>
      </c>
      <c r="K594" t="s">
        <v>17</v>
      </c>
      <c r="L594" t="s">
        <v>17</v>
      </c>
      <c r="M594">
        <f>IF(Table1[[#This Row],[ألغى الاشتراك]]="نعم",1,0)</f>
        <v>0</v>
      </c>
      <c r="N594">
        <f>IF(Table1[[#This Row],[وسيلة الدفع]]="بطاقة",1,0)</f>
        <v>0</v>
      </c>
      <c r="O594">
        <f>IF(Table1[[#This Row],[وسيلة الدفع]]="محفظة",1,0)</f>
        <v>1</v>
      </c>
      <c r="P594">
        <f>IF(Table1[[#This Row],[وسيلة الدفع]]="تحويل",1,0)</f>
        <v>0</v>
      </c>
      <c r="Q594">
        <f>IF(Table1[[#This Row],[حضر التهيئة]]="نعم",1,0)</f>
        <v>0</v>
      </c>
      <c r="R594">
        <f>IF(Table1[[#This Row],[دورة الفوترة]]="شهري",1,0)</f>
        <v>1</v>
      </c>
    </row>
    <row r="595" spans="1:18" x14ac:dyDescent="0.25">
      <c r="A595" t="s">
        <v>615</v>
      </c>
      <c r="B595" s="1">
        <v>45349</v>
      </c>
      <c r="C595" t="s">
        <v>13</v>
      </c>
      <c r="D595">
        <v>89</v>
      </c>
      <c r="E595" t="s">
        <v>14</v>
      </c>
      <c r="F595">
        <v>28</v>
      </c>
      <c r="G595" t="s">
        <v>15</v>
      </c>
      <c r="H595">
        <v>2</v>
      </c>
      <c r="I595">
        <v>50</v>
      </c>
      <c r="J595">
        <v>0</v>
      </c>
      <c r="K595" t="s">
        <v>16</v>
      </c>
      <c r="L595" t="s">
        <v>17</v>
      </c>
      <c r="M595">
        <f>IF(Table1[[#This Row],[ألغى الاشتراك]]="نعم",1,0)</f>
        <v>0</v>
      </c>
      <c r="N595">
        <f>IF(Table1[[#This Row],[وسيلة الدفع]]="بطاقة",1,0)</f>
        <v>1</v>
      </c>
      <c r="O595">
        <f>IF(Table1[[#This Row],[وسيلة الدفع]]="محفظة",1,0)</f>
        <v>0</v>
      </c>
      <c r="P595">
        <f>IF(Table1[[#This Row],[وسيلة الدفع]]="تحويل",1,0)</f>
        <v>0</v>
      </c>
      <c r="Q595">
        <f>IF(Table1[[#This Row],[حضر التهيئة]]="نعم",1,0)</f>
        <v>1</v>
      </c>
      <c r="R595">
        <f>IF(Table1[[#This Row],[دورة الفوترة]]="شهري",1,0)</f>
        <v>1</v>
      </c>
    </row>
    <row r="596" spans="1:18" x14ac:dyDescent="0.25">
      <c r="A596" t="s">
        <v>616</v>
      </c>
      <c r="B596" s="1">
        <v>45862</v>
      </c>
      <c r="C596" t="s">
        <v>13</v>
      </c>
      <c r="D596">
        <v>89</v>
      </c>
      <c r="E596" t="s">
        <v>14</v>
      </c>
      <c r="F596">
        <v>27</v>
      </c>
      <c r="G596" t="s">
        <v>21</v>
      </c>
      <c r="H596">
        <v>9</v>
      </c>
      <c r="I596">
        <v>41</v>
      </c>
      <c r="J596">
        <v>0</v>
      </c>
      <c r="K596" t="s">
        <v>16</v>
      </c>
      <c r="L596" t="s">
        <v>17</v>
      </c>
      <c r="M596">
        <f>IF(Table1[[#This Row],[ألغى الاشتراك]]="نعم",1,0)</f>
        <v>0</v>
      </c>
      <c r="N596">
        <f>IF(Table1[[#This Row],[وسيلة الدفع]]="بطاقة",1,0)</f>
        <v>0</v>
      </c>
      <c r="O596">
        <f>IF(Table1[[#This Row],[وسيلة الدفع]]="محفظة",1,0)</f>
        <v>1</v>
      </c>
      <c r="P596">
        <f>IF(Table1[[#This Row],[وسيلة الدفع]]="تحويل",1,0)</f>
        <v>0</v>
      </c>
      <c r="Q596">
        <f>IF(Table1[[#This Row],[حضر التهيئة]]="نعم",1,0)</f>
        <v>1</v>
      </c>
      <c r="R596">
        <f>IF(Table1[[#This Row],[دورة الفوترة]]="شهري",1,0)</f>
        <v>1</v>
      </c>
    </row>
    <row r="597" spans="1:18" x14ac:dyDescent="0.25">
      <c r="A597" t="s">
        <v>617</v>
      </c>
      <c r="B597" s="1">
        <v>45387</v>
      </c>
      <c r="C597" t="s">
        <v>13</v>
      </c>
      <c r="D597">
        <v>89</v>
      </c>
      <c r="E597" t="s">
        <v>14</v>
      </c>
      <c r="F597">
        <v>10</v>
      </c>
      <c r="G597" t="s">
        <v>23</v>
      </c>
      <c r="H597">
        <v>3</v>
      </c>
      <c r="I597">
        <v>14</v>
      </c>
      <c r="J597">
        <v>0</v>
      </c>
      <c r="K597" t="s">
        <v>16</v>
      </c>
      <c r="L597" t="s">
        <v>17</v>
      </c>
      <c r="M597">
        <f>IF(Table1[[#This Row],[ألغى الاشتراك]]="نعم",1,0)</f>
        <v>0</v>
      </c>
      <c r="N597">
        <f>IF(Table1[[#This Row],[وسيلة الدفع]]="بطاقة",1,0)</f>
        <v>0</v>
      </c>
      <c r="O597">
        <f>IF(Table1[[#This Row],[وسيلة الدفع]]="محفظة",1,0)</f>
        <v>0</v>
      </c>
      <c r="P597">
        <f>IF(Table1[[#This Row],[وسيلة الدفع]]="تحويل",1,0)</f>
        <v>1</v>
      </c>
      <c r="Q597">
        <f>IF(Table1[[#This Row],[حضر التهيئة]]="نعم",1,0)</f>
        <v>1</v>
      </c>
      <c r="R597">
        <f>IF(Table1[[#This Row],[دورة الفوترة]]="شهري",1,0)</f>
        <v>1</v>
      </c>
    </row>
    <row r="598" spans="1:18" x14ac:dyDescent="0.25">
      <c r="A598" t="s">
        <v>618</v>
      </c>
      <c r="B598" s="1">
        <v>45783</v>
      </c>
      <c r="C598" t="s">
        <v>13</v>
      </c>
      <c r="D598">
        <v>89</v>
      </c>
      <c r="E598" t="s">
        <v>14</v>
      </c>
      <c r="F598">
        <v>19</v>
      </c>
      <c r="G598" t="s">
        <v>23</v>
      </c>
      <c r="H598">
        <v>0</v>
      </c>
      <c r="I598">
        <v>57</v>
      </c>
      <c r="J598">
        <v>0</v>
      </c>
      <c r="K598" t="s">
        <v>16</v>
      </c>
      <c r="L598" t="s">
        <v>17</v>
      </c>
      <c r="M598">
        <f>IF(Table1[[#This Row],[ألغى الاشتراك]]="نعم",1,0)</f>
        <v>0</v>
      </c>
      <c r="N598">
        <f>IF(Table1[[#This Row],[وسيلة الدفع]]="بطاقة",1,0)</f>
        <v>0</v>
      </c>
      <c r="O598">
        <f>IF(Table1[[#This Row],[وسيلة الدفع]]="محفظة",1,0)</f>
        <v>0</v>
      </c>
      <c r="P598">
        <f>IF(Table1[[#This Row],[وسيلة الدفع]]="تحويل",1,0)</f>
        <v>1</v>
      </c>
      <c r="Q598">
        <f>IF(Table1[[#This Row],[حضر التهيئة]]="نعم",1,0)</f>
        <v>1</v>
      </c>
      <c r="R598">
        <f>IF(Table1[[#This Row],[دورة الفوترة]]="شهري",1,0)</f>
        <v>1</v>
      </c>
    </row>
    <row r="599" spans="1:18" x14ac:dyDescent="0.25">
      <c r="A599" t="s">
        <v>619</v>
      </c>
      <c r="B599" s="1">
        <v>45862</v>
      </c>
      <c r="C599" t="s">
        <v>28</v>
      </c>
      <c r="D599">
        <v>39</v>
      </c>
      <c r="E599" t="s">
        <v>14</v>
      </c>
      <c r="F599">
        <v>8</v>
      </c>
      <c r="G599" t="s">
        <v>21</v>
      </c>
      <c r="H599">
        <v>5</v>
      </c>
      <c r="I599">
        <v>42</v>
      </c>
      <c r="J599">
        <v>15</v>
      </c>
      <c r="K599" t="s">
        <v>17</v>
      </c>
      <c r="L599" t="s">
        <v>17</v>
      </c>
      <c r="M599">
        <f>IF(Table1[[#This Row],[ألغى الاشتراك]]="نعم",1,0)</f>
        <v>0</v>
      </c>
      <c r="N599">
        <f>IF(Table1[[#This Row],[وسيلة الدفع]]="بطاقة",1,0)</f>
        <v>0</v>
      </c>
      <c r="O599">
        <f>IF(Table1[[#This Row],[وسيلة الدفع]]="محفظة",1,0)</f>
        <v>1</v>
      </c>
      <c r="P599">
        <f>IF(Table1[[#This Row],[وسيلة الدفع]]="تحويل",1,0)</f>
        <v>0</v>
      </c>
      <c r="Q599">
        <f>IF(Table1[[#This Row],[حضر التهيئة]]="نعم",1,0)</f>
        <v>0</v>
      </c>
      <c r="R599">
        <f>IF(Table1[[#This Row],[دورة الفوترة]]="شهري",1,0)</f>
        <v>1</v>
      </c>
    </row>
    <row r="600" spans="1:18" x14ac:dyDescent="0.25">
      <c r="A600" t="s">
        <v>620</v>
      </c>
      <c r="B600" s="1">
        <v>45663</v>
      </c>
      <c r="C600" t="s">
        <v>13</v>
      </c>
      <c r="D600">
        <v>89</v>
      </c>
      <c r="E600" t="s">
        <v>14</v>
      </c>
      <c r="F600">
        <v>18</v>
      </c>
      <c r="G600" t="s">
        <v>23</v>
      </c>
      <c r="H600">
        <v>0</v>
      </c>
      <c r="I600">
        <v>46</v>
      </c>
      <c r="J600">
        <v>5</v>
      </c>
      <c r="K600" t="s">
        <v>17</v>
      </c>
      <c r="L600" t="s">
        <v>17</v>
      </c>
      <c r="M600">
        <f>IF(Table1[[#This Row],[ألغى الاشتراك]]="نعم",1,0)</f>
        <v>0</v>
      </c>
      <c r="N600">
        <f>IF(Table1[[#This Row],[وسيلة الدفع]]="بطاقة",1,0)</f>
        <v>0</v>
      </c>
      <c r="O600">
        <f>IF(Table1[[#This Row],[وسيلة الدفع]]="محفظة",1,0)</f>
        <v>0</v>
      </c>
      <c r="P600">
        <f>IF(Table1[[#This Row],[وسيلة الدفع]]="تحويل",1,0)</f>
        <v>1</v>
      </c>
      <c r="Q600">
        <f>IF(Table1[[#This Row],[حضر التهيئة]]="نعم",1,0)</f>
        <v>0</v>
      </c>
      <c r="R600">
        <f>IF(Table1[[#This Row],[دورة الفوترة]]="شهري",1,0)</f>
        <v>1</v>
      </c>
    </row>
    <row r="601" spans="1:18" x14ac:dyDescent="0.25">
      <c r="A601" t="s">
        <v>621</v>
      </c>
      <c r="B601" s="1">
        <v>45454</v>
      </c>
      <c r="C601" t="s">
        <v>19</v>
      </c>
      <c r="D601">
        <v>189</v>
      </c>
      <c r="E601" t="s">
        <v>14</v>
      </c>
      <c r="F601">
        <v>12</v>
      </c>
      <c r="G601" t="s">
        <v>15</v>
      </c>
      <c r="H601">
        <v>0</v>
      </c>
      <c r="I601">
        <v>40</v>
      </c>
      <c r="J601">
        <v>0</v>
      </c>
      <c r="K601" t="s">
        <v>16</v>
      </c>
      <c r="L601" t="s">
        <v>17</v>
      </c>
      <c r="M601">
        <f>IF(Table1[[#This Row],[ألغى الاشتراك]]="نعم",1,0)</f>
        <v>0</v>
      </c>
      <c r="N601">
        <f>IF(Table1[[#This Row],[وسيلة الدفع]]="بطاقة",1,0)</f>
        <v>1</v>
      </c>
      <c r="O601">
        <f>IF(Table1[[#This Row],[وسيلة الدفع]]="محفظة",1,0)</f>
        <v>0</v>
      </c>
      <c r="P601">
        <f>IF(Table1[[#This Row],[وسيلة الدفع]]="تحويل",1,0)</f>
        <v>0</v>
      </c>
      <c r="Q601">
        <f>IF(Table1[[#This Row],[حضر التهيئة]]="نعم",1,0)</f>
        <v>1</v>
      </c>
      <c r="R601">
        <f>IF(Table1[[#This Row],[دورة الفوترة]]="شهري",1,0)</f>
        <v>1</v>
      </c>
    </row>
    <row r="602" spans="1:18" x14ac:dyDescent="0.25">
      <c r="A602" t="s">
        <v>622</v>
      </c>
      <c r="B602" s="1">
        <v>45854</v>
      </c>
      <c r="C602" t="s">
        <v>13</v>
      </c>
      <c r="D602">
        <v>89</v>
      </c>
      <c r="E602" t="s">
        <v>14</v>
      </c>
      <c r="F602">
        <v>13</v>
      </c>
      <c r="G602" t="s">
        <v>21</v>
      </c>
      <c r="H602">
        <v>1</v>
      </c>
      <c r="I602">
        <v>25</v>
      </c>
      <c r="J602">
        <v>0</v>
      </c>
      <c r="K602" t="s">
        <v>16</v>
      </c>
      <c r="L602" t="s">
        <v>17</v>
      </c>
      <c r="M602">
        <f>IF(Table1[[#This Row],[ألغى الاشتراك]]="نعم",1,0)</f>
        <v>0</v>
      </c>
      <c r="N602">
        <f>IF(Table1[[#This Row],[وسيلة الدفع]]="بطاقة",1,0)</f>
        <v>0</v>
      </c>
      <c r="O602">
        <f>IF(Table1[[#This Row],[وسيلة الدفع]]="محفظة",1,0)</f>
        <v>1</v>
      </c>
      <c r="P602">
        <f>IF(Table1[[#This Row],[وسيلة الدفع]]="تحويل",1,0)</f>
        <v>0</v>
      </c>
      <c r="Q602">
        <f>IF(Table1[[#This Row],[حضر التهيئة]]="نعم",1,0)</f>
        <v>1</v>
      </c>
      <c r="R602">
        <f>IF(Table1[[#This Row],[دورة الفوترة]]="شهري",1,0)</f>
        <v>1</v>
      </c>
    </row>
    <row r="603" spans="1:18" x14ac:dyDescent="0.25">
      <c r="A603" t="s">
        <v>623</v>
      </c>
      <c r="B603" s="1">
        <v>45513</v>
      </c>
      <c r="C603" t="s">
        <v>19</v>
      </c>
      <c r="D603">
        <v>189</v>
      </c>
      <c r="E603" t="s">
        <v>14</v>
      </c>
      <c r="F603">
        <v>22</v>
      </c>
      <c r="G603" t="s">
        <v>15</v>
      </c>
      <c r="H603">
        <v>5</v>
      </c>
      <c r="I603">
        <v>18</v>
      </c>
      <c r="J603">
        <v>0</v>
      </c>
      <c r="K603" t="s">
        <v>17</v>
      </c>
      <c r="L603" t="s">
        <v>17</v>
      </c>
      <c r="M603">
        <f>IF(Table1[[#This Row],[ألغى الاشتراك]]="نعم",1,0)</f>
        <v>0</v>
      </c>
      <c r="N603">
        <f>IF(Table1[[#This Row],[وسيلة الدفع]]="بطاقة",1,0)</f>
        <v>1</v>
      </c>
      <c r="O603">
        <f>IF(Table1[[#This Row],[وسيلة الدفع]]="محفظة",1,0)</f>
        <v>0</v>
      </c>
      <c r="P603">
        <f>IF(Table1[[#This Row],[وسيلة الدفع]]="تحويل",1,0)</f>
        <v>0</v>
      </c>
      <c r="Q603">
        <f>IF(Table1[[#This Row],[حضر التهيئة]]="نعم",1,0)</f>
        <v>0</v>
      </c>
      <c r="R603">
        <f>IF(Table1[[#This Row],[دورة الفوترة]]="شهري",1,0)</f>
        <v>1</v>
      </c>
    </row>
    <row r="604" spans="1:18" x14ac:dyDescent="0.25">
      <c r="A604" t="s">
        <v>624</v>
      </c>
      <c r="B604" s="1">
        <v>45791</v>
      </c>
      <c r="C604" t="s">
        <v>13</v>
      </c>
      <c r="D604">
        <v>89</v>
      </c>
      <c r="E604" t="s">
        <v>20</v>
      </c>
      <c r="F604">
        <v>15</v>
      </c>
      <c r="G604" t="s">
        <v>23</v>
      </c>
      <c r="H604">
        <v>1</v>
      </c>
      <c r="I604">
        <v>49</v>
      </c>
      <c r="J604">
        <v>0</v>
      </c>
      <c r="K604" t="s">
        <v>16</v>
      </c>
      <c r="L604" t="s">
        <v>17</v>
      </c>
      <c r="M604">
        <f>IF(Table1[[#This Row],[ألغى الاشتراك]]="نعم",1,0)</f>
        <v>0</v>
      </c>
      <c r="N604">
        <f>IF(Table1[[#This Row],[وسيلة الدفع]]="بطاقة",1,0)</f>
        <v>0</v>
      </c>
      <c r="O604">
        <f>IF(Table1[[#This Row],[وسيلة الدفع]]="محفظة",1,0)</f>
        <v>0</v>
      </c>
      <c r="P604">
        <f>IF(Table1[[#This Row],[وسيلة الدفع]]="تحويل",1,0)</f>
        <v>1</v>
      </c>
      <c r="Q604">
        <f>IF(Table1[[#This Row],[حضر التهيئة]]="نعم",1,0)</f>
        <v>1</v>
      </c>
      <c r="R604">
        <f>IF(Table1[[#This Row],[دورة الفوترة]]="شهري",1,0)</f>
        <v>0</v>
      </c>
    </row>
    <row r="605" spans="1:18" x14ac:dyDescent="0.25">
      <c r="A605" t="s">
        <v>625</v>
      </c>
      <c r="B605" s="1">
        <v>45969</v>
      </c>
      <c r="C605" t="s">
        <v>28</v>
      </c>
      <c r="D605">
        <v>39</v>
      </c>
      <c r="E605" t="s">
        <v>14</v>
      </c>
      <c r="F605">
        <v>22</v>
      </c>
      <c r="G605" t="s">
        <v>23</v>
      </c>
      <c r="H605">
        <v>1</v>
      </c>
      <c r="I605">
        <v>48</v>
      </c>
      <c r="J605">
        <v>15</v>
      </c>
      <c r="K605" t="s">
        <v>17</v>
      </c>
      <c r="L605" t="s">
        <v>16</v>
      </c>
      <c r="M605">
        <f>IF(Table1[[#This Row],[ألغى الاشتراك]]="نعم",1,0)</f>
        <v>1</v>
      </c>
      <c r="N605">
        <f>IF(Table1[[#This Row],[وسيلة الدفع]]="بطاقة",1,0)</f>
        <v>0</v>
      </c>
      <c r="O605">
        <f>IF(Table1[[#This Row],[وسيلة الدفع]]="محفظة",1,0)</f>
        <v>0</v>
      </c>
      <c r="P605">
        <f>IF(Table1[[#This Row],[وسيلة الدفع]]="تحويل",1,0)</f>
        <v>1</v>
      </c>
      <c r="Q605">
        <f>IF(Table1[[#This Row],[حضر التهيئة]]="نعم",1,0)</f>
        <v>0</v>
      </c>
      <c r="R605">
        <f>IF(Table1[[#This Row],[دورة الفوترة]]="شهري",1,0)</f>
        <v>1</v>
      </c>
    </row>
    <row r="606" spans="1:18" x14ac:dyDescent="0.25">
      <c r="A606" t="s">
        <v>626</v>
      </c>
      <c r="B606" s="1">
        <v>45529</v>
      </c>
      <c r="C606" t="s">
        <v>28</v>
      </c>
      <c r="D606">
        <v>39</v>
      </c>
      <c r="E606" t="s">
        <v>14</v>
      </c>
      <c r="F606">
        <v>8</v>
      </c>
      <c r="G606" t="s">
        <v>23</v>
      </c>
      <c r="H606">
        <v>2</v>
      </c>
      <c r="I606">
        <v>14</v>
      </c>
      <c r="J606">
        <v>0</v>
      </c>
      <c r="K606" t="s">
        <v>17</v>
      </c>
      <c r="L606" t="s">
        <v>17</v>
      </c>
      <c r="M606">
        <f>IF(Table1[[#This Row],[ألغى الاشتراك]]="نعم",1,0)</f>
        <v>0</v>
      </c>
      <c r="N606">
        <f>IF(Table1[[#This Row],[وسيلة الدفع]]="بطاقة",1,0)</f>
        <v>0</v>
      </c>
      <c r="O606">
        <f>IF(Table1[[#This Row],[وسيلة الدفع]]="محفظة",1,0)</f>
        <v>0</v>
      </c>
      <c r="P606">
        <f>IF(Table1[[#This Row],[وسيلة الدفع]]="تحويل",1,0)</f>
        <v>1</v>
      </c>
      <c r="Q606">
        <f>IF(Table1[[#This Row],[حضر التهيئة]]="نعم",1,0)</f>
        <v>0</v>
      </c>
      <c r="R606">
        <f>IF(Table1[[#This Row],[دورة الفوترة]]="شهري",1,0)</f>
        <v>1</v>
      </c>
    </row>
    <row r="607" spans="1:18" x14ac:dyDescent="0.25">
      <c r="A607" t="s">
        <v>627</v>
      </c>
      <c r="B607" s="1">
        <v>45333</v>
      </c>
      <c r="C607" t="s">
        <v>19</v>
      </c>
      <c r="D607">
        <v>189</v>
      </c>
      <c r="E607" t="s">
        <v>20</v>
      </c>
      <c r="F607">
        <v>5</v>
      </c>
      <c r="G607" t="s">
        <v>23</v>
      </c>
      <c r="H607">
        <v>2</v>
      </c>
      <c r="I607">
        <v>49</v>
      </c>
      <c r="J607">
        <v>10</v>
      </c>
      <c r="K607" t="s">
        <v>17</v>
      </c>
      <c r="L607" t="s">
        <v>17</v>
      </c>
      <c r="M607">
        <f>IF(Table1[[#This Row],[ألغى الاشتراك]]="نعم",1,0)</f>
        <v>0</v>
      </c>
      <c r="N607">
        <f>IF(Table1[[#This Row],[وسيلة الدفع]]="بطاقة",1,0)</f>
        <v>0</v>
      </c>
      <c r="O607">
        <f>IF(Table1[[#This Row],[وسيلة الدفع]]="محفظة",1,0)</f>
        <v>0</v>
      </c>
      <c r="P607">
        <f>IF(Table1[[#This Row],[وسيلة الدفع]]="تحويل",1,0)</f>
        <v>1</v>
      </c>
      <c r="Q607">
        <f>IF(Table1[[#This Row],[حضر التهيئة]]="نعم",1,0)</f>
        <v>0</v>
      </c>
      <c r="R607">
        <f>IF(Table1[[#This Row],[دورة الفوترة]]="شهري",1,0)</f>
        <v>0</v>
      </c>
    </row>
    <row r="608" spans="1:18" x14ac:dyDescent="0.25">
      <c r="A608" t="s">
        <v>628</v>
      </c>
      <c r="B608" s="1">
        <v>45740</v>
      </c>
      <c r="C608" t="s">
        <v>19</v>
      </c>
      <c r="D608">
        <v>189</v>
      </c>
      <c r="E608" t="s">
        <v>14</v>
      </c>
      <c r="F608">
        <v>1</v>
      </c>
      <c r="G608" t="s">
        <v>23</v>
      </c>
      <c r="H608">
        <v>5</v>
      </c>
      <c r="I608">
        <v>49</v>
      </c>
      <c r="J608">
        <v>0</v>
      </c>
      <c r="K608" t="s">
        <v>16</v>
      </c>
      <c r="L608" t="s">
        <v>17</v>
      </c>
      <c r="M608">
        <f>IF(Table1[[#This Row],[ألغى الاشتراك]]="نعم",1,0)</f>
        <v>0</v>
      </c>
      <c r="N608">
        <f>IF(Table1[[#This Row],[وسيلة الدفع]]="بطاقة",1,0)</f>
        <v>0</v>
      </c>
      <c r="O608">
        <f>IF(Table1[[#This Row],[وسيلة الدفع]]="محفظة",1,0)</f>
        <v>0</v>
      </c>
      <c r="P608">
        <f>IF(Table1[[#This Row],[وسيلة الدفع]]="تحويل",1,0)</f>
        <v>1</v>
      </c>
      <c r="Q608">
        <f>IF(Table1[[#This Row],[حضر التهيئة]]="نعم",1,0)</f>
        <v>1</v>
      </c>
      <c r="R608">
        <f>IF(Table1[[#This Row],[دورة الفوترة]]="شهري",1,0)</f>
        <v>1</v>
      </c>
    </row>
    <row r="609" spans="1:18" x14ac:dyDescent="0.25">
      <c r="A609" t="s">
        <v>629</v>
      </c>
      <c r="B609" s="1">
        <v>45635</v>
      </c>
      <c r="C609" t="s">
        <v>19</v>
      </c>
      <c r="D609">
        <v>189</v>
      </c>
      <c r="E609" t="s">
        <v>14</v>
      </c>
      <c r="F609">
        <v>30</v>
      </c>
      <c r="G609" t="s">
        <v>15</v>
      </c>
      <c r="H609">
        <v>5</v>
      </c>
      <c r="I609">
        <v>34</v>
      </c>
      <c r="J609">
        <v>0</v>
      </c>
      <c r="K609" t="s">
        <v>16</v>
      </c>
      <c r="L609" t="s">
        <v>16</v>
      </c>
      <c r="M609">
        <f>IF(Table1[[#This Row],[ألغى الاشتراك]]="نعم",1,0)</f>
        <v>1</v>
      </c>
      <c r="N609">
        <f>IF(Table1[[#This Row],[وسيلة الدفع]]="بطاقة",1,0)</f>
        <v>1</v>
      </c>
      <c r="O609">
        <f>IF(Table1[[#This Row],[وسيلة الدفع]]="محفظة",1,0)</f>
        <v>0</v>
      </c>
      <c r="P609">
        <f>IF(Table1[[#This Row],[وسيلة الدفع]]="تحويل",1,0)</f>
        <v>0</v>
      </c>
      <c r="Q609">
        <f>IF(Table1[[#This Row],[حضر التهيئة]]="نعم",1,0)</f>
        <v>1</v>
      </c>
      <c r="R609">
        <f>IF(Table1[[#This Row],[دورة الفوترة]]="شهري",1,0)</f>
        <v>1</v>
      </c>
    </row>
    <row r="610" spans="1:18" x14ac:dyDescent="0.25">
      <c r="A610" t="s">
        <v>630</v>
      </c>
      <c r="B610" s="1">
        <v>45659</v>
      </c>
      <c r="C610" t="s">
        <v>13</v>
      </c>
      <c r="D610">
        <v>89</v>
      </c>
      <c r="E610" t="s">
        <v>20</v>
      </c>
      <c r="F610">
        <v>15</v>
      </c>
      <c r="G610" t="s">
        <v>15</v>
      </c>
      <c r="H610">
        <v>8</v>
      </c>
      <c r="I610">
        <v>21</v>
      </c>
      <c r="J610">
        <v>0</v>
      </c>
      <c r="K610" t="s">
        <v>17</v>
      </c>
      <c r="L610" t="s">
        <v>17</v>
      </c>
      <c r="M610">
        <f>IF(Table1[[#This Row],[ألغى الاشتراك]]="نعم",1,0)</f>
        <v>0</v>
      </c>
      <c r="N610">
        <f>IF(Table1[[#This Row],[وسيلة الدفع]]="بطاقة",1,0)</f>
        <v>1</v>
      </c>
      <c r="O610">
        <f>IF(Table1[[#This Row],[وسيلة الدفع]]="محفظة",1,0)</f>
        <v>0</v>
      </c>
      <c r="P610">
        <f>IF(Table1[[#This Row],[وسيلة الدفع]]="تحويل",1,0)</f>
        <v>0</v>
      </c>
      <c r="Q610">
        <f>IF(Table1[[#This Row],[حضر التهيئة]]="نعم",1,0)</f>
        <v>0</v>
      </c>
      <c r="R610">
        <f>IF(Table1[[#This Row],[دورة الفوترة]]="شهري",1,0)</f>
        <v>0</v>
      </c>
    </row>
    <row r="611" spans="1:18" x14ac:dyDescent="0.25">
      <c r="A611" t="s">
        <v>631</v>
      </c>
      <c r="B611" s="1">
        <v>45466</v>
      </c>
      <c r="C611" t="s">
        <v>19</v>
      </c>
      <c r="D611">
        <v>189</v>
      </c>
      <c r="E611" t="s">
        <v>14</v>
      </c>
      <c r="F611">
        <v>14</v>
      </c>
      <c r="G611" t="s">
        <v>21</v>
      </c>
      <c r="H611">
        <v>1</v>
      </c>
      <c r="I611">
        <v>6</v>
      </c>
      <c r="J611">
        <v>0</v>
      </c>
      <c r="K611" t="s">
        <v>17</v>
      </c>
      <c r="L611" t="s">
        <v>16</v>
      </c>
      <c r="M611">
        <f>IF(Table1[[#This Row],[ألغى الاشتراك]]="نعم",1,0)</f>
        <v>1</v>
      </c>
      <c r="N611">
        <f>IF(Table1[[#This Row],[وسيلة الدفع]]="بطاقة",1,0)</f>
        <v>0</v>
      </c>
      <c r="O611">
        <f>IF(Table1[[#This Row],[وسيلة الدفع]]="محفظة",1,0)</f>
        <v>1</v>
      </c>
      <c r="P611">
        <f>IF(Table1[[#This Row],[وسيلة الدفع]]="تحويل",1,0)</f>
        <v>0</v>
      </c>
      <c r="Q611">
        <f>IF(Table1[[#This Row],[حضر التهيئة]]="نعم",1,0)</f>
        <v>0</v>
      </c>
      <c r="R611">
        <f>IF(Table1[[#This Row],[دورة الفوترة]]="شهري",1,0)</f>
        <v>1</v>
      </c>
    </row>
    <row r="612" spans="1:18" x14ac:dyDescent="0.25">
      <c r="A612" t="s">
        <v>632</v>
      </c>
      <c r="B612" s="1">
        <v>45981</v>
      </c>
      <c r="C612" t="s">
        <v>19</v>
      </c>
      <c r="D612">
        <v>189</v>
      </c>
      <c r="E612" t="s">
        <v>14</v>
      </c>
      <c r="F612">
        <v>19</v>
      </c>
      <c r="G612" t="s">
        <v>15</v>
      </c>
      <c r="H612">
        <v>7</v>
      </c>
      <c r="I612">
        <v>57</v>
      </c>
      <c r="J612">
        <v>0</v>
      </c>
      <c r="K612" t="s">
        <v>17</v>
      </c>
      <c r="L612" t="s">
        <v>17</v>
      </c>
      <c r="M612">
        <f>IF(Table1[[#This Row],[ألغى الاشتراك]]="نعم",1,0)</f>
        <v>0</v>
      </c>
      <c r="N612">
        <f>IF(Table1[[#This Row],[وسيلة الدفع]]="بطاقة",1,0)</f>
        <v>1</v>
      </c>
      <c r="O612">
        <f>IF(Table1[[#This Row],[وسيلة الدفع]]="محفظة",1,0)</f>
        <v>0</v>
      </c>
      <c r="P612">
        <f>IF(Table1[[#This Row],[وسيلة الدفع]]="تحويل",1,0)</f>
        <v>0</v>
      </c>
      <c r="Q612">
        <f>IF(Table1[[#This Row],[حضر التهيئة]]="نعم",1,0)</f>
        <v>0</v>
      </c>
      <c r="R612">
        <f>IF(Table1[[#This Row],[دورة الفوترة]]="شهري",1,0)</f>
        <v>1</v>
      </c>
    </row>
    <row r="613" spans="1:18" x14ac:dyDescent="0.25">
      <c r="A613" t="s">
        <v>633</v>
      </c>
      <c r="B613" s="1">
        <v>45643</v>
      </c>
      <c r="C613" t="s">
        <v>19</v>
      </c>
      <c r="D613">
        <v>189</v>
      </c>
      <c r="E613" t="s">
        <v>20</v>
      </c>
      <c r="F613">
        <v>4</v>
      </c>
      <c r="G613" t="s">
        <v>15</v>
      </c>
      <c r="H613">
        <v>1</v>
      </c>
      <c r="I613">
        <v>6</v>
      </c>
      <c r="J613">
        <v>0</v>
      </c>
      <c r="K613" t="s">
        <v>17</v>
      </c>
      <c r="L613" t="s">
        <v>17</v>
      </c>
      <c r="M613">
        <f>IF(Table1[[#This Row],[ألغى الاشتراك]]="نعم",1,0)</f>
        <v>0</v>
      </c>
      <c r="N613">
        <f>IF(Table1[[#This Row],[وسيلة الدفع]]="بطاقة",1,0)</f>
        <v>1</v>
      </c>
      <c r="O613">
        <f>IF(Table1[[#This Row],[وسيلة الدفع]]="محفظة",1,0)</f>
        <v>0</v>
      </c>
      <c r="P613">
        <f>IF(Table1[[#This Row],[وسيلة الدفع]]="تحويل",1,0)</f>
        <v>0</v>
      </c>
      <c r="Q613">
        <f>IF(Table1[[#This Row],[حضر التهيئة]]="نعم",1,0)</f>
        <v>0</v>
      </c>
      <c r="R613">
        <f>IF(Table1[[#This Row],[دورة الفوترة]]="شهري",1,0)</f>
        <v>0</v>
      </c>
    </row>
    <row r="614" spans="1:18" x14ac:dyDescent="0.25">
      <c r="A614" t="s">
        <v>634</v>
      </c>
      <c r="B614" s="1">
        <v>45679</v>
      </c>
      <c r="C614" t="s">
        <v>28</v>
      </c>
      <c r="D614">
        <v>39</v>
      </c>
      <c r="E614" t="s">
        <v>14</v>
      </c>
      <c r="F614">
        <v>1</v>
      </c>
      <c r="G614" t="s">
        <v>15</v>
      </c>
      <c r="H614">
        <v>2</v>
      </c>
      <c r="I614">
        <v>23</v>
      </c>
      <c r="J614">
        <v>0</v>
      </c>
      <c r="K614" t="s">
        <v>17</v>
      </c>
      <c r="L614" t="s">
        <v>17</v>
      </c>
      <c r="M614">
        <f>IF(Table1[[#This Row],[ألغى الاشتراك]]="نعم",1,0)</f>
        <v>0</v>
      </c>
      <c r="N614">
        <f>IF(Table1[[#This Row],[وسيلة الدفع]]="بطاقة",1,0)</f>
        <v>1</v>
      </c>
      <c r="O614">
        <f>IF(Table1[[#This Row],[وسيلة الدفع]]="محفظة",1,0)</f>
        <v>0</v>
      </c>
      <c r="P614">
        <f>IF(Table1[[#This Row],[وسيلة الدفع]]="تحويل",1,0)</f>
        <v>0</v>
      </c>
      <c r="Q614">
        <f>IF(Table1[[#This Row],[حضر التهيئة]]="نعم",1,0)</f>
        <v>0</v>
      </c>
      <c r="R614">
        <f>IF(Table1[[#This Row],[دورة الفوترة]]="شهري",1,0)</f>
        <v>1</v>
      </c>
    </row>
    <row r="615" spans="1:18" x14ac:dyDescent="0.25">
      <c r="A615" t="s">
        <v>635</v>
      </c>
      <c r="B615" s="1">
        <v>45732</v>
      </c>
      <c r="C615" t="s">
        <v>28</v>
      </c>
      <c r="D615">
        <v>39</v>
      </c>
      <c r="E615" t="s">
        <v>14</v>
      </c>
      <c r="F615">
        <v>12</v>
      </c>
      <c r="G615" t="s">
        <v>21</v>
      </c>
      <c r="H615">
        <v>2</v>
      </c>
      <c r="I615">
        <v>36</v>
      </c>
      <c r="J615">
        <v>15</v>
      </c>
      <c r="K615" t="s">
        <v>17</v>
      </c>
      <c r="L615" t="s">
        <v>17</v>
      </c>
      <c r="M615">
        <f>IF(Table1[[#This Row],[ألغى الاشتراك]]="نعم",1,0)</f>
        <v>0</v>
      </c>
      <c r="N615">
        <f>IF(Table1[[#This Row],[وسيلة الدفع]]="بطاقة",1,0)</f>
        <v>0</v>
      </c>
      <c r="O615">
        <f>IF(Table1[[#This Row],[وسيلة الدفع]]="محفظة",1,0)</f>
        <v>1</v>
      </c>
      <c r="P615">
        <f>IF(Table1[[#This Row],[وسيلة الدفع]]="تحويل",1,0)</f>
        <v>0</v>
      </c>
      <c r="Q615">
        <f>IF(Table1[[#This Row],[حضر التهيئة]]="نعم",1,0)</f>
        <v>0</v>
      </c>
      <c r="R615">
        <f>IF(Table1[[#This Row],[دورة الفوترة]]="شهري",1,0)</f>
        <v>1</v>
      </c>
    </row>
    <row r="616" spans="1:18" x14ac:dyDescent="0.25">
      <c r="A616" t="s">
        <v>636</v>
      </c>
      <c r="B616" s="1">
        <v>45395</v>
      </c>
      <c r="C616" t="s">
        <v>13</v>
      </c>
      <c r="D616">
        <v>89</v>
      </c>
      <c r="E616" t="s">
        <v>14</v>
      </c>
      <c r="F616">
        <v>6</v>
      </c>
      <c r="G616" t="s">
        <v>15</v>
      </c>
      <c r="H616">
        <v>1</v>
      </c>
      <c r="I616">
        <v>36</v>
      </c>
      <c r="J616">
        <v>0</v>
      </c>
      <c r="K616" t="s">
        <v>16</v>
      </c>
      <c r="L616" t="s">
        <v>17</v>
      </c>
      <c r="M616">
        <f>IF(Table1[[#This Row],[ألغى الاشتراك]]="نعم",1,0)</f>
        <v>0</v>
      </c>
      <c r="N616">
        <f>IF(Table1[[#This Row],[وسيلة الدفع]]="بطاقة",1,0)</f>
        <v>1</v>
      </c>
      <c r="O616">
        <f>IF(Table1[[#This Row],[وسيلة الدفع]]="محفظة",1,0)</f>
        <v>0</v>
      </c>
      <c r="P616">
        <f>IF(Table1[[#This Row],[وسيلة الدفع]]="تحويل",1,0)</f>
        <v>0</v>
      </c>
      <c r="Q616">
        <f>IF(Table1[[#This Row],[حضر التهيئة]]="نعم",1,0)</f>
        <v>1</v>
      </c>
      <c r="R616">
        <f>IF(Table1[[#This Row],[دورة الفوترة]]="شهري",1,0)</f>
        <v>1</v>
      </c>
    </row>
    <row r="617" spans="1:18" x14ac:dyDescent="0.25">
      <c r="A617" t="s">
        <v>637</v>
      </c>
      <c r="B617" s="1">
        <v>45902</v>
      </c>
      <c r="C617" t="s">
        <v>28</v>
      </c>
      <c r="D617">
        <v>39</v>
      </c>
      <c r="E617" t="s">
        <v>14</v>
      </c>
      <c r="F617">
        <v>19</v>
      </c>
      <c r="G617" t="s">
        <v>23</v>
      </c>
      <c r="H617">
        <v>1</v>
      </c>
      <c r="I617">
        <v>41</v>
      </c>
      <c r="J617">
        <v>0</v>
      </c>
      <c r="K617" t="s">
        <v>17</v>
      </c>
      <c r="L617" t="s">
        <v>17</v>
      </c>
      <c r="M617">
        <f>IF(Table1[[#This Row],[ألغى الاشتراك]]="نعم",1,0)</f>
        <v>0</v>
      </c>
      <c r="N617">
        <f>IF(Table1[[#This Row],[وسيلة الدفع]]="بطاقة",1,0)</f>
        <v>0</v>
      </c>
      <c r="O617">
        <f>IF(Table1[[#This Row],[وسيلة الدفع]]="محفظة",1,0)</f>
        <v>0</v>
      </c>
      <c r="P617">
        <f>IF(Table1[[#This Row],[وسيلة الدفع]]="تحويل",1,0)</f>
        <v>1</v>
      </c>
      <c r="Q617">
        <f>IF(Table1[[#This Row],[حضر التهيئة]]="نعم",1,0)</f>
        <v>0</v>
      </c>
      <c r="R617">
        <f>IF(Table1[[#This Row],[دورة الفوترة]]="شهري",1,0)</f>
        <v>1</v>
      </c>
    </row>
    <row r="618" spans="1:18" x14ac:dyDescent="0.25">
      <c r="A618" t="s">
        <v>638</v>
      </c>
      <c r="B618" s="1">
        <v>45866</v>
      </c>
      <c r="C618" t="s">
        <v>19</v>
      </c>
      <c r="D618">
        <v>189</v>
      </c>
      <c r="E618" t="s">
        <v>20</v>
      </c>
      <c r="F618">
        <v>30</v>
      </c>
      <c r="G618" t="s">
        <v>21</v>
      </c>
      <c r="H618">
        <v>0</v>
      </c>
      <c r="I618">
        <v>12</v>
      </c>
      <c r="J618">
        <v>15</v>
      </c>
      <c r="K618" t="s">
        <v>16</v>
      </c>
      <c r="L618" t="s">
        <v>17</v>
      </c>
      <c r="M618">
        <f>IF(Table1[[#This Row],[ألغى الاشتراك]]="نعم",1,0)</f>
        <v>0</v>
      </c>
      <c r="N618">
        <f>IF(Table1[[#This Row],[وسيلة الدفع]]="بطاقة",1,0)</f>
        <v>0</v>
      </c>
      <c r="O618">
        <f>IF(Table1[[#This Row],[وسيلة الدفع]]="محفظة",1,0)</f>
        <v>1</v>
      </c>
      <c r="P618">
        <f>IF(Table1[[#This Row],[وسيلة الدفع]]="تحويل",1,0)</f>
        <v>0</v>
      </c>
      <c r="Q618">
        <f>IF(Table1[[#This Row],[حضر التهيئة]]="نعم",1,0)</f>
        <v>1</v>
      </c>
      <c r="R618">
        <f>IF(Table1[[#This Row],[دورة الفوترة]]="شهري",1,0)</f>
        <v>0</v>
      </c>
    </row>
    <row r="619" spans="1:18" x14ac:dyDescent="0.25">
      <c r="A619" t="s">
        <v>639</v>
      </c>
      <c r="B619" s="1">
        <v>45513</v>
      </c>
      <c r="C619" t="s">
        <v>28</v>
      </c>
      <c r="D619">
        <v>39</v>
      </c>
      <c r="E619" t="s">
        <v>20</v>
      </c>
      <c r="F619">
        <v>12</v>
      </c>
      <c r="G619" t="s">
        <v>21</v>
      </c>
      <c r="H619">
        <v>1</v>
      </c>
      <c r="I619">
        <v>44</v>
      </c>
      <c r="J619">
        <v>0</v>
      </c>
      <c r="K619" t="s">
        <v>17</v>
      </c>
      <c r="L619" t="s">
        <v>17</v>
      </c>
      <c r="M619">
        <f>IF(Table1[[#This Row],[ألغى الاشتراك]]="نعم",1,0)</f>
        <v>0</v>
      </c>
      <c r="N619">
        <f>IF(Table1[[#This Row],[وسيلة الدفع]]="بطاقة",1,0)</f>
        <v>0</v>
      </c>
      <c r="O619">
        <f>IF(Table1[[#This Row],[وسيلة الدفع]]="محفظة",1,0)</f>
        <v>1</v>
      </c>
      <c r="P619">
        <f>IF(Table1[[#This Row],[وسيلة الدفع]]="تحويل",1,0)</f>
        <v>0</v>
      </c>
      <c r="Q619">
        <f>IF(Table1[[#This Row],[حضر التهيئة]]="نعم",1,0)</f>
        <v>0</v>
      </c>
      <c r="R619">
        <f>IF(Table1[[#This Row],[دورة الفوترة]]="شهري",1,0)</f>
        <v>0</v>
      </c>
    </row>
    <row r="620" spans="1:18" x14ac:dyDescent="0.25">
      <c r="A620" t="s">
        <v>640</v>
      </c>
      <c r="B620" s="1">
        <v>45679</v>
      </c>
      <c r="C620" t="s">
        <v>19</v>
      </c>
      <c r="D620">
        <v>189</v>
      </c>
      <c r="E620" t="s">
        <v>20</v>
      </c>
      <c r="F620">
        <v>17</v>
      </c>
      <c r="G620" t="s">
        <v>21</v>
      </c>
      <c r="H620">
        <v>0</v>
      </c>
      <c r="I620">
        <v>17</v>
      </c>
      <c r="J620">
        <v>0</v>
      </c>
      <c r="K620" t="s">
        <v>16</v>
      </c>
      <c r="L620" t="s">
        <v>17</v>
      </c>
      <c r="M620">
        <f>IF(Table1[[#This Row],[ألغى الاشتراك]]="نعم",1,0)</f>
        <v>0</v>
      </c>
      <c r="N620">
        <f>IF(Table1[[#This Row],[وسيلة الدفع]]="بطاقة",1,0)</f>
        <v>0</v>
      </c>
      <c r="O620">
        <f>IF(Table1[[#This Row],[وسيلة الدفع]]="محفظة",1,0)</f>
        <v>1</v>
      </c>
      <c r="P620">
        <f>IF(Table1[[#This Row],[وسيلة الدفع]]="تحويل",1,0)</f>
        <v>0</v>
      </c>
      <c r="Q620">
        <f>IF(Table1[[#This Row],[حضر التهيئة]]="نعم",1,0)</f>
        <v>1</v>
      </c>
      <c r="R620">
        <f>IF(Table1[[#This Row],[دورة الفوترة]]="شهري",1,0)</f>
        <v>0</v>
      </c>
    </row>
    <row r="621" spans="1:18" x14ac:dyDescent="0.25">
      <c r="A621" t="s">
        <v>641</v>
      </c>
      <c r="B621" s="1">
        <v>45572</v>
      </c>
      <c r="C621" t="s">
        <v>19</v>
      </c>
      <c r="D621">
        <v>189</v>
      </c>
      <c r="E621" t="s">
        <v>14</v>
      </c>
      <c r="F621">
        <v>2</v>
      </c>
      <c r="G621" t="s">
        <v>23</v>
      </c>
      <c r="H621">
        <v>5</v>
      </c>
      <c r="I621">
        <v>22</v>
      </c>
      <c r="J621">
        <v>0</v>
      </c>
      <c r="K621" t="s">
        <v>17</v>
      </c>
      <c r="L621" t="s">
        <v>17</v>
      </c>
      <c r="M621">
        <f>IF(Table1[[#This Row],[ألغى الاشتراك]]="نعم",1,0)</f>
        <v>0</v>
      </c>
      <c r="N621">
        <f>IF(Table1[[#This Row],[وسيلة الدفع]]="بطاقة",1,0)</f>
        <v>0</v>
      </c>
      <c r="O621">
        <f>IF(Table1[[#This Row],[وسيلة الدفع]]="محفظة",1,0)</f>
        <v>0</v>
      </c>
      <c r="P621">
        <f>IF(Table1[[#This Row],[وسيلة الدفع]]="تحويل",1,0)</f>
        <v>1</v>
      </c>
      <c r="Q621">
        <f>IF(Table1[[#This Row],[حضر التهيئة]]="نعم",1,0)</f>
        <v>0</v>
      </c>
      <c r="R621">
        <f>IF(Table1[[#This Row],[دورة الفوترة]]="شهري",1,0)</f>
        <v>1</v>
      </c>
    </row>
    <row r="622" spans="1:18" x14ac:dyDescent="0.25">
      <c r="A622" t="s">
        <v>642</v>
      </c>
      <c r="B622" s="1">
        <v>45985</v>
      </c>
      <c r="C622" t="s">
        <v>19</v>
      </c>
      <c r="D622">
        <v>189</v>
      </c>
      <c r="E622" t="s">
        <v>14</v>
      </c>
      <c r="F622">
        <v>27</v>
      </c>
      <c r="G622" t="s">
        <v>15</v>
      </c>
      <c r="H622">
        <v>0</v>
      </c>
      <c r="I622">
        <v>41</v>
      </c>
      <c r="J622">
        <v>0</v>
      </c>
      <c r="K622" t="s">
        <v>17</v>
      </c>
      <c r="L622" t="s">
        <v>17</v>
      </c>
      <c r="M622">
        <f>IF(Table1[[#This Row],[ألغى الاشتراك]]="نعم",1,0)</f>
        <v>0</v>
      </c>
      <c r="N622">
        <f>IF(Table1[[#This Row],[وسيلة الدفع]]="بطاقة",1,0)</f>
        <v>1</v>
      </c>
      <c r="O622">
        <f>IF(Table1[[#This Row],[وسيلة الدفع]]="محفظة",1,0)</f>
        <v>0</v>
      </c>
      <c r="P622">
        <f>IF(Table1[[#This Row],[وسيلة الدفع]]="تحويل",1,0)</f>
        <v>0</v>
      </c>
      <c r="Q622">
        <f>IF(Table1[[#This Row],[حضر التهيئة]]="نعم",1,0)</f>
        <v>0</v>
      </c>
      <c r="R622">
        <f>IF(Table1[[#This Row],[دورة الفوترة]]="شهري",1,0)</f>
        <v>1</v>
      </c>
    </row>
    <row r="623" spans="1:18" x14ac:dyDescent="0.25">
      <c r="A623" t="s">
        <v>643</v>
      </c>
      <c r="B623" s="1">
        <v>45647</v>
      </c>
      <c r="C623" t="s">
        <v>13</v>
      </c>
      <c r="D623">
        <v>89</v>
      </c>
      <c r="E623" t="s">
        <v>20</v>
      </c>
      <c r="F623">
        <v>26</v>
      </c>
      <c r="G623" t="s">
        <v>21</v>
      </c>
      <c r="H623">
        <v>1</v>
      </c>
      <c r="I623">
        <v>24</v>
      </c>
      <c r="J623">
        <v>0</v>
      </c>
      <c r="K623" t="s">
        <v>17</v>
      </c>
      <c r="L623" t="s">
        <v>17</v>
      </c>
      <c r="M623">
        <f>IF(Table1[[#This Row],[ألغى الاشتراك]]="نعم",1,0)</f>
        <v>0</v>
      </c>
      <c r="N623">
        <f>IF(Table1[[#This Row],[وسيلة الدفع]]="بطاقة",1,0)</f>
        <v>0</v>
      </c>
      <c r="O623">
        <f>IF(Table1[[#This Row],[وسيلة الدفع]]="محفظة",1,0)</f>
        <v>1</v>
      </c>
      <c r="P623">
        <f>IF(Table1[[#This Row],[وسيلة الدفع]]="تحويل",1,0)</f>
        <v>0</v>
      </c>
      <c r="Q623">
        <f>IF(Table1[[#This Row],[حضر التهيئة]]="نعم",1,0)</f>
        <v>0</v>
      </c>
      <c r="R623">
        <f>IF(Table1[[#This Row],[دورة الفوترة]]="شهري",1,0)</f>
        <v>0</v>
      </c>
    </row>
    <row r="624" spans="1:18" x14ac:dyDescent="0.25">
      <c r="A624" t="s">
        <v>644</v>
      </c>
      <c r="B624" s="1">
        <v>45683</v>
      </c>
      <c r="C624" t="s">
        <v>19</v>
      </c>
      <c r="D624">
        <v>189</v>
      </c>
      <c r="E624" t="s">
        <v>20</v>
      </c>
      <c r="F624">
        <v>9</v>
      </c>
      <c r="G624" t="s">
        <v>21</v>
      </c>
      <c r="H624">
        <v>11</v>
      </c>
      <c r="I624">
        <v>23</v>
      </c>
      <c r="J624">
        <v>0</v>
      </c>
      <c r="K624" t="s">
        <v>16</v>
      </c>
      <c r="L624" t="s">
        <v>17</v>
      </c>
      <c r="M624">
        <f>IF(Table1[[#This Row],[ألغى الاشتراك]]="نعم",1,0)</f>
        <v>0</v>
      </c>
      <c r="N624">
        <f>IF(Table1[[#This Row],[وسيلة الدفع]]="بطاقة",1,0)</f>
        <v>0</v>
      </c>
      <c r="O624">
        <f>IF(Table1[[#This Row],[وسيلة الدفع]]="محفظة",1,0)</f>
        <v>1</v>
      </c>
      <c r="P624">
        <f>IF(Table1[[#This Row],[وسيلة الدفع]]="تحويل",1,0)</f>
        <v>0</v>
      </c>
      <c r="Q624">
        <f>IF(Table1[[#This Row],[حضر التهيئة]]="نعم",1,0)</f>
        <v>1</v>
      </c>
      <c r="R624">
        <f>IF(Table1[[#This Row],[دورة الفوترة]]="شهري",1,0)</f>
        <v>0</v>
      </c>
    </row>
    <row r="625" spans="1:18" x14ac:dyDescent="0.25">
      <c r="A625" t="s">
        <v>645</v>
      </c>
      <c r="B625" s="1">
        <v>45572</v>
      </c>
      <c r="C625" t="s">
        <v>19</v>
      </c>
      <c r="D625">
        <v>189</v>
      </c>
      <c r="E625" t="s">
        <v>14</v>
      </c>
      <c r="F625">
        <v>20</v>
      </c>
      <c r="G625" t="s">
        <v>15</v>
      </c>
      <c r="H625">
        <v>0</v>
      </c>
      <c r="I625">
        <v>26</v>
      </c>
      <c r="J625">
        <v>0</v>
      </c>
      <c r="K625" t="s">
        <v>16</v>
      </c>
      <c r="L625" t="s">
        <v>16</v>
      </c>
      <c r="M625">
        <f>IF(Table1[[#This Row],[ألغى الاشتراك]]="نعم",1,0)</f>
        <v>1</v>
      </c>
      <c r="N625">
        <f>IF(Table1[[#This Row],[وسيلة الدفع]]="بطاقة",1,0)</f>
        <v>1</v>
      </c>
      <c r="O625">
        <f>IF(Table1[[#This Row],[وسيلة الدفع]]="محفظة",1,0)</f>
        <v>0</v>
      </c>
      <c r="P625">
        <f>IF(Table1[[#This Row],[وسيلة الدفع]]="تحويل",1,0)</f>
        <v>0</v>
      </c>
      <c r="Q625">
        <f>IF(Table1[[#This Row],[حضر التهيئة]]="نعم",1,0)</f>
        <v>1</v>
      </c>
      <c r="R625">
        <f>IF(Table1[[#This Row],[دورة الفوترة]]="شهري",1,0)</f>
        <v>1</v>
      </c>
    </row>
    <row r="626" spans="1:18" x14ac:dyDescent="0.25">
      <c r="A626" t="s">
        <v>646</v>
      </c>
      <c r="B626" s="1">
        <v>45866</v>
      </c>
      <c r="C626" t="s">
        <v>13</v>
      </c>
      <c r="D626">
        <v>89</v>
      </c>
      <c r="E626" t="s">
        <v>20</v>
      </c>
      <c r="F626">
        <v>27</v>
      </c>
      <c r="G626" t="s">
        <v>21</v>
      </c>
      <c r="H626">
        <v>1</v>
      </c>
      <c r="I626">
        <v>31</v>
      </c>
      <c r="J626">
        <v>0</v>
      </c>
      <c r="K626" t="s">
        <v>16</v>
      </c>
      <c r="L626" t="s">
        <v>17</v>
      </c>
      <c r="M626">
        <f>IF(Table1[[#This Row],[ألغى الاشتراك]]="نعم",1,0)</f>
        <v>0</v>
      </c>
      <c r="N626">
        <f>IF(Table1[[#This Row],[وسيلة الدفع]]="بطاقة",1,0)</f>
        <v>0</v>
      </c>
      <c r="O626">
        <f>IF(Table1[[#This Row],[وسيلة الدفع]]="محفظة",1,0)</f>
        <v>1</v>
      </c>
      <c r="P626">
        <f>IF(Table1[[#This Row],[وسيلة الدفع]]="تحويل",1,0)</f>
        <v>0</v>
      </c>
      <c r="Q626">
        <f>IF(Table1[[#This Row],[حضر التهيئة]]="نعم",1,0)</f>
        <v>1</v>
      </c>
      <c r="R626">
        <f>IF(Table1[[#This Row],[دورة الفوترة]]="شهري",1,0)</f>
        <v>0</v>
      </c>
    </row>
    <row r="627" spans="1:18" x14ac:dyDescent="0.25">
      <c r="A627" t="s">
        <v>647</v>
      </c>
      <c r="B627" s="1">
        <v>45521</v>
      </c>
      <c r="C627" t="s">
        <v>19</v>
      </c>
      <c r="D627">
        <v>189</v>
      </c>
      <c r="E627" t="s">
        <v>14</v>
      </c>
      <c r="F627">
        <v>12</v>
      </c>
      <c r="G627" t="s">
        <v>21</v>
      </c>
      <c r="H627">
        <v>0</v>
      </c>
      <c r="I627">
        <v>30</v>
      </c>
      <c r="J627">
        <v>0</v>
      </c>
      <c r="K627" t="s">
        <v>17</v>
      </c>
      <c r="L627" t="s">
        <v>17</v>
      </c>
      <c r="M627">
        <f>IF(Table1[[#This Row],[ألغى الاشتراك]]="نعم",1,0)</f>
        <v>0</v>
      </c>
      <c r="N627">
        <f>IF(Table1[[#This Row],[وسيلة الدفع]]="بطاقة",1,0)</f>
        <v>0</v>
      </c>
      <c r="O627">
        <f>IF(Table1[[#This Row],[وسيلة الدفع]]="محفظة",1,0)</f>
        <v>1</v>
      </c>
      <c r="P627">
        <f>IF(Table1[[#This Row],[وسيلة الدفع]]="تحويل",1,0)</f>
        <v>0</v>
      </c>
      <c r="Q627">
        <f>IF(Table1[[#This Row],[حضر التهيئة]]="نعم",1,0)</f>
        <v>0</v>
      </c>
      <c r="R627">
        <f>IF(Table1[[#This Row],[دورة الفوترة]]="شهري",1,0)</f>
        <v>1</v>
      </c>
    </row>
    <row r="628" spans="1:18" x14ac:dyDescent="0.25">
      <c r="A628" t="s">
        <v>648</v>
      </c>
      <c r="B628" s="1">
        <v>45683</v>
      </c>
      <c r="C628" t="s">
        <v>13</v>
      </c>
      <c r="D628">
        <v>89</v>
      </c>
      <c r="E628" t="s">
        <v>14</v>
      </c>
      <c r="F628">
        <v>25</v>
      </c>
      <c r="G628" t="s">
        <v>23</v>
      </c>
      <c r="H628">
        <v>2</v>
      </c>
      <c r="I628">
        <v>25</v>
      </c>
      <c r="J628">
        <v>0</v>
      </c>
      <c r="K628" t="s">
        <v>16</v>
      </c>
      <c r="L628" t="s">
        <v>17</v>
      </c>
      <c r="M628">
        <f>IF(Table1[[#This Row],[ألغى الاشتراك]]="نعم",1,0)</f>
        <v>0</v>
      </c>
      <c r="N628">
        <f>IF(Table1[[#This Row],[وسيلة الدفع]]="بطاقة",1,0)</f>
        <v>0</v>
      </c>
      <c r="O628">
        <f>IF(Table1[[#This Row],[وسيلة الدفع]]="محفظة",1,0)</f>
        <v>0</v>
      </c>
      <c r="P628">
        <f>IF(Table1[[#This Row],[وسيلة الدفع]]="تحويل",1,0)</f>
        <v>1</v>
      </c>
      <c r="Q628">
        <f>IF(Table1[[#This Row],[حضر التهيئة]]="نعم",1,0)</f>
        <v>1</v>
      </c>
      <c r="R628">
        <f>IF(Table1[[#This Row],[دورة الفوترة]]="شهري",1,0)</f>
        <v>1</v>
      </c>
    </row>
    <row r="629" spans="1:18" x14ac:dyDescent="0.25">
      <c r="A629" t="s">
        <v>649</v>
      </c>
      <c r="B629" s="1">
        <v>45470</v>
      </c>
      <c r="C629" t="s">
        <v>13</v>
      </c>
      <c r="D629">
        <v>89</v>
      </c>
      <c r="E629" t="s">
        <v>20</v>
      </c>
      <c r="F629">
        <v>20</v>
      </c>
      <c r="G629" t="s">
        <v>21</v>
      </c>
      <c r="H629">
        <v>0</v>
      </c>
      <c r="I629">
        <v>54</v>
      </c>
      <c r="J629">
        <v>0</v>
      </c>
      <c r="K629" t="s">
        <v>17</v>
      </c>
      <c r="L629" t="s">
        <v>17</v>
      </c>
      <c r="M629">
        <f>IF(Table1[[#This Row],[ألغى الاشتراك]]="نعم",1,0)</f>
        <v>0</v>
      </c>
      <c r="N629">
        <f>IF(Table1[[#This Row],[وسيلة الدفع]]="بطاقة",1,0)</f>
        <v>0</v>
      </c>
      <c r="O629">
        <f>IF(Table1[[#This Row],[وسيلة الدفع]]="محفظة",1,0)</f>
        <v>1</v>
      </c>
      <c r="P629">
        <f>IF(Table1[[#This Row],[وسيلة الدفع]]="تحويل",1,0)</f>
        <v>0</v>
      </c>
      <c r="Q629">
        <f>IF(Table1[[#This Row],[حضر التهيئة]]="نعم",1,0)</f>
        <v>0</v>
      </c>
      <c r="R629">
        <f>IF(Table1[[#This Row],[دورة الفوترة]]="شهري",1,0)</f>
        <v>0</v>
      </c>
    </row>
    <row r="630" spans="1:18" x14ac:dyDescent="0.25">
      <c r="A630" t="s">
        <v>650</v>
      </c>
      <c r="B630" s="1">
        <v>45740</v>
      </c>
      <c r="C630" t="s">
        <v>19</v>
      </c>
      <c r="D630">
        <v>189</v>
      </c>
      <c r="E630" t="s">
        <v>14</v>
      </c>
      <c r="F630">
        <v>9</v>
      </c>
      <c r="G630" t="s">
        <v>15</v>
      </c>
      <c r="H630">
        <v>2</v>
      </c>
      <c r="I630">
        <v>41</v>
      </c>
      <c r="J630">
        <v>0</v>
      </c>
      <c r="K630" t="s">
        <v>17</v>
      </c>
      <c r="L630" t="s">
        <v>17</v>
      </c>
      <c r="M630">
        <f>IF(Table1[[#This Row],[ألغى الاشتراك]]="نعم",1,0)</f>
        <v>0</v>
      </c>
      <c r="N630">
        <f>IF(Table1[[#This Row],[وسيلة الدفع]]="بطاقة",1,0)</f>
        <v>1</v>
      </c>
      <c r="O630">
        <f>IF(Table1[[#This Row],[وسيلة الدفع]]="محفظة",1,0)</f>
        <v>0</v>
      </c>
      <c r="P630">
        <f>IF(Table1[[#This Row],[وسيلة الدفع]]="تحويل",1,0)</f>
        <v>0</v>
      </c>
      <c r="Q630">
        <f>IF(Table1[[#This Row],[حضر التهيئة]]="نعم",1,0)</f>
        <v>0</v>
      </c>
      <c r="R630">
        <f>IF(Table1[[#This Row],[دورة الفوترة]]="شهري",1,0)</f>
        <v>1</v>
      </c>
    </row>
    <row r="631" spans="1:18" x14ac:dyDescent="0.25">
      <c r="A631" t="s">
        <v>651</v>
      </c>
      <c r="B631" s="1">
        <v>45399</v>
      </c>
      <c r="C631" t="s">
        <v>28</v>
      </c>
      <c r="D631">
        <v>39</v>
      </c>
      <c r="E631" t="s">
        <v>20</v>
      </c>
      <c r="F631">
        <v>10</v>
      </c>
      <c r="G631" t="s">
        <v>15</v>
      </c>
      <c r="H631">
        <v>7</v>
      </c>
      <c r="I631">
        <v>28</v>
      </c>
      <c r="J631">
        <v>0</v>
      </c>
      <c r="K631" t="s">
        <v>16</v>
      </c>
      <c r="L631" t="s">
        <v>17</v>
      </c>
      <c r="M631">
        <f>IF(Table1[[#This Row],[ألغى الاشتراك]]="نعم",1,0)</f>
        <v>0</v>
      </c>
      <c r="N631">
        <f>IF(Table1[[#This Row],[وسيلة الدفع]]="بطاقة",1,0)</f>
        <v>1</v>
      </c>
      <c r="O631">
        <f>IF(Table1[[#This Row],[وسيلة الدفع]]="محفظة",1,0)</f>
        <v>0</v>
      </c>
      <c r="P631">
        <f>IF(Table1[[#This Row],[وسيلة الدفع]]="تحويل",1,0)</f>
        <v>0</v>
      </c>
      <c r="Q631">
        <f>IF(Table1[[#This Row],[حضر التهيئة]]="نعم",1,0)</f>
        <v>1</v>
      </c>
      <c r="R631">
        <f>IF(Table1[[#This Row],[دورة الفوترة]]="شهري",1,0)</f>
        <v>0</v>
      </c>
    </row>
    <row r="632" spans="1:18" x14ac:dyDescent="0.25">
      <c r="A632" t="s">
        <v>652</v>
      </c>
      <c r="B632" s="1">
        <v>45663</v>
      </c>
      <c r="C632" t="s">
        <v>13</v>
      </c>
      <c r="D632">
        <v>89</v>
      </c>
      <c r="E632" t="s">
        <v>20</v>
      </c>
      <c r="F632">
        <v>3</v>
      </c>
      <c r="G632" t="s">
        <v>21</v>
      </c>
      <c r="H632">
        <v>7</v>
      </c>
      <c r="I632">
        <v>11</v>
      </c>
      <c r="J632">
        <v>0</v>
      </c>
      <c r="K632" t="s">
        <v>16</v>
      </c>
      <c r="L632" t="s">
        <v>17</v>
      </c>
      <c r="M632">
        <f>IF(Table1[[#This Row],[ألغى الاشتراك]]="نعم",1,0)</f>
        <v>0</v>
      </c>
      <c r="N632">
        <f>IF(Table1[[#This Row],[وسيلة الدفع]]="بطاقة",1,0)</f>
        <v>0</v>
      </c>
      <c r="O632">
        <f>IF(Table1[[#This Row],[وسيلة الدفع]]="محفظة",1,0)</f>
        <v>1</v>
      </c>
      <c r="P632">
        <f>IF(Table1[[#This Row],[وسيلة الدفع]]="تحويل",1,0)</f>
        <v>0</v>
      </c>
      <c r="Q632">
        <f>IF(Table1[[#This Row],[حضر التهيئة]]="نعم",1,0)</f>
        <v>1</v>
      </c>
      <c r="R632">
        <f>IF(Table1[[#This Row],[دورة الفوترة]]="شهري",1,0)</f>
        <v>0</v>
      </c>
    </row>
    <row r="633" spans="1:18" x14ac:dyDescent="0.25">
      <c r="A633" t="s">
        <v>653</v>
      </c>
      <c r="B633" s="1">
        <v>45329</v>
      </c>
      <c r="C633" t="s">
        <v>13</v>
      </c>
      <c r="D633">
        <v>89</v>
      </c>
      <c r="E633" t="s">
        <v>14</v>
      </c>
      <c r="F633">
        <v>30</v>
      </c>
      <c r="G633" t="s">
        <v>21</v>
      </c>
      <c r="H633">
        <v>8</v>
      </c>
      <c r="I633">
        <v>18</v>
      </c>
      <c r="J633">
        <v>0</v>
      </c>
      <c r="K633" t="s">
        <v>16</v>
      </c>
      <c r="L633" t="s">
        <v>17</v>
      </c>
      <c r="M633">
        <f>IF(Table1[[#This Row],[ألغى الاشتراك]]="نعم",1,0)</f>
        <v>0</v>
      </c>
      <c r="N633">
        <f>IF(Table1[[#This Row],[وسيلة الدفع]]="بطاقة",1,0)</f>
        <v>0</v>
      </c>
      <c r="O633">
        <f>IF(Table1[[#This Row],[وسيلة الدفع]]="محفظة",1,0)</f>
        <v>1</v>
      </c>
      <c r="P633">
        <f>IF(Table1[[#This Row],[وسيلة الدفع]]="تحويل",1,0)</f>
        <v>0</v>
      </c>
      <c r="Q633">
        <f>IF(Table1[[#This Row],[حضر التهيئة]]="نعم",1,0)</f>
        <v>1</v>
      </c>
      <c r="R633">
        <f>IF(Table1[[#This Row],[دورة الفوترة]]="شهري",1,0)</f>
        <v>1</v>
      </c>
    </row>
    <row r="634" spans="1:18" x14ac:dyDescent="0.25">
      <c r="A634" t="s">
        <v>654</v>
      </c>
      <c r="B634" s="1">
        <v>45635</v>
      </c>
      <c r="C634" t="s">
        <v>13</v>
      </c>
      <c r="D634">
        <v>89</v>
      </c>
      <c r="E634" t="s">
        <v>14</v>
      </c>
      <c r="F634">
        <v>27</v>
      </c>
      <c r="G634" t="s">
        <v>21</v>
      </c>
      <c r="H634">
        <v>2</v>
      </c>
      <c r="I634">
        <v>3</v>
      </c>
      <c r="J634">
        <v>25</v>
      </c>
      <c r="K634" t="s">
        <v>16</v>
      </c>
      <c r="L634" t="s">
        <v>17</v>
      </c>
      <c r="M634">
        <f>IF(Table1[[#This Row],[ألغى الاشتراك]]="نعم",1,0)</f>
        <v>0</v>
      </c>
      <c r="N634">
        <f>IF(Table1[[#This Row],[وسيلة الدفع]]="بطاقة",1,0)</f>
        <v>0</v>
      </c>
      <c r="O634">
        <f>IF(Table1[[#This Row],[وسيلة الدفع]]="محفظة",1,0)</f>
        <v>1</v>
      </c>
      <c r="P634">
        <f>IF(Table1[[#This Row],[وسيلة الدفع]]="تحويل",1,0)</f>
        <v>0</v>
      </c>
      <c r="Q634">
        <f>IF(Table1[[#This Row],[حضر التهيئة]]="نعم",1,0)</f>
        <v>1</v>
      </c>
      <c r="R634">
        <f>IF(Table1[[#This Row],[دورة الفوترة]]="شهري",1,0)</f>
        <v>1</v>
      </c>
    </row>
    <row r="635" spans="1:18" x14ac:dyDescent="0.25">
      <c r="A635" t="s">
        <v>655</v>
      </c>
      <c r="B635" s="1">
        <v>45683</v>
      </c>
      <c r="C635" t="s">
        <v>13</v>
      </c>
      <c r="D635">
        <v>89</v>
      </c>
      <c r="E635" t="s">
        <v>14</v>
      </c>
      <c r="F635">
        <v>17</v>
      </c>
      <c r="G635" t="s">
        <v>15</v>
      </c>
      <c r="H635">
        <v>2</v>
      </c>
      <c r="I635">
        <v>25</v>
      </c>
      <c r="J635">
        <v>0</v>
      </c>
      <c r="K635" t="s">
        <v>17</v>
      </c>
      <c r="L635" t="s">
        <v>17</v>
      </c>
      <c r="M635">
        <f>IF(Table1[[#This Row],[ألغى الاشتراك]]="نعم",1,0)</f>
        <v>0</v>
      </c>
      <c r="N635">
        <f>IF(Table1[[#This Row],[وسيلة الدفع]]="بطاقة",1,0)</f>
        <v>1</v>
      </c>
      <c r="O635">
        <f>IF(Table1[[#This Row],[وسيلة الدفع]]="محفظة",1,0)</f>
        <v>0</v>
      </c>
      <c r="P635">
        <f>IF(Table1[[#This Row],[وسيلة الدفع]]="تحويل",1,0)</f>
        <v>0</v>
      </c>
      <c r="Q635">
        <f>IF(Table1[[#This Row],[حضر التهيئة]]="نعم",1,0)</f>
        <v>0</v>
      </c>
      <c r="R635">
        <f>IF(Table1[[#This Row],[دورة الفوترة]]="شهري",1,0)</f>
        <v>1</v>
      </c>
    </row>
    <row r="636" spans="1:18" x14ac:dyDescent="0.25">
      <c r="A636" t="s">
        <v>656</v>
      </c>
      <c r="B636" s="1">
        <v>45470</v>
      </c>
      <c r="C636" t="s">
        <v>13</v>
      </c>
      <c r="D636">
        <v>89</v>
      </c>
      <c r="E636" t="s">
        <v>14</v>
      </c>
      <c r="F636">
        <v>6</v>
      </c>
      <c r="G636" t="s">
        <v>15</v>
      </c>
      <c r="H636">
        <v>3</v>
      </c>
      <c r="I636">
        <v>22</v>
      </c>
      <c r="J636">
        <v>0</v>
      </c>
      <c r="K636" t="s">
        <v>16</v>
      </c>
      <c r="L636" t="s">
        <v>17</v>
      </c>
      <c r="M636">
        <f>IF(Table1[[#This Row],[ألغى الاشتراك]]="نعم",1,0)</f>
        <v>0</v>
      </c>
      <c r="N636">
        <f>IF(Table1[[#This Row],[وسيلة الدفع]]="بطاقة",1,0)</f>
        <v>1</v>
      </c>
      <c r="O636">
        <f>IF(Table1[[#This Row],[وسيلة الدفع]]="محفظة",1,0)</f>
        <v>0</v>
      </c>
      <c r="P636">
        <f>IF(Table1[[#This Row],[وسيلة الدفع]]="تحويل",1,0)</f>
        <v>0</v>
      </c>
      <c r="Q636">
        <f>IF(Table1[[#This Row],[حضر التهيئة]]="نعم",1,0)</f>
        <v>1</v>
      </c>
      <c r="R636">
        <f>IF(Table1[[#This Row],[دورة الفوترة]]="شهري",1,0)</f>
        <v>1</v>
      </c>
    </row>
    <row r="637" spans="1:18" x14ac:dyDescent="0.25">
      <c r="A637" t="s">
        <v>657</v>
      </c>
      <c r="B637" s="1">
        <v>45977</v>
      </c>
      <c r="C637" t="s">
        <v>13</v>
      </c>
      <c r="D637">
        <v>89</v>
      </c>
      <c r="E637" t="s">
        <v>20</v>
      </c>
      <c r="F637">
        <v>17</v>
      </c>
      <c r="G637" t="s">
        <v>21</v>
      </c>
      <c r="H637">
        <v>8</v>
      </c>
      <c r="I637">
        <v>31</v>
      </c>
      <c r="J637">
        <v>0</v>
      </c>
      <c r="K637" t="s">
        <v>17</v>
      </c>
      <c r="L637" t="s">
        <v>17</v>
      </c>
      <c r="M637">
        <f>IF(Table1[[#This Row],[ألغى الاشتراك]]="نعم",1,0)</f>
        <v>0</v>
      </c>
      <c r="N637">
        <f>IF(Table1[[#This Row],[وسيلة الدفع]]="بطاقة",1,0)</f>
        <v>0</v>
      </c>
      <c r="O637">
        <f>IF(Table1[[#This Row],[وسيلة الدفع]]="محفظة",1,0)</f>
        <v>1</v>
      </c>
      <c r="P637">
        <f>IF(Table1[[#This Row],[وسيلة الدفع]]="تحويل",1,0)</f>
        <v>0</v>
      </c>
      <c r="Q637">
        <f>IF(Table1[[#This Row],[حضر التهيئة]]="نعم",1,0)</f>
        <v>0</v>
      </c>
      <c r="R637">
        <f>IF(Table1[[#This Row],[دورة الفوترة]]="شهري",1,0)</f>
        <v>0</v>
      </c>
    </row>
    <row r="638" spans="1:18" x14ac:dyDescent="0.25">
      <c r="A638" t="s">
        <v>658</v>
      </c>
      <c r="B638" s="1">
        <v>45631</v>
      </c>
      <c r="C638" t="s">
        <v>13</v>
      </c>
      <c r="D638">
        <v>89</v>
      </c>
      <c r="E638" t="s">
        <v>14</v>
      </c>
      <c r="F638">
        <v>4</v>
      </c>
      <c r="G638" t="s">
        <v>21</v>
      </c>
      <c r="H638">
        <v>1</v>
      </c>
      <c r="I638">
        <v>50</v>
      </c>
      <c r="J638">
        <v>0</v>
      </c>
      <c r="K638" t="s">
        <v>17</v>
      </c>
      <c r="L638" t="s">
        <v>17</v>
      </c>
      <c r="M638">
        <f>IF(Table1[[#This Row],[ألغى الاشتراك]]="نعم",1,0)</f>
        <v>0</v>
      </c>
      <c r="N638">
        <f>IF(Table1[[#This Row],[وسيلة الدفع]]="بطاقة",1,0)</f>
        <v>0</v>
      </c>
      <c r="O638">
        <f>IF(Table1[[#This Row],[وسيلة الدفع]]="محفظة",1,0)</f>
        <v>1</v>
      </c>
      <c r="P638">
        <f>IF(Table1[[#This Row],[وسيلة الدفع]]="تحويل",1,0)</f>
        <v>0</v>
      </c>
      <c r="Q638">
        <f>IF(Table1[[#This Row],[حضر التهيئة]]="نعم",1,0)</f>
        <v>0</v>
      </c>
      <c r="R638">
        <f>IF(Table1[[#This Row],[دورة الفوترة]]="شهري",1,0)</f>
        <v>1</v>
      </c>
    </row>
    <row r="639" spans="1:18" x14ac:dyDescent="0.25">
      <c r="A639" t="s">
        <v>659</v>
      </c>
      <c r="B639" s="1">
        <v>45592</v>
      </c>
      <c r="C639" t="s">
        <v>19</v>
      </c>
      <c r="D639">
        <v>189</v>
      </c>
      <c r="E639" t="s">
        <v>20</v>
      </c>
      <c r="F639">
        <v>21</v>
      </c>
      <c r="G639" t="s">
        <v>15</v>
      </c>
      <c r="H639">
        <v>2</v>
      </c>
      <c r="I639">
        <v>51</v>
      </c>
      <c r="J639">
        <v>10</v>
      </c>
      <c r="K639" t="s">
        <v>16</v>
      </c>
      <c r="L639" t="s">
        <v>17</v>
      </c>
      <c r="M639">
        <f>IF(Table1[[#This Row],[ألغى الاشتراك]]="نعم",1,0)</f>
        <v>0</v>
      </c>
      <c r="N639">
        <f>IF(Table1[[#This Row],[وسيلة الدفع]]="بطاقة",1,0)</f>
        <v>1</v>
      </c>
      <c r="O639">
        <f>IF(Table1[[#This Row],[وسيلة الدفع]]="محفظة",1,0)</f>
        <v>0</v>
      </c>
      <c r="P639">
        <f>IF(Table1[[#This Row],[وسيلة الدفع]]="تحويل",1,0)</f>
        <v>0</v>
      </c>
      <c r="Q639">
        <f>IF(Table1[[#This Row],[حضر التهيئة]]="نعم",1,0)</f>
        <v>1</v>
      </c>
      <c r="R639">
        <f>IF(Table1[[#This Row],[دورة الفوترة]]="شهري",1,0)</f>
        <v>0</v>
      </c>
    </row>
    <row r="640" spans="1:18" x14ac:dyDescent="0.25">
      <c r="A640" t="s">
        <v>660</v>
      </c>
      <c r="B640" s="1">
        <v>45977</v>
      </c>
      <c r="C640" t="s">
        <v>19</v>
      </c>
      <c r="D640">
        <v>189</v>
      </c>
      <c r="E640" t="s">
        <v>14</v>
      </c>
      <c r="F640">
        <v>25</v>
      </c>
      <c r="G640" t="s">
        <v>21</v>
      </c>
      <c r="H640">
        <v>1</v>
      </c>
      <c r="I640">
        <v>27</v>
      </c>
      <c r="J640">
        <v>0</v>
      </c>
      <c r="K640" t="s">
        <v>16</v>
      </c>
      <c r="L640" t="s">
        <v>17</v>
      </c>
      <c r="M640">
        <f>IF(Table1[[#This Row],[ألغى الاشتراك]]="نعم",1,0)</f>
        <v>0</v>
      </c>
      <c r="N640">
        <f>IF(Table1[[#This Row],[وسيلة الدفع]]="بطاقة",1,0)</f>
        <v>0</v>
      </c>
      <c r="O640">
        <f>IF(Table1[[#This Row],[وسيلة الدفع]]="محفظة",1,0)</f>
        <v>1</v>
      </c>
      <c r="P640">
        <f>IF(Table1[[#This Row],[وسيلة الدفع]]="تحويل",1,0)</f>
        <v>0</v>
      </c>
      <c r="Q640">
        <f>IF(Table1[[#This Row],[حضر التهيئة]]="نعم",1,0)</f>
        <v>1</v>
      </c>
      <c r="R640">
        <f>IF(Table1[[#This Row],[دورة الفوترة]]="شهري",1,0)</f>
        <v>1</v>
      </c>
    </row>
    <row r="641" spans="1:18" x14ac:dyDescent="0.25">
      <c r="A641" t="s">
        <v>661</v>
      </c>
      <c r="B641" s="1">
        <v>45631</v>
      </c>
      <c r="C641" t="s">
        <v>19</v>
      </c>
      <c r="D641">
        <v>189</v>
      </c>
      <c r="E641" t="s">
        <v>20</v>
      </c>
      <c r="F641">
        <v>4</v>
      </c>
      <c r="G641" t="s">
        <v>23</v>
      </c>
      <c r="H641">
        <v>0</v>
      </c>
      <c r="I641">
        <v>12</v>
      </c>
      <c r="J641">
        <v>0</v>
      </c>
      <c r="K641" t="s">
        <v>17</v>
      </c>
      <c r="L641" t="s">
        <v>17</v>
      </c>
      <c r="M641">
        <f>IF(Table1[[#This Row],[ألغى الاشتراك]]="نعم",1,0)</f>
        <v>0</v>
      </c>
      <c r="N641">
        <f>IF(Table1[[#This Row],[وسيلة الدفع]]="بطاقة",1,0)</f>
        <v>0</v>
      </c>
      <c r="O641">
        <f>IF(Table1[[#This Row],[وسيلة الدفع]]="محفظة",1,0)</f>
        <v>0</v>
      </c>
      <c r="P641">
        <f>IF(Table1[[#This Row],[وسيلة الدفع]]="تحويل",1,0)</f>
        <v>1</v>
      </c>
      <c r="Q641">
        <f>IF(Table1[[#This Row],[حضر التهيئة]]="نعم",1,0)</f>
        <v>0</v>
      </c>
      <c r="R641">
        <f>IF(Table1[[#This Row],[دورة الفوترة]]="شهري",1,0)</f>
        <v>0</v>
      </c>
    </row>
    <row r="642" spans="1:18" x14ac:dyDescent="0.25">
      <c r="A642" t="s">
        <v>662</v>
      </c>
      <c r="B642" s="1">
        <v>45675</v>
      </c>
      <c r="C642" t="s">
        <v>28</v>
      </c>
      <c r="D642">
        <v>39</v>
      </c>
      <c r="E642" t="s">
        <v>14</v>
      </c>
      <c r="F642">
        <v>11</v>
      </c>
      <c r="G642" t="s">
        <v>15</v>
      </c>
      <c r="H642">
        <v>8</v>
      </c>
      <c r="I642">
        <v>13</v>
      </c>
      <c r="J642">
        <v>0</v>
      </c>
      <c r="K642" t="s">
        <v>16</v>
      </c>
      <c r="L642" t="s">
        <v>17</v>
      </c>
      <c r="M642">
        <f>IF(Table1[[#This Row],[ألغى الاشتراك]]="نعم",1,0)</f>
        <v>0</v>
      </c>
      <c r="N642">
        <f>IF(Table1[[#This Row],[وسيلة الدفع]]="بطاقة",1,0)</f>
        <v>1</v>
      </c>
      <c r="O642">
        <f>IF(Table1[[#This Row],[وسيلة الدفع]]="محفظة",1,0)</f>
        <v>0</v>
      </c>
      <c r="P642">
        <f>IF(Table1[[#This Row],[وسيلة الدفع]]="تحويل",1,0)</f>
        <v>0</v>
      </c>
      <c r="Q642">
        <f>IF(Table1[[#This Row],[حضر التهيئة]]="نعم",1,0)</f>
        <v>1</v>
      </c>
      <c r="R642">
        <f>IF(Table1[[#This Row],[دورة الفوترة]]="شهري",1,0)</f>
        <v>1</v>
      </c>
    </row>
    <row r="643" spans="1:18" x14ac:dyDescent="0.25">
      <c r="A643" t="s">
        <v>663</v>
      </c>
      <c r="B643" s="1">
        <v>45576</v>
      </c>
      <c r="C643" t="s">
        <v>13</v>
      </c>
      <c r="D643">
        <v>89</v>
      </c>
      <c r="E643" t="s">
        <v>14</v>
      </c>
      <c r="F643">
        <v>28</v>
      </c>
      <c r="G643" t="s">
        <v>23</v>
      </c>
      <c r="H643">
        <v>1</v>
      </c>
      <c r="I643">
        <v>12</v>
      </c>
      <c r="J643">
        <v>0</v>
      </c>
      <c r="K643" t="s">
        <v>16</v>
      </c>
      <c r="L643" t="s">
        <v>17</v>
      </c>
      <c r="M643">
        <f>IF(Table1[[#This Row],[ألغى الاشتراك]]="نعم",1,0)</f>
        <v>0</v>
      </c>
      <c r="N643">
        <f>IF(Table1[[#This Row],[وسيلة الدفع]]="بطاقة",1,0)</f>
        <v>0</v>
      </c>
      <c r="O643">
        <f>IF(Table1[[#This Row],[وسيلة الدفع]]="محفظة",1,0)</f>
        <v>0</v>
      </c>
      <c r="P643">
        <f>IF(Table1[[#This Row],[وسيلة الدفع]]="تحويل",1,0)</f>
        <v>1</v>
      </c>
      <c r="Q643">
        <f>IF(Table1[[#This Row],[حضر التهيئة]]="نعم",1,0)</f>
        <v>1</v>
      </c>
      <c r="R643">
        <f>IF(Table1[[#This Row],[دورة الفوترة]]="شهري",1,0)</f>
        <v>1</v>
      </c>
    </row>
    <row r="644" spans="1:18" x14ac:dyDescent="0.25">
      <c r="A644" t="s">
        <v>664</v>
      </c>
      <c r="B644" s="1">
        <v>45732</v>
      </c>
      <c r="C644" t="s">
        <v>28</v>
      </c>
      <c r="D644">
        <v>39</v>
      </c>
      <c r="E644" t="s">
        <v>14</v>
      </c>
      <c r="F644">
        <v>13</v>
      </c>
      <c r="G644" t="s">
        <v>21</v>
      </c>
      <c r="H644">
        <v>0</v>
      </c>
      <c r="I644">
        <v>15</v>
      </c>
      <c r="J644">
        <v>0</v>
      </c>
      <c r="K644" t="s">
        <v>16</v>
      </c>
      <c r="L644" t="s">
        <v>17</v>
      </c>
      <c r="M644">
        <f>IF(Table1[[#This Row],[ألغى الاشتراك]]="نعم",1,0)</f>
        <v>0</v>
      </c>
      <c r="N644">
        <f>IF(Table1[[#This Row],[وسيلة الدفع]]="بطاقة",1,0)</f>
        <v>0</v>
      </c>
      <c r="O644">
        <f>IF(Table1[[#This Row],[وسيلة الدفع]]="محفظة",1,0)</f>
        <v>1</v>
      </c>
      <c r="P644">
        <f>IF(Table1[[#This Row],[وسيلة الدفع]]="تحويل",1,0)</f>
        <v>0</v>
      </c>
      <c r="Q644">
        <f>IF(Table1[[#This Row],[حضر التهيئة]]="نعم",1,0)</f>
        <v>1</v>
      </c>
      <c r="R644">
        <f>IF(Table1[[#This Row],[دورة الفوترة]]="شهري",1,0)</f>
        <v>1</v>
      </c>
    </row>
    <row r="645" spans="1:18" x14ac:dyDescent="0.25">
      <c r="A645" t="s">
        <v>665</v>
      </c>
      <c r="B645" s="1">
        <v>45647</v>
      </c>
      <c r="C645" t="s">
        <v>13</v>
      </c>
      <c r="D645">
        <v>89</v>
      </c>
      <c r="E645" t="s">
        <v>14</v>
      </c>
      <c r="F645">
        <v>4</v>
      </c>
      <c r="G645" t="s">
        <v>15</v>
      </c>
      <c r="H645">
        <v>1</v>
      </c>
      <c r="I645">
        <v>10</v>
      </c>
      <c r="J645">
        <v>0</v>
      </c>
      <c r="K645" t="s">
        <v>16</v>
      </c>
      <c r="L645" t="s">
        <v>17</v>
      </c>
      <c r="M645">
        <f>IF(Table1[[#This Row],[ألغى الاشتراك]]="نعم",1,0)</f>
        <v>0</v>
      </c>
      <c r="N645">
        <f>IF(Table1[[#This Row],[وسيلة الدفع]]="بطاقة",1,0)</f>
        <v>1</v>
      </c>
      <c r="O645">
        <f>IF(Table1[[#This Row],[وسيلة الدفع]]="محفظة",1,0)</f>
        <v>0</v>
      </c>
      <c r="P645">
        <f>IF(Table1[[#This Row],[وسيلة الدفع]]="تحويل",1,0)</f>
        <v>0</v>
      </c>
      <c r="Q645">
        <f>IF(Table1[[#This Row],[حضر التهيئة]]="نعم",1,0)</f>
        <v>1</v>
      </c>
      <c r="R645">
        <f>IF(Table1[[#This Row],[دورة الفوترة]]="شهري",1,0)</f>
        <v>1</v>
      </c>
    </row>
    <row r="646" spans="1:18" x14ac:dyDescent="0.25">
      <c r="A646" t="s">
        <v>666</v>
      </c>
      <c r="B646" s="1">
        <v>45799</v>
      </c>
      <c r="C646" t="s">
        <v>19</v>
      </c>
      <c r="D646">
        <v>189</v>
      </c>
      <c r="E646" t="s">
        <v>14</v>
      </c>
      <c r="F646">
        <v>11</v>
      </c>
      <c r="G646" t="s">
        <v>23</v>
      </c>
      <c r="H646">
        <v>0</v>
      </c>
      <c r="I646">
        <v>39</v>
      </c>
      <c r="J646">
        <v>0</v>
      </c>
      <c r="K646" t="s">
        <v>16</v>
      </c>
      <c r="L646" t="s">
        <v>17</v>
      </c>
      <c r="M646">
        <f>IF(Table1[[#This Row],[ألغى الاشتراك]]="نعم",1,0)</f>
        <v>0</v>
      </c>
      <c r="N646">
        <f>IF(Table1[[#This Row],[وسيلة الدفع]]="بطاقة",1,0)</f>
        <v>0</v>
      </c>
      <c r="O646">
        <f>IF(Table1[[#This Row],[وسيلة الدفع]]="محفظة",1,0)</f>
        <v>0</v>
      </c>
      <c r="P646">
        <f>IF(Table1[[#This Row],[وسيلة الدفع]]="تحويل",1,0)</f>
        <v>1</v>
      </c>
      <c r="Q646">
        <f>IF(Table1[[#This Row],[حضر التهيئة]]="نعم",1,0)</f>
        <v>1</v>
      </c>
      <c r="R646">
        <f>IF(Table1[[#This Row],[دورة الفوترة]]="شهري",1,0)</f>
        <v>1</v>
      </c>
    </row>
    <row r="647" spans="1:18" x14ac:dyDescent="0.25">
      <c r="A647" t="s">
        <v>667</v>
      </c>
      <c r="B647" s="1">
        <v>45588</v>
      </c>
      <c r="C647" t="s">
        <v>13</v>
      </c>
      <c r="D647">
        <v>89</v>
      </c>
      <c r="E647" t="s">
        <v>14</v>
      </c>
      <c r="F647">
        <v>4</v>
      </c>
      <c r="G647" t="s">
        <v>21</v>
      </c>
      <c r="H647">
        <v>8</v>
      </c>
      <c r="I647">
        <v>38</v>
      </c>
      <c r="J647">
        <v>0</v>
      </c>
      <c r="K647" t="s">
        <v>17</v>
      </c>
      <c r="L647" t="s">
        <v>17</v>
      </c>
      <c r="M647">
        <f>IF(Table1[[#This Row],[ألغى الاشتراك]]="نعم",1,0)</f>
        <v>0</v>
      </c>
      <c r="N647">
        <f>IF(Table1[[#This Row],[وسيلة الدفع]]="بطاقة",1,0)</f>
        <v>0</v>
      </c>
      <c r="O647">
        <f>IF(Table1[[#This Row],[وسيلة الدفع]]="محفظة",1,0)</f>
        <v>1</v>
      </c>
      <c r="P647">
        <f>IF(Table1[[#This Row],[وسيلة الدفع]]="تحويل",1,0)</f>
        <v>0</v>
      </c>
      <c r="Q647">
        <f>IF(Table1[[#This Row],[حضر التهيئة]]="نعم",1,0)</f>
        <v>0</v>
      </c>
      <c r="R647">
        <f>IF(Table1[[#This Row],[دورة الفوترة]]="شهري",1,0)</f>
        <v>1</v>
      </c>
    </row>
    <row r="648" spans="1:18" x14ac:dyDescent="0.25">
      <c r="A648" t="s">
        <v>668</v>
      </c>
      <c r="B648" s="1">
        <v>45732</v>
      </c>
      <c r="C648" t="s">
        <v>13</v>
      </c>
      <c r="D648">
        <v>89</v>
      </c>
      <c r="E648" t="s">
        <v>14</v>
      </c>
      <c r="F648">
        <v>13</v>
      </c>
      <c r="G648" t="s">
        <v>21</v>
      </c>
      <c r="H648">
        <v>1</v>
      </c>
      <c r="I648">
        <v>9</v>
      </c>
      <c r="J648">
        <v>0</v>
      </c>
      <c r="K648" t="s">
        <v>16</v>
      </c>
      <c r="L648" t="s">
        <v>17</v>
      </c>
      <c r="M648">
        <f>IF(Table1[[#This Row],[ألغى الاشتراك]]="نعم",1,0)</f>
        <v>0</v>
      </c>
      <c r="N648">
        <f>IF(Table1[[#This Row],[وسيلة الدفع]]="بطاقة",1,0)</f>
        <v>0</v>
      </c>
      <c r="O648">
        <f>IF(Table1[[#This Row],[وسيلة الدفع]]="محفظة",1,0)</f>
        <v>1</v>
      </c>
      <c r="P648">
        <f>IF(Table1[[#This Row],[وسيلة الدفع]]="تحويل",1,0)</f>
        <v>0</v>
      </c>
      <c r="Q648">
        <f>IF(Table1[[#This Row],[حضر التهيئة]]="نعم",1,0)</f>
        <v>1</v>
      </c>
      <c r="R648">
        <f>IF(Table1[[#This Row],[دورة الفوترة]]="شهري",1,0)</f>
        <v>1</v>
      </c>
    </row>
    <row r="649" spans="1:18" x14ac:dyDescent="0.25">
      <c r="A649" t="s">
        <v>669</v>
      </c>
      <c r="B649" s="1">
        <v>45663</v>
      </c>
      <c r="C649" t="s">
        <v>13</v>
      </c>
      <c r="D649">
        <v>89</v>
      </c>
      <c r="E649" t="s">
        <v>14</v>
      </c>
      <c r="F649">
        <v>20</v>
      </c>
      <c r="G649" t="s">
        <v>21</v>
      </c>
      <c r="H649">
        <v>2</v>
      </c>
      <c r="I649">
        <v>38</v>
      </c>
      <c r="J649">
        <v>5</v>
      </c>
      <c r="K649" t="s">
        <v>17</v>
      </c>
      <c r="L649" t="s">
        <v>17</v>
      </c>
      <c r="M649">
        <f>IF(Table1[[#This Row],[ألغى الاشتراك]]="نعم",1,0)</f>
        <v>0</v>
      </c>
      <c r="N649">
        <f>IF(Table1[[#This Row],[وسيلة الدفع]]="بطاقة",1,0)</f>
        <v>0</v>
      </c>
      <c r="O649">
        <f>IF(Table1[[#This Row],[وسيلة الدفع]]="محفظة",1,0)</f>
        <v>1</v>
      </c>
      <c r="P649">
        <f>IF(Table1[[#This Row],[وسيلة الدفع]]="تحويل",1,0)</f>
        <v>0</v>
      </c>
      <c r="Q649">
        <f>IF(Table1[[#This Row],[حضر التهيئة]]="نعم",1,0)</f>
        <v>0</v>
      </c>
      <c r="R649">
        <f>IF(Table1[[#This Row],[دورة الفوترة]]="شهري",1,0)</f>
        <v>1</v>
      </c>
    </row>
    <row r="650" spans="1:18" x14ac:dyDescent="0.25">
      <c r="A650" t="s">
        <v>670</v>
      </c>
      <c r="B650" s="1">
        <v>45588</v>
      </c>
      <c r="C650" t="s">
        <v>28</v>
      </c>
      <c r="D650">
        <v>39</v>
      </c>
      <c r="E650" t="s">
        <v>14</v>
      </c>
      <c r="F650">
        <v>10</v>
      </c>
      <c r="G650" t="s">
        <v>23</v>
      </c>
      <c r="H650">
        <v>9</v>
      </c>
      <c r="I650">
        <v>22</v>
      </c>
      <c r="J650">
        <v>0</v>
      </c>
      <c r="K650" t="s">
        <v>16</v>
      </c>
      <c r="L650" t="s">
        <v>17</v>
      </c>
      <c r="M650">
        <f>IF(Table1[[#This Row],[ألغى الاشتراك]]="نعم",1,0)</f>
        <v>0</v>
      </c>
      <c r="N650">
        <f>IF(Table1[[#This Row],[وسيلة الدفع]]="بطاقة",1,0)</f>
        <v>0</v>
      </c>
      <c r="O650">
        <f>IF(Table1[[#This Row],[وسيلة الدفع]]="محفظة",1,0)</f>
        <v>0</v>
      </c>
      <c r="P650">
        <f>IF(Table1[[#This Row],[وسيلة الدفع]]="تحويل",1,0)</f>
        <v>1</v>
      </c>
      <c r="Q650">
        <f>IF(Table1[[#This Row],[حضر التهيئة]]="نعم",1,0)</f>
        <v>1</v>
      </c>
      <c r="R650">
        <f>IF(Table1[[#This Row],[دورة الفوترة]]="شهري",1,0)</f>
        <v>1</v>
      </c>
    </row>
    <row r="651" spans="1:18" x14ac:dyDescent="0.25">
      <c r="A651" t="s">
        <v>671</v>
      </c>
      <c r="B651" s="1">
        <v>45399</v>
      </c>
      <c r="C651" t="s">
        <v>13</v>
      </c>
      <c r="D651">
        <v>89</v>
      </c>
      <c r="E651" t="s">
        <v>14</v>
      </c>
      <c r="F651">
        <v>23</v>
      </c>
      <c r="G651" t="s">
        <v>21</v>
      </c>
      <c r="H651">
        <v>4</v>
      </c>
      <c r="I651">
        <v>15</v>
      </c>
      <c r="J651">
        <v>25</v>
      </c>
      <c r="K651" t="s">
        <v>16</v>
      </c>
      <c r="L651" t="s">
        <v>17</v>
      </c>
      <c r="M651">
        <f>IF(Table1[[#This Row],[ألغى الاشتراك]]="نعم",1,0)</f>
        <v>0</v>
      </c>
      <c r="N651">
        <f>IF(Table1[[#This Row],[وسيلة الدفع]]="بطاقة",1,0)</f>
        <v>0</v>
      </c>
      <c r="O651">
        <f>IF(Table1[[#This Row],[وسيلة الدفع]]="محفظة",1,0)</f>
        <v>1</v>
      </c>
      <c r="P651">
        <f>IF(Table1[[#This Row],[وسيلة الدفع]]="تحويل",1,0)</f>
        <v>0</v>
      </c>
      <c r="Q651">
        <f>IF(Table1[[#This Row],[حضر التهيئة]]="نعم",1,0)</f>
        <v>1</v>
      </c>
      <c r="R651">
        <f>IF(Table1[[#This Row],[دورة الفوترة]]="شهري",1,0)</f>
        <v>1</v>
      </c>
    </row>
    <row r="652" spans="1:18" x14ac:dyDescent="0.25">
      <c r="A652" t="s">
        <v>672</v>
      </c>
      <c r="B652" s="1">
        <v>45671</v>
      </c>
      <c r="C652" t="s">
        <v>19</v>
      </c>
      <c r="D652">
        <v>189</v>
      </c>
      <c r="E652" t="s">
        <v>14</v>
      </c>
      <c r="F652">
        <v>21</v>
      </c>
      <c r="G652" t="s">
        <v>23</v>
      </c>
      <c r="H652">
        <v>9</v>
      </c>
      <c r="I652">
        <v>29</v>
      </c>
      <c r="J652">
        <v>0</v>
      </c>
      <c r="K652" t="s">
        <v>16</v>
      </c>
      <c r="L652" t="s">
        <v>17</v>
      </c>
      <c r="M652">
        <f>IF(Table1[[#This Row],[ألغى الاشتراك]]="نعم",1,0)</f>
        <v>0</v>
      </c>
      <c r="N652">
        <f>IF(Table1[[#This Row],[وسيلة الدفع]]="بطاقة",1,0)</f>
        <v>0</v>
      </c>
      <c r="O652">
        <f>IF(Table1[[#This Row],[وسيلة الدفع]]="محفظة",1,0)</f>
        <v>0</v>
      </c>
      <c r="P652">
        <f>IF(Table1[[#This Row],[وسيلة الدفع]]="تحويل",1,0)</f>
        <v>1</v>
      </c>
      <c r="Q652">
        <f>IF(Table1[[#This Row],[حضر التهيئة]]="نعم",1,0)</f>
        <v>1</v>
      </c>
      <c r="R652">
        <f>IF(Table1[[#This Row],[دورة الفوترة]]="شهري",1,0)</f>
        <v>1</v>
      </c>
    </row>
    <row r="653" spans="1:18" x14ac:dyDescent="0.25">
      <c r="A653" t="s">
        <v>673</v>
      </c>
      <c r="B653" s="1">
        <v>45580</v>
      </c>
      <c r="C653" t="s">
        <v>19</v>
      </c>
      <c r="D653">
        <v>189</v>
      </c>
      <c r="E653" t="s">
        <v>14</v>
      </c>
      <c r="F653">
        <v>4</v>
      </c>
      <c r="G653" t="s">
        <v>23</v>
      </c>
      <c r="H653">
        <v>6</v>
      </c>
      <c r="I653">
        <v>34</v>
      </c>
      <c r="J653">
        <v>0</v>
      </c>
      <c r="K653" t="s">
        <v>16</v>
      </c>
      <c r="L653" t="s">
        <v>17</v>
      </c>
      <c r="M653">
        <f>IF(Table1[[#This Row],[ألغى الاشتراك]]="نعم",1,0)</f>
        <v>0</v>
      </c>
      <c r="N653">
        <f>IF(Table1[[#This Row],[وسيلة الدفع]]="بطاقة",1,0)</f>
        <v>0</v>
      </c>
      <c r="O653">
        <f>IF(Table1[[#This Row],[وسيلة الدفع]]="محفظة",1,0)</f>
        <v>0</v>
      </c>
      <c r="P653">
        <f>IF(Table1[[#This Row],[وسيلة الدفع]]="تحويل",1,0)</f>
        <v>1</v>
      </c>
      <c r="Q653">
        <f>IF(Table1[[#This Row],[حضر التهيئة]]="نعم",1,0)</f>
        <v>1</v>
      </c>
      <c r="R653">
        <f>IF(Table1[[#This Row],[دورة الفوترة]]="شهري",1,0)</f>
        <v>1</v>
      </c>
    </row>
    <row r="654" spans="1:18" x14ac:dyDescent="0.25">
      <c r="A654" t="s">
        <v>674</v>
      </c>
      <c r="B654" s="1">
        <v>45866</v>
      </c>
      <c r="C654" t="s">
        <v>19</v>
      </c>
      <c r="D654">
        <v>189</v>
      </c>
      <c r="E654" t="s">
        <v>20</v>
      </c>
      <c r="F654">
        <v>15</v>
      </c>
      <c r="G654" t="s">
        <v>21</v>
      </c>
      <c r="H654">
        <v>0</v>
      </c>
      <c r="I654">
        <v>37</v>
      </c>
      <c r="J654">
        <v>0</v>
      </c>
      <c r="K654" t="s">
        <v>16</v>
      </c>
      <c r="L654" t="s">
        <v>17</v>
      </c>
      <c r="M654">
        <f>IF(Table1[[#This Row],[ألغى الاشتراك]]="نعم",1,0)</f>
        <v>0</v>
      </c>
      <c r="N654">
        <f>IF(Table1[[#This Row],[وسيلة الدفع]]="بطاقة",1,0)</f>
        <v>0</v>
      </c>
      <c r="O654">
        <f>IF(Table1[[#This Row],[وسيلة الدفع]]="محفظة",1,0)</f>
        <v>1</v>
      </c>
      <c r="P654">
        <f>IF(Table1[[#This Row],[وسيلة الدفع]]="تحويل",1,0)</f>
        <v>0</v>
      </c>
      <c r="Q654">
        <f>IF(Table1[[#This Row],[حضر التهيئة]]="نعم",1,0)</f>
        <v>1</v>
      </c>
      <c r="R654">
        <f>IF(Table1[[#This Row],[دورة الفوترة]]="شهري",1,0)</f>
        <v>0</v>
      </c>
    </row>
    <row r="655" spans="1:18" x14ac:dyDescent="0.25">
      <c r="A655" t="s">
        <v>675</v>
      </c>
      <c r="B655" s="1">
        <v>45513</v>
      </c>
      <c r="C655" t="s">
        <v>19</v>
      </c>
      <c r="D655">
        <v>189</v>
      </c>
      <c r="E655" t="s">
        <v>20</v>
      </c>
      <c r="F655">
        <v>8</v>
      </c>
      <c r="G655" t="s">
        <v>21</v>
      </c>
      <c r="H655">
        <v>1</v>
      </c>
      <c r="I655">
        <v>42</v>
      </c>
      <c r="J655">
        <v>0</v>
      </c>
      <c r="K655" t="s">
        <v>17</v>
      </c>
      <c r="L655" t="s">
        <v>17</v>
      </c>
      <c r="M655">
        <f>IF(Table1[[#This Row],[ألغى الاشتراك]]="نعم",1,0)</f>
        <v>0</v>
      </c>
      <c r="N655">
        <f>IF(Table1[[#This Row],[وسيلة الدفع]]="بطاقة",1,0)</f>
        <v>0</v>
      </c>
      <c r="O655">
        <f>IF(Table1[[#This Row],[وسيلة الدفع]]="محفظة",1,0)</f>
        <v>1</v>
      </c>
      <c r="P655">
        <f>IF(Table1[[#This Row],[وسيلة الدفع]]="تحويل",1,0)</f>
        <v>0</v>
      </c>
      <c r="Q655">
        <f>IF(Table1[[#This Row],[حضر التهيئة]]="نعم",1,0)</f>
        <v>0</v>
      </c>
      <c r="R655">
        <f>IF(Table1[[#This Row],[دورة الفوترة]]="شهري",1,0)</f>
        <v>0</v>
      </c>
    </row>
    <row r="656" spans="1:18" x14ac:dyDescent="0.25">
      <c r="A656" t="s">
        <v>676</v>
      </c>
      <c r="B656" s="1">
        <v>45679</v>
      </c>
      <c r="C656" t="s">
        <v>13</v>
      </c>
      <c r="D656">
        <v>89</v>
      </c>
      <c r="E656" t="s">
        <v>14</v>
      </c>
      <c r="F656">
        <v>1</v>
      </c>
      <c r="G656" t="s">
        <v>21</v>
      </c>
      <c r="H656">
        <v>9</v>
      </c>
      <c r="I656">
        <v>45</v>
      </c>
      <c r="J656">
        <v>0</v>
      </c>
      <c r="K656" t="s">
        <v>16</v>
      </c>
      <c r="L656" t="s">
        <v>17</v>
      </c>
      <c r="M656">
        <f>IF(Table1[[#This Row],[ألغى الاشتراك]]="نعم",1,0)</f>
        <v>0</v>
      </c>
      <c r="N656">
        <f>IF(Table1[[#This Row],[وسيلة الدفع]]="بطاقة",1,0)</f>
        <v>0</v>
      </c>
      <c r="O656">
        <f>IF(Table1[[#This Row],[وسيلة الدفع]]="محفظة",1,0)</f>
        <v>1</v>
      </c>
      <c r="P656">
        <f>IF(Table1[[#This Row],[وسيلة الدفع]]="تحويل",1,0)</f>
        <v>0</v>
      </c>
      <c r="Q656">
        <f>IF(Table1[[#This Row],[حضر التهيئة]]="نعم",1,0)</f>
        <v>1</v>
      </c>
      <c r="R656">
        <f>IF(Table1[[#This Row],[دورة الفوترة]]="شهري",1,0)</f>
        <v>1</v>
      </c>
    </row>
    <row r="657" spans="1:18" x14ac:dyDescent="0.25">
      <c r="A657" t="s">
        <v>677</v>
      </c>
      <c r="B657" s="1">
        <v>45724</v>
      </c>
      <c r="C657" t="s">
        <v>19</v>
      </c>
      <c r="D657">
        <v>189</v>
      </c>
      <c r="E657" t="s">
        <v>14</v>
      </c>
      <c r="F657">
        <v>22</v>
      </c>
      <c r="G657" t="s">
        <v>23</v>
      </c>
      <c r="H657">
        <v>1</v>
      </c>
      <c r="I657">
        <v>42</v>
      </c>
      <c r="J657">
        <v>15</v>
      </c>
      <c r="K657" t="s">
        <v>17</v>
      </c>
      <c r="L657" t="s">
        <v>17</v>
      </c>
      <c r="M657">
        <f>IF(Table1[[#This Row],[ألغى الاشتراك]]="نعم",1,0)</f>
        <v>0</v>
      </c>
      <c r="N657">
        <f>IF(Table1[[#This Row],[وسيلة الدفع]]="بطاقة",1,0)</f>
        <v>0</v>
      </c>
      <c r="O657">
        <f>IF(Table1[[#This Row],[وسيلة الدفع]]="محفظة",1,0)</f>
        <v>0</v>
      </c>
      <c r="P657">
        <f>IF(Table1[[#This Row],[وسيلة الدفع]]="تحويل",1,0)</f>
        <v>1</v>
      </c>
      <c r="Q657">
        <f>IF(Table1[[#This Row],[حضر التهيئة]]="نعم",1,0)</f>
        <v>0</v>
      </c>
      <c r="R657">
        <f>IF(Table1[[#This Row],[دورة الفوترة]]="شهري",1,0)</f>
        <v>1</v>
      </c>
    </row>
    <row r="658" spans="1:18" x14ac:dyDescent="0.25">
      <c r="A658" t="s">
        <v>678</v>
      </c>
      <c r="B658" s="1">
        <v>45521</v>
      </c>
      <c r="C658" t="s">
        <v>19</v>
      </c>
      <c r="D658">
        <v>189</v>
      </c>
      <c r="E658" t="s">
        <v>14</v>
      </c>
      <c r="F658">
        <v>16</v>
      </c>
      <c r="G658" t="s">
        <v>21</v>
      </c>
      <c r="H658">
        <v>0</v>
      </c>
      <c r="I658">
        <v>12</v>
      </c>
      <c r="J658">
        <v>0</v>
      </c>
      <c r="K658" t="s">
        <v>16</v>
      </c>
      <c r="L658" t="s">
        <v>17</v>
      </c>
      <c r="M658">
        <f>IF(Table1[[#This Row],[ألغى الاشتراك]]="نعم",1,0)</f>
        <v>0</v>
      </c>
      <c r="N658">
        <f>IF(Table1[[#This Row],[وسيلة الدفع]]="بطاقة",1,0)</f>
        <v>0</v>
      </c>
      <c r="O658">
        <f>IF(Table1[[#This Row],[وسيلة الدفع]]="محفظة",1,0)</f>
        <v>1</v>
      </c>
      <c r="P658">
        <f>IF(Table1[[#This Row],[وسيلة الدفع]]="تحويل",1,0)</f>
        <v>0</v>
      </c>
      <c r="Q658">
        <f>IF(Table1[[#This Row],[حضر التهيئة]]="نعم",1,0)</f>
        <v>1</v>
      </c>
      <c r="R658">
        <f>IF(Table1[[#This Row],[دورة الفوترة]]="شهري",1,0)</f>
        <v>1</v>
      </c>
    </row>
    <row r="659" spans="1:18" x14ac:dyDescent="0.25">
      <c r="A659" t="s">
        <v>679</v>
      </c>
      <c r="B659" s="1">
        <v>45783</v>
      </c>
      <c r="C659" t="s">
        <v>28</v>
      </c>
      <c r="D659">
        <v>39</v>
      </c>
      <c r="E659" t="s">
        <v>14</v>
      </c>
      <c r="F659">
        <v>11</v>
      </c>
      <c r="G659" t="s">
        <v>23</v>
      </c>
      <c r="H659">
        <v>2</v>
      </c>
      <c r="I659">
        <v>59</v>
      </c>
      <c r="J659">
        <v>0</v>
      </c>
      <c r="K659" t="s">
        <v>16</v>
      </c>
      <c r="L659" t="s">
        <v>17</v>
      </c>
      <c r="M659">
        <f>IF(Table1[[#This Row],[ألغى الاشتراك]]="نعم",1,0)</f>
        <v>0</v>
      </c>
      <c r="N659">
        <f>IF(Table1[[#This Row],[وسيلة الدفع]]="بطاقة",1,0)</f>
        <v>0</v>
      </c>
      <c r="O659">
        <f>IF(Table1[[#This Row],[وسيلة الدفع]]="محفظة",1,0)</f>
        <v>0</v>
      </c>
      <c r="P659">
        <f>IF(Table1[[#This Row],[وسيلة الدفع]]="تحويل",1,0)</f>
        <v>1</v>
      </c>
      <c r="Q659">
        <f>IF(Table1[[#This Row],[حضر التهيئة]]="نعم",1,0)</f>
        <v>1</v>
      </c>
      <c r="R659">
        <f>IF(Table1[[#This Row],[دورة الفوترة]]="شهري",1,0)</f>
        <v>1</v>
      </c>
    </row>
    <row r="660" spans="1:18" x14ac:dyDescent="0.25">
      <c r="A660" t="s">
        <v>680</v>
      </c>
      <c r="B660" s="1">
        <v>45720</v>
      </c>
      <c r="C660" t="s">
        <v>13</v>
      </c>
      <c r="D660">
        <v>89</v>
      </c>
      <c r="E660" t="s">
        <v>14</v>
      </c>
      <c r="F660">
        <v>20</v>
      </c>
      <c r="G660" t="s">
        <v>15</v>
      </c>
      <c r="H660">
        <v>5</v>
      </c>
      <c r="I660">
        <v>4</v>
      </c>
      <c r="J660">
        <v>15</v>
      </c>
      <c r="K660" t="s">
        <v>16</v>
      </c>
      <c r="L660" t="s">
        <v>17</v>
      </c>
      <c r="M660">
        <f>IF(Table1[[#This Row],[ألغى الاشتراك]]="نعم",1,0)</f>
        <v>0</v>
      </c>
      <c r="N660">
        <f>IF(Table1[[#This Row],[وسيلة الدفع]]="بطاقة",1,0)</f>
        <v>1</v>
      </c>
      <c r="O660">
        <f>IF(Table1[[#This Row],[وسيلة الدفع]]="محفظة",1,0)</f>
        <v>0</v>
      </c>
      <c r="P660">
        <f>IF(Table1[[#This Row],[وسيلة الدفع]]="تحويل",1,0)</f>
        <v>0</v>
      </c>
      <c r="Q660">
        <f>IF(Table1[[#This Row],[حضر التهيئة]]="نعم",1,0)</f>
        <v>1</v>
      </c>
      <c r="R660">
        <f>IF(Table1[[#This Row],[دورة الفوترة]]="شهري",1,0)</f>
        <v>1</v>
      </c>
    </row>
    <row r="661" spans="1:18" x14ac:dyDescent="0.25">
      <c r="A661" t="s">
        <v>681</v>
      </c>
      <c r="B661" s="1">
        <v>45525</v>
      </c>
      <c r="C661" t="s">
        <v>28</v>
      </c>
      <c r="D661">
        <v>39</v>
      </c>
      <c r="E661" t="s">
        <v>14</v>
      </c>
      <c r="F661">
        <v>26</v>
      </c>
      <c r="G661" t="s">
        <v>21</v>
      </c>
      <c r="H661">
        <v>1</v>
      </c>
      <c r="I661">
        <v>56</v>
      </c>
      <c r="J661">
        <v>0</v>
      </c>
      <c r="K661" t="s">
        <v>17</v>
      </c>
      <c r="L661" t="s">
        <v>16</v>
      </c>
      <c r="M661">
        <f>IF(Table1[[#This Row],[ألغى الاشتراك]]="نعم",1,0)</f>
        <v>1</v>
      </c>
      <c r="N661">
        <f>IF(Table1[[#This Row],[وسيلة الدفع]]="بطاقة",1,0)</f>
        <v>0</v>
      </c>
      <c r="O661">
        <f>IF(Table1[[#This Row],[وسيلة الدفع]]="محفظة",1,0)</f>
        <v>1</v>
      </c>
      <c r="P661">
        <f>IF(Table1[[#This Row],[وسيلة الدفع]]="تحويل",1,0)</f>
        <v>0</v>
      </c>
      <c r="Q661">
        <f>IF(Table1[[#This Row],[حضر التهيئة]]="نعم",1,0)</f>
        <v>0</v>
      </c>
      <c r="R661">
        <f>IF(Table1[[#This Row],[دورة الفوترة]]="شهري",1,0)</f>
        <v>1</v>
      </c>
    </row>
    <row r="662" spans="1:18" x14ac:dyDescent="0.25">
      <c r="A662" t="s">
        <v>682</v>
      </c>
      <c r="B662" s="1">
        <v>45470</v>
      </c>
      <c r="C662" t="s">
        <v>19</v>
      </c>
      <c r="D662">
        <v>189</v>
      </c>
      <c r="E662" t="s">
        <v>14</v>
      </c>
      <c r="F662">
        <v>15</v>
      </c>
      <c r="G662" t="s">
        <v>23</v>
      </c>
      <c r="H662">
        <v>3</v>
      </c>
      <c r="I662">
        <v>35</v>
      </c>
      <c r="J662">
        <v>10</v>
      </c>
      <c r="K662" t="s">
        <v>16</v>
      </c>
      <c r="L662" t="s">
        <v>17</v>
      </c>
      <c r="M662">
        <f>IF(Table1[[#This Row],[ألغى الاشتراك]]="نعم",1,0)</f>
        <v>0</v>
      </c>
      <c r="N662">
        <f>IF(Table1[[#This Row],[وسيلة الدفع]]="بطاقة",1,0)</f>
        <v>0</v>
      </c>
      <c r="O662">
        <f>IF(Table1[[#This Row],[وسيلة الدفع]]="محفظة",1,0)</f>
        <v>0</v>
      </c>
      <c r="P662">
        <f>IF(Table1[[#This Row],[وسيلة الدفع]]="تحويل",1,0)</f>
        <v>1</v>
      </c>
      <c r="Q662">
        <f>IF(Table1[[#This Row],[حضر التهيئة]]="نعم",1,0)</f>
        <v>1</v>
      </c>
      <c r="R662">
        <f>IF(Table1[[#This Row],[دورة الفوترة]]="شهري",1,0)</f>
        <v>1</v>
      </c>
    </row>
    <row r="663" spans="1:18" x14ac:dyDescent="0.25">
      <c r="A663" t="s">
        <v>683</v>
      </c>
      <c r="B663" s="1">
        <v>45973</v>
      </c>
      <c r="C663" t="s">
        <v>13</v>
      </c>
      <c r="D663">
        <v>89</v>
      </c>
      <c r="E663" t="s">
        <v>20</v>
      </c>
      <c r="F663">
        <v>17</v>
      </c>
      <c r="G663" t="s">
        <v>15</v>
      </c>
      <c r="H663">
        <v>1</v>
      </c>
      <c r="I663">
        <v>33</v>
      </c>
      <c r="J663">
        <v>0</v>
      </c>
      <c r="K663" t="s">
        <v>17</v>
      </c>
      <c r="L663" t="s">
        <v>17</v>
      </c>
      <c r="M663">
        <f>IF(Table1[[#This Row],[ألغى الاشتراك]]="نعم",1,0)</f>
        <v>0</v>
      </c>
      <c r="N663">
        <f>IF(Table1[[#This Row],[وسيلة الدفع]]="بطاقة",1,0)</f>
        <v>1</v>
      </c>
      <c r="O663">
        <f>IF(Table1[[#This Row],[وسيلة الدفع]]="محفظة",1,0)</f>
        <v>0</v>
      </c>
      <c r="P663">
        <f>IF(Table1[[#This Row],[وسيلة الدفع]]="تحويل",1,0)</f>
        <v>0</v>
      </c>
      <c r="Q663">
        <f>IF(Table1[[#This Row],[حضر التهيئة]]="نعم",1,0)</f>
        <v>0</v>
      </c>
      <c r="R663">
        <f>IF(Table1[[#This Row],[دورة الفوترة]]="شهري",1,0)</f>
        <v>0</v>
      </c>
    </row>
    <row r="664" spans="1:18" x14ac:dyDescent="0.25">
      <c r="A664" t="s">
        <v>684</v>
      </c>
      <c r="B664" s="1">
        <v>45922</v>
      </c>
      <c r="C664" t="s">
        <v>13</v>
      </c>
      <c r="D664">
        <v>89</v>
      </c>
      <c r="E664" t="s">
        <v>20</v>
      </c>
      <c r="F664">
        <v>8</v>
      </c>
      <c r="G664" t="s">
        <v>23</v>
      </c>
      <c r="H664">
        <v>1</v>
      </c>
      <c r="I664">
        <v>30</v>
      </c>
      <c r="J664">
        <v>5</v>
      </c>
      <c r="K664" t="s">
        <v>16</v>
      </c>
      <c r="L664" t="s">
        <v>17</v>
      </c>
      <c r="M664">
        <f>IF(Table1[[#This Row],[ألغى الاشتراك]]="نعم",1,0)</f>
        <v>0</v>
      </c>
      <c r="N664">
        <f>IF(Table1[[#This Row],[وسيلة الدفع]]="بطاقة",1,0)</f>
        <v>0</v>
      </c>
      <c r="O664">
        <f>IF(Table1[[#This Row],[وسيلة الدفع]]="محفظة",1,0)</f>
        <v>0</v>
      </c>
      <c r="P664">
        <f>IF(Table1[[#This Row],[وسيلة الدفع]]="تحويل",1,0)</f>
        <v>1</v>
      </c>
      <c r="Q664">
        <f>IF(Table1[[#This Row],[حضر التهيئة]]="نعم",1,0)</f>
        <v>1</v>
      </c>
      <c r="R664">
        <f>IF(Table1[[#This Row],[دورة الفوترة]]="شهري",1,0)</f>
        <v>0</v>
      </c>
    </row>
    <row r="665" spans="1:18" x14ac:dyDescent="0.25">
      <c r="A665" t="s">
        <v>685</v>
      </c>
      <c r="B665" s="1">
        <v>45466</v>
      </c>
      <c r="C665" t="s">
        <v>28</v>
      </c>
      <c r="D665">
        <v>39</v>
      </c>
      <c r="E665" t="s">
        <v>14</v>
      </c>
      <c r="F665">
        <v>24</v>
      </c>
      <c r="G665" t="s">
        <v>23</v>
      </c>
      <c r="H665">
        <v>1</v>
      </c>
      <c r="I665">
        <v>42</v>
      </c>
      <c r="J665">
        <v>0</v>
      </c>
      <c r="K665" t="s">
        <v>16</v>
      </c>
      <c r="L665" t="s">
        <v>17</v>
      </c>
      <c r="M665">
        <f>IF(Table1[[#This Row],[ألغى الاشتراك]]="نعم",1,0)</f>
        <v>0</v>
      </c>
      <c r="N665">
        <f>IF(Table1[[#This Row],[وسيلة الدفع]]="بطاقة",1,0)</f>
        <v>0</v>
      </c>
      <c r="O665">
        <f>IF(Table1[[#This Row],[وسيلة الدفع]]="محفظة",1,0)</f>
        <v>0</v>
      </c>
      <c r="P665">
        <f>IF(Table1[[#This Row],[وسيلة الدفع]]="تحويل",1,0)</f>
        <v>1</v>
      </c>
      <c r="Q665">
        <f>IF(Table1[[#This Row],[حضر التهيئة]]="نعم",1,0)</f>
        <v>1</v>
      </c>
      <c r="R665">
        <f>IF(Table1[[#This Row],[دورة الفوترة]]="شهري",1,0)</f>
        <v>1</v>
      </c>
    </row>
    <row r="666" spans="1:18" x14ac:dyDescent="0.25">
      <c r="A666" t="s">
        <v>686</v>
      </c>
      <c r="B666" s="1">
        <v>45513</v>
      </c>
      <c r="C666" t="s">
        <v>28</v>
      </c>
      <c r="D666">
        <v>39</v>
      </c>
      <c r="E666" t="s">
        <v>14</v>
      </c>
      <c r="F666">
        <v>7</v>
      </c>
      <c r="G666" t="s">
        <v>15</v>
      </c>
      <c r="H666">
        <v>4</v>
      </c>
      <c r="I666">
        <v>13</v>
      </c>
      <c r="J666">
        <v>25</v>
      </c>
      <c r="K666" t="s">
        <v>16</v>
      </c>
      <c r="L666" t="s">
        <v>17</v>
      </c>
      <c r="M666">
        <f>IF(Table1[[#This Row],[ألغى الاشتراك]]="نعم",1,0)</f>
        <v>0</v>
      </c>
      <c r="N666">
        <f>IF(Table1[[#This Row],[وسيلة الدفع]]="بطاقة",1,0)</f>
        <v>1</v>
      </c>
      <c r="O666">
        <f>IF(Table1[[#This Row],[وسيلة الدفع]]="محفظة",1,0)</f>
        <v>0</v>
      </c>
      <c r="P666">
        <f>IF(Table1[[#This Row],[وسيلة الدفع]]="تحويل",1,0)</f>
        <v>0</v>
      </c>
      <c r="Q666">
        <f>IF(Table1[[#This Row],[حضر التهيئة]]="نعم",1,0)</f>
        <v>1</v>
      </c>
      <c r="R666">
        <f>IF(Table1[[#This Row],[دورة الفوترة]]="شهري",1,0)</f>
        <v>1</v>
      </c>
    </row>
    <row r="667" spans="1:18" x14ac:dyDescent="0.25">
      <c r="A667" t="s">
        <v>687</v>
      </c>
      <c r="B667" s="1">
        <v>45795</v>
      </c>
      <c r="C667" t="s">
        <v>13</v>
      </c>
      <c r="D667">
        <v>89</v>
      </c>
      <c r="E667" t="s">
        <v>20</v>
      </c>
      <c r="F667">
        <v>13</v>
      </c>
      <c r="G667" t="s">
        <v>21</v>
      </c>
      <c r="H667">
        <v>4</v>
      </c>
      <c r="I667">
        <v>17</v>
      </c>
      <c r="J667">
        <v>0</v>
      </c>
      <c r="K667" t="s">
        <v>17</v>
      </c>
      <c r="L667" t="s">
        <v>17</v>
      </c>
      <c r="M667">
        <f>IF(Table1[[#This Row],[ألغى الاشتراك]]="نعم",1,0)</f>
        <v>0</v>
      </c>
      <c r="N667">
        <f>IF(Table1[[#This Row],[وسيلة الدفع]]="بطاقة",1,0)</f>
        <v>0</v>
      </c>
      <c r="O667">
        <f>IF(Table1[[#This Row],[وسيلة الدفع]]="محفظة",1,0)</f>
        <v>1</v>
      </c>
      <c r="P667">
        <f>IF(Table1[[#This Row],[وسيلة الدفع]]="تحويل",1,0)</f>
        <v>0</v>
      </c>
      <c r="Q667">
        <f>IF(Table1[[#This Row],[حضر التهيئة]]="نعم",1,0)</f>
        <v>0</v>
      </c>
      <c r="R667">
        <f>IF(Table1[[#This Row],[دورة الفوترة]]="شهري",1,0)</f>
        <v>0</v>
      </c>
    </row>
    <row r="668" spans="1:18" x14ac:dyDescent="0.25">
      <c r="A668" t="s">
        <v>688</v>
      </c>
      <c r="B668" s="1">
        <v>45572</v>
      </c>
      <c r="C668" t="s">
        <v>13</v>
      </c>
      <c r="D668">
        <v>89</v>
      </c>
      <c r="E668" t="s">
        <v>14</v>
      </c>
      <c r="F668">
        <v>20</v>
      </c>
      <c r="G668" t="s">
        <v>23</v>
      </c>
      <c r="H668">
        <v>0</v>
      </c>
      <c r="I668">
        <v>32</v>
      </c>
      <c r="J668">
        <v>0</v>
      </c>
      <c r="K668" t="s">
        <v>17</v>
      </c>
      <c r="L668" t="s">
        <v>17</v>
      </c>
      <c r="M668">
        <f>IF(Table1[[#This Row],[ألغى الاشتراك]]="نعم",1,0)</f>
        <v>0</v>
      </c>
      <c r="N668">
        <f>IF(Table1[[#This Row],[وسيلة الدفع]]="بطاقة",1,0)</f>
        <v>0</v>
      </c>
      <c r="O668">
        <f>IF(Table1[[#This Row],[وسيلة الدفع]]="محفظة",1,0)</f>
        <v>0</v>
      </c>
      <c r="P668">
        <f>IF(Table1[[#This Row],[وسيلة الدفع]]="تحويل",1,0)</f>
        <v>1</v>
      </c>
      <c r="Q668">
        <f>IF(Table1[[#This Row],[حضر التهيئة]]="نعم",1,0)</f>
        <v>0</v>
      </c>
      <c r="R668">
        <f>IF(Table1[[#This Row],[دورة الفوترة]]="شهري",1,0)</f>
        <v>1</v>
      </c>
    </row>
    <row r="669" spans="1:18" x14ac:dyDescent="0.25">
      <c r="A669" t="s">
        <v>689</v>
      </c>
      <c r="B669" s="1">
        <v>45842</v>
      </c>
      <c r="C669" t="s">
        <v>13</v>
      </c>
      <c r="D669">
        <v>89</v>
      </c>
      <c r="E669" t="s">
        <v>20</v>
      </c>
      <c r="F669">
        <v>15</v>
      </c>
      <c r="G669" t="s">
        <v>15</v>
      </c>
      <c r="H669">
        <v>1</v>
      </c>
      <c r="I669">
        <v>33</v>
      </c>
      <c r="J669">
        <v>0</v>
      </c>
      <c r="K669" t="s">
        <v>17</v>
      </c>
      <c r="L669" t="s">
        <v>17</v>
      </c>
      <c r="M669">
        <f>IF(Table1[[#This Row],[ألغى الاشتراك]]="نعم",1,0)</f>
        <v>0</v>
      </c>
      <c r="N669">
        <f>IF(Table1[[#This Row],[وسيلة الدفع]]="بطاقة",1,0)</f>
        <v>1</v>
      </c>
      <c r="O669">
        <f>IF(Table1[[#This Row],[وسيلة الدفع]]="محفظة",1,0)</f>
        <v>0</v>
      </c>
      <c r="P669">
        <f>IF(Table1[[#This Row],[وسيلة الدفع]]="تحويل",1,0)</f>
        <v>0</v>
      </c>
      <c r="Q669">
        <f>IF(Table1[[#This Row],[حضر التهيئة]]="نعم",1,0)</f>
        <v>0</v>
      </c>
      <c r="R669">
        <f>IF(Table1[[#This Row],[دورة الفوترة]]="شهري",1,0)</f>
        <v>0</v>
      </c>
    </row>
    <row r="670" spans="1:18" x14ac:dyDescent="0.25">
      <c r="A670" t="s">
        <v>690</v>
      </c>
      <c r="B670" s="1">
        <v>45407</v>
      </c>
      <c r="C670" t="s">
        <v>19</v>
      </c>
      <c r="D670">
        <v>189</v>
      </c>
      <c r="E670" t="s">
        <v>14</v>
      </c>
      <c r="F670">
        <v>18</v>
      </c>
      <c r="G670" t="s">
        <v>21</v>
      </c>
      <c r="H670">
        <v>1</v>
      </c>
      <c r="I670">
        <v>44</v>
      </c>
      <c r="J670">
        <v>0</v>
      </c>
      <c r="K670" t="s">
        <v>17</v>
      </c>
      <c r="L670" t="s">
        <v>17</v>
      </c>
      <c r="M670">
        <f>IF(Table1[[#This Row],[ألغى الاشتراك]]="نعم",1,0)</f>
        <v>0</v>
      </c>
      <c r="N670">
        <f>IF(Table1[[#This Row],[وسيلة الدفع]]="بطاقة",1,0)</f>
        <v>0</v>
      </c>
      <c r="O670">
        <f>IF(Table1[[#This Row],[وسيلة الدفع]]="محفظة",1,0)</f>
        <v>1</v>
      </c>
      <c r="P670">
        <f>IF(Table1[[#This Row],[وسيلة الدفع]]="تحويل",1,0)</f>
        <v>0</v>
      </c>
      <c r="Q670">
        <f>IF(Table1[[#This Row],[حضر التهيئة]]="نعم",1,0)</f>
        <v>0</v>
      </c>
      <c r="R670">
        <f>IF(Table1[[#This Row],[دورة الفوترة]]="شهري",1,0)</f>
        <v>1</v>
      </c>
    </row>
    <row r="671" spans="1:18" x14ac:dyDescent="0.25">
      <c r="A671" t="s">
        <v>691</v>
      </c>
      <c r="B671" s="1">
        <v>45683</v>
      </c>
      <c r="C671" t="s">
        <v>19</v>
      </c>
      <c r="D671">
        <v>189</v>
      </c>
      <c r="E671" t="s">
        <v>20</v>
      </c>
      <c r="F671">
        <v>23</v>
      </c>
      <c r="G671" t="s">
        <v>23</v>
      </c>
      <c r="H671">
        <v>0</v>
      </c>
      <c r="I671">
        <v>15</v>
      </c>
      <c r="J671">
        <v>0</v>
      </c>
      <c r="K671" t="s">
        <v>17</v>
      </c>
      <c r="L671" t="s">
        <v>17</v>
      </c>
      <c r="M671">
        <f>IF(Table1[[#This Row],[ألغى الاشتراك]]="نعم",1,0)</f>
        <v>0</v>
      </c>
      <c r="N671">
        <f>IF(Table1[[#This Row],[وسيلة الدفع]]="بطاقة",1,0)</f>
        <v>0</v>
      </c>
      <c r="O671">
        <f>IF(Table1[[#This Row],[وسيلة الدفع]]="محفظة",1,0)</f>
        <v>0</v>
      </c>
      <c r="P671">
        <f>IF(Table1[[#This Row],[وسيلة الدفع]]="تحويل",1,0)</f>
        <v>1</v>
      </c>
      <c r="Q671">
        <f>IF(Table1[[#This Row],[حضر التهيئة]]="نعم",1,0)</f>
        <v>0</v>
      </c>
      <c r="R671">
        <f>IF(Table1[[#This Row],[دورة الفوترة]]="شهري",1,0)</f>
        <v>0</v>
      </c>
    </row>
    <row r="672" spans="1:18" x14ac:dyDescent="0.25">
      <c r="A672" t="s">
        <v>692</v>
      </c>
      <c r="B672" s="1">
        <v>45973</v>
      </c>
      <c r="C672" t="s">
        <v>13</v>
      </c>
      <c r="D672">
        <v>89</v>
      </c>
      <c r="E672" t="s">
        <v>20</v>
      </c>
      <c r="F672">
        <v>28</v>
      </c>
      <c r="G672" t="s">
        <v>21</v>
      </c>
      <c r="H672">
        <v>0</v>
      </c>
      <c r="I672">
        <v>2</v>
      </c>
      <c r="J672">
        <v>15</v>
      </c>
      <c r="K672" t="s">
        <v>17</v>
      </c>
      <c r="L672" t="s">
        <v>17</v>
      </c>
      <c r="M672">
        <f>IF(Table1[[#This Row],[ألغى الاشتراك]]="نعم",1,0)</f>
        <v>0</v>
      </c>
      <c r="N672">
        <f>IF(Table1[[#This Row],[وسيلة الدفع]]="بطاقة",1,0)</f>
        <v>0</v>
      </c>
      <c r="O672">
        <f>IF(Table1[[#This Row],[وسيلة الدفع]]="محفظة",1,0)</f>
        <v>1</v>
      </c>
      <c r="P672">
        <f>IF(Table1[[#This Row],[وسيلة الدفع]]="تحويل",1,0)</f>
        <v>0</v>
      </c>
      <c r="Q672">
        <f>IF(Table1[[#This Row],[حضر التهيئة]]="نعم",1,0)</f>
        <v>0</v>
      </c>
      <c r="R672">
        <f>IF(Table1[[#This Row],[دورة الفوترة]]="شهري",1,0)</f>
        <v>0</v>
      </c>
    </row>
    <row r="673" spans="1:18" x14ac:dyDescent="0.25">
      <c r="A673" t="s">
        <v>693</v>
      </c>
      <c r="B673" s="1">
        <v>45509</v>
      </c>
      <c r="C673" t="s">
        <v>28</v>
      </c>
      <c r="D673">
        <v>39</v>
      </c>
      <c r="E673" t="s">
        <v>14</v>
      </c>
      <c r="F673">
        <v>18</v>
      </c>
      <c r="G673" t="s">
        <v>21</v>
      </c>
      <c r="H673">
        <v>11</v>
      </c>
      <c r="I673">
        <v>56</v>
      </c>
      <c r="J673">
        <v>0</v>
      </c>
      <c r="K673" t="s">
        <v>17</v>
      </c>
      <c r="L673" t="s">
        <v>17</v>
      </c>
      <c r="M673">
        <f>IF(Table1[[#This Row],[ألغى الاشتراك]]="نعم",1,0)</f>
        <v>0</v>
      </c>
      <c r="N673">
        <f>IF(Table1[[#This Row],[وسيلة الدفع]]="بطاقة",1,0)</f>
        <v>0</v>
      </c>
      <c r="O673">
        <f>IF(Table1[[#This Row],[وسيلة الدفع]]="محفظة",1,0)</f>
        <v>1</v>
      </c>
      <c r="P673">
        <f>IF(Table1[[#This Row],[وسيلة الدفع]]="تحويل",1,0)</f>
        <v>0</v>
      </c>
      <c r="Q673">
        <f>IF(Table1[[#This Row],[حضر التهيئة]]="نعم",1,0)</f>
        <v>0</v>
      </c>
      <c r="R673">
        <f>IF(Table1[[#This Row],[دورة الفوترة]]="شهري",1,0)</f>
        <v>1</v>
      </c>
    </row>
    <row r="674" spans="1:18" x14ac:dyDescent="0.25">
      <c r="A674" t="s">
        <v>694</v>
      </c>
      <c r="B674" s="1">
        <v>45341</v>
      </c>
      <c r="C674" t="s">
        <v>13</v>
      </c>
      <c r="D674">
        <v>89</v>
      </c>
      <c r="E674" t="s">
        <v>20</v>
      </c>
      <c r="F674">
        <v>1</v>
      </c>
      <c r="G674" t="s">
        <v>21</v>
      </c>
      <c r="H674">
        <v>0</v>
      </c>
      <c r="I674">
        <v>11</v>
      </c>
      <c r="J674">
        <v>10</v>
      </c>
      <c r="K674" t="s">
        <v>17</v>
      </c>
      <c r="L674" t="s">
        <v>16</v>
      </c>
      <c r="M674">
        <f>IF(Table1[[#This Row],[ألغى الاشتراك]]="نعم",1,0)</f>
        <v>1</v>
      </c>
      <c r="N674">
        <f>IF(Table1[[#This Row],[وسيلة الدفع]]="بطاقة",1,0)</f>
        <v>0</v>
      </c>
      <c r="O674">
        <f>IF(Table1[[#This Row],[وسيلة الدفع]]="محفظة",1,0)</f>
        <v>1</v>
      </c>
      <c r="P674">
        <f>IF(Table1[[#This Row],[وسيلة الدفع]]="تحويل",1,0)</f>
        <v>0</v>
      </c>
      <c r="Q674">
        <f>IF(Table1[[#This Row],[حضر التهيئة]]="نعم",1,0)</f>
        <v>0</v>
      </c>
      <c r="R674">
        <f>IF(Table1[[#This Row],[دورة الفوترة]]="شهري",1,0)</f>
        <v>0</v>
      </c>
    </row>
    <row r="675" spans="1:18" x14ac:dyDescent="0.25">
      <c r="A675" t="s">
        <v>695</v>
      </c>
      <c r="B675" s="1">
        <v>45973</v>
      </c>
      <c r="C675" t="s">
        <v>13</v>
      </c>
      <c r="D675">
        <v>89</v>
      </c>
      <c r="E675" t="s">
        <v>14</v>
      </c>
      <c r="F675">
        <v>11</v>
      </c>
      <c r="G675" t="s">
        <v>21</v>
      </c>
      <c r="H675">
        <v>2</v>
      </c>
      <c r="I675">
        <v>5</v>
      </c>
      <c r="J675">
        <v>0</v>
      </c>
      <c r="K675" t="s">
        <v>16</v>
      </c>
      <c r="L675" t="s">
        <v>17</v>
      </c>
      <c r="M675">
        <f>IF(Table1[[#This Row],[ألغى الاشتراك]]="نعم",1,0)</f>
        <v>0</v>
      </c>
      <c r="N675">
        <f>IF(Table1[[#This Row],[وسيلة الدفع]]="بطاقة",1,0)</f>
        <v>0</v>
      </c>
      <c r="O675">
        <f>IF(Table1[[#This Row],[وسيلة الدفع]]="محفظة",1,0)</f>
        <v>1</v>
      </c>
      <c r="P675">
        <f>IF(Table1[[#This Row],[وسيلة الدفع]]="تحويل",1,0)</f>
        <v>0</v>
      </c>
      <c r="Q675">
        <f>IF(Table1[[#This Row],[حضر التهيئة]]="نعم",1,0)</f>
        <v>1</v>
      </c>
      <c r="R675">
        <f>IF(Table1[[#This Row],[دورة الفوترة]]="شهري",1,0)</f>
        <v>1</v>
      </c>
    </row>
    <row r="676" spans="1:18" x14ac:dyDescent="0.25">
      <c r="A676" t="s">
        <v>696</v>
      </c>
      <c r="B676" s="1">
        <v>45647</v>
      </c>
      <c r="C676" t="s">
        <v>13</v>
      </c>
      <c r="D676">
        <v>89</v>
      </c>
      <c r="E676" t="s">
        <v>14</v>
      </c>
      <c r="F676">
        <v>10</v>
      </c>
      <c r="G676" t="s">
        <v>21</v>
      </c>
      <c r="H676">
        <v>1</v>
      </c>
      <c r="I676">
        <v>18</v>
      </c>
      <c r="J676">
        <v>0</v>
      </c>
      <c r="K676" t="s">
        <v>16</v>
      </c>
      <c r="L676" t="s">
        <v>17</v>
      </c>
      <c r="M676">
        <f>IF(Table1[[#This Row],[ألغى الاشتراك]]="نعم",1,0)</f>
        <v>0</v>
      </c>
      <c r="N676">
        <f>IF(Table1[[#This Row],[وسيلة الدفع]]="بطاقة",1,0)</f>
        <v>0</v>
      </c>
      <c r="O676">
        <f>IF(Table1[[#This Row],[وسيلة الدفع]]="محفظة",1,0)</f>
        <v>1</v>
      </c>
      <c r="P676">
        <f>IF(Table1[[#This Row],[وسيلة الدفع]]="تحويل",1,0)</f>
        <v>0</v>
      </c>
      <c r="Q676">
        <f>IF(Table1[[#This Row],[حضر التهيئة]]="نعم",1,0)</f>
        <v>1</v>
      </c>
      <c r="R676">
        <f>IF(Table1[[#This Row],[دورة الفوترة]]="شهري",1,0)</f>
        <v>1</v>
      </c>
    </row>
    <row r="677" spans="1:18" x14ac:dyDescent="0.25">
      <c r="A677" t="s">
        <v>697</v>
      </c>
      <c r="B677" s="1">
        <v>45914</v>
      </c>
      <c r="C677" t="s">
        <v>19</v>
      </c>
      <c r="D677">
        <v>189</v>
      </c>
      <c r="E677" t="s">
        <v>14</v>
      </c>
      <c r="F677">
        <v>13</v>
      </c>
      <c r="G677" t="s">
        <v>23</v>
      </c>
      <c r="H677">
        <v>3</v>
      </c>
      <c r="I677">
        <v>37</v>
      </c>
      <c r="J677">
        <v>0</v>
      </c>
      <c r="K677" t="s">
        <v>16</v>
      </c>
      <c r="L677" t="s">
        <v>17</v>
      </c>
      <c r="M677">
        <f>IF(Table1[[#This Row],[ألغى الاشتراك]]="نعم",1,0)</f>
        <v>0</v>
      </c>
      <c r="N677">
        <f>IF(Table1[[#This Row],[وسيلة الدفع]]="بطاقة",1,0)</f>
        <v>0</v>
      </c>
      <c r="O677">
        <f>IF(Table1[[#This Row],[وسيلة الدفع]]="محفظة",1,0)</f>
        <v>0</v>
      </c>
      <c r="P677">
        <f>IF(Table1[[#This Row],[وسيلة الدفع]]="تحويل",1,0)</f>
        <v>1</v>
      </c>
      <c r="Q677">
        <f>IF(Table1[[#This Row],[حضر التهيئة]]="نعم",1,0)</f>
        <v>1</v>
      </c>
      <c r="R677">
        <f>IF(Table1[[#This Row],[دورة الفوترة]]="شهري",1,0)</f>
        <v>1</v>
      </c>
    </row>
    <row r="678" spans="1:18" x14ac:dyDescent="0.25">
      <c r="A678" t="s">
        <v>698</v>
      </c>
      <c r="B678" s="1">
        <v>45341</v>
      </c>
      <c r="C678" t="s">
        <v>13</v>
      </c>
      <c r="D678">
        <v>89</v>
      </c>
      <c r="E678" t="s">
        <v>20</v>
      </c>
      <c r="F678">
        <v>16</v>
      </c>
      <c r="G678" t="s">
        <v>23</v>
      </c>
      <c r="H678">
        <v>11</v>
      </c>
      <c r="I678">
        <v>40</v>
      </c>
      <c r="J678">
        <v>0</v>
      </c>
      <c r="K678" t="s">
        <v>16</v>
      </c>
      <c r="L678" t="s">
        <v>17</v>
      </c>
      <c r="M678">
        <f>IF(Table1[[#This Row],[ألغى الاشتراك]]="نعم",1,0)</f>
        <v>0</v>
      </c>
      <c r="N678">
        <f>IF(Table1[[#This Row],[وسيلة الدفع]]="بطاقة",1,0)</f>
        <v>0</v>
      </c>
      <c r="O678">
        <f>IF(Table1[[#This Row],[وسيلة الدفع]]="محفظة",1,0)</f>
        <v>0</v>
      </c>
      <c r="P678">
        <f>IF(Table1[[#This Row],[وسيلة الدفع]]="تحويل",1,0)</f>
        <v>1</v>
      </c>
      <c r="Q678">
        <f>IF(Table1[[#This Row],[حضر التهيئة]]="نعم",1,0)</f>
        <v>1</v>
      </c>
      <c r="R678">
        <f>IF(Table1[[#This Row],[دورة الفوترة]]="شهري",1,0)</f>
        <v>0</v>
      </c>
    </row>
    <row r="679" spans="1:18" x14ac:dyDescent="0.25">
      <c r="A679" t="s">
        <v>699</v>
      </c>
      <c r="B679" s="1">
        <v>45854</v>
      </c>
      <c r="C679" t="s">
        <v>19</v>
      </c>
      <c r="D679">
        <v>189</v>
      </c>
      <c r="E679" t="s">
        <v>14</v>
      </c>
      <c r="F679">
        <v>15</v>
      </c>
      <c r="G679" t="s">
        <v>15</v>
      </c>
      <c r="H679">
        <v>0</v>
      </c>
      <c r="I679">
        <v>55</v>
      </c>
      <c r="J679">
        <v>0</v>
      </c>
      <c r="K679" t="s">
        <v>16</v>
      </c>
      <c r="L679" t="s">
        <v>17</v>
      </c>
      <c r="M679">
        <f>IF(Table1[[#This Row],[ألغى الاشتراك]]="نعم",1,0)</f>
        <v>0</v>
      </c>
      <c r="N679">
        <f>IF(Table1[[#This Row],[وسيلة الدفع]]="بطاقة",1,0)</f>
        <v>1</v>
      </c>
      <c r="O679">
        <f>IF(Table1[[#This Row],[وسيلة الدفع]]="محفظة",1,0)</f>
        <v>0</v>
      </c>
      <c r="P679">
        <f>IF(Table1[[#This Row],[وسيلة الدفع]]="تحويل",1,0)</f>
        <v>0</v>
      </c>
      <c r="Q679">
        <f>IF(Table1[[#This Row],[حضر التهيئة]]="نعم",1,0)</f>
        <v>1</v>
      </c>
      <c r="R679">
        <f>IF(Table1[[#This Row],[دورة الفوترة]]="شهري",1,0)</f>
        <v>1</v>
      </c>
    </row>
    <row r="680" spans="1:18" x14ac:dyDescent="0.25">
      <c r="A680" t="s">
        <v>700</v>
      </c>
      <c r="B680" s="1">
        <v>45513</v>
      </c>
      <c r="C680" t="s">
        <v>28</v>
      </c>
      <c r="D680">
        <v>39</v>
      </c>
      <c r="E680" t="s">
        <v>14</v>
      </c>
      <c r="F680">
        <v>28</v>
      </c>
      <c r="G680" t="s">
        <v>23</v>
      </c>
      <c r="H680">
        <v>2</v>
      </c>
      <c r="I680">
        <v>10</v>
      </c>
      <c r="J680">
        <v>0</v>
      </c>
      <c r="K680" t="s">
        <v>16</v>
      </c>
      <c r="L680" t="s">
        <v>17</v>
      </c>
      <c r="M680">
        <f>IF(Table1[[#This Row],[ألغى الاشتراك]]="نعم",1,0)</f>
        <v>0</v>
      </c>
      <c r="N680">
        <f>IF(Table1[[#This Row],[وسيلة الدفع]]="بطاقة",1,0)</f>
        <v>0</v>
      </c>
      <c r="O680">
        <f>IF(Table1[[#This Row],[وسيلة الدفع]]="محفظة",1,0)</f>
        <v>0</v>
      </c>
      <c r="P680">
        <f>IF(Table1[[#This Row],[وسيلة الدفع]]="تحويل",1,0)</f>
        <v>1</v>
      </c>
      <c r="Q680">
        <f>IF(Table1[[#This Row],[حضر التهيئة]]="نعم",1,0)</f>
        <v>1</v>
      </c>
      <c r="R680">
        <f>IF(Table1[[#This Row],[دورة الفوترة]]="شهري",1,0)</f>
        <v>1</v>
      </c>
    </row>
    <row r="681" spans="1:18" x14ac:dyDescent="0.25">
      <c r="A681" t="s">
        <v>701</v>
      </c>
      <c r="B681" s="1">
        <v>45902</v>
      </c>
      <c r="C681" t="s">
        <v>19</v>
      </c>
      <c r="D681">
        <v>189</v>
      </c>
      <c r="E681" t="s">
        <v>20</v>
      </c>
      <c r="F681">
        <v>19</v>
      </c>
      <c r="G681" t="s">
        <v>21</v>
      </c>
      <c r="H681">
        <v>5</v>
      </c>
      <c r="I681">
        <v>3</v>
      </c>
      <c r="J681">
        <v>0</v>
      </c>
      <c r="K681" t="s">
        <v>16</v>
      </c>
      <c r="L681" t="s">
        <v>17</v>
      </c>
      <c r="M681">
        <f>IF(Table1[[#This Row],[ألغى الاشتراك]]="نعم",1,0)</f>
        <v>0</v>
      </c>
      <c r="N681">
        <f>IF(Table1[[#This Row],[وسيلة الدفع]]="بطاقة",1,0)</f>
        <v>0</v>
      </c>
      <c r="O681">
        <f>IF(Table1[[#This Row],[وسيلة الدفع]]="محفظة",1,0)</f>
        <v>1</v>
      </c>
      <c r="P681">
        <f>IF(Table1[[#This Row],[وسيلة الدفع]]="تحويل",1,0)</f>
        <v>0</v>
      </c>
      <c r="Q681">
        <f>IF(Table1[[#This Row],[حضر التهيئة]]="نعم",1,0)</f>
        <v>1</v>
      </c>
      <c r="R681">
        <f>IF(Table1[[#This Row],[دورة الفوترة]]="شهري",1,0)</f>
        <v>0</v>
      </c>
    </row>
    <row r="682" spans="1:18" x14ac:dyDescent="0.25">
      <c r="A682" t="s">
        <v>702</v>
      </c>
      <c r="B682" s="1">
        <v>45345</v>
      </c>
      <c r="C682" t="s">
        <v>19</v>
      </c>
      <c r="D682">
        <v>189</v>
      </c>
      <c r="E682" t="s">
        <v>14</v>
      </c>
      <c r="F682">
        <v>16</v>
      </c>
      <c r="G682" t="s">
        <v>21</v>
      </c>
      <c r="H682">
        <v>8</v>
      </c>
      <c r="I682">
        <v>14</v>
      </c>
      <c r="J682">
        <v>0</v>
      </c>
      <c r="K682" t="s">
        <v>16</v>
      </c>
      <c r="L682" t="s">
        <v>17</v>
      </c>
      <c r="M682">
        <f>IF(Table1[[#This Row],[ألغى الاشتراك]]="نعم",1,0)</f>
        <v>0</v>
      </c>
      <c r="N682">
        <f>IF(Table1[[#This Row],[وسيلة الدفع]]="بطاقة",1,0)</f>
        <v>0</v>
      </c>
      <c r="O682">
        <f>IF(Table1[[#This Row],[وسيلة الدفع]]="محفظة",1,0)</f>
        <v>1</v>
      </c>
      <c r="P682">
        <f>IF(Table1[[#This Row],[وسيلة الدفع]]="تحويل",1,0)</f>
        <v>0</v>
      </c>
      <c r="Q682">
        <f>IF(Table1[[#This Row],[حضر التهيئة]]="نعم",1,0)</f>
        <v>1</v>
      </c>
      <c r="R682">
        <f>IF(Table1[[#This Row],[دورة الفوترة]]="شهري",1,0)</f>
        <v>1</v>
      </c>
    </row>
    <row r="683" spans="1:18" x14ac:dyDescent="0.25">
      <c r="A683" t="s">
        <v>703</v>
      </c>
      <c r="B683" s="1">
        <v>45985</v>
      </c>
      <c r="C683" t="s">
        <v>13</v>
      </c>
      <c r="D683">
        <v>89</v>
      </c>
      <c r="E683" t="s">
        <v>20</v>
      </c>
      <c r="F683">
        <v>1</v>
      </c>
      <c r="G683" t="s">
        <v>23</v>
      </c>
      <c r="H683">
        <v>1</v>
      </c>
      <c r="I683">
        <v>19</v>
      </c>
      <c r="J683">
        <v>0</v>
      </c>
      <c r="K683" t="s">
        <v>17</v>
      </c>
      <c r="L683" t="s">
        <v>17</v>
      </c>
      <c r="M683">
        <f>IF(Table1[[#This Row],[ألغى الاشتراك]]="نعم",1,0)</f>
        <v>0</v>
      </c>
      <c r="N683">
        <f>IF(Table1[[#This Row],[وسيلة الدفع]]="بطاقة",1,0)</f>
        <v>0</v>
      </c>
      <c r="O683">
        <f>IF(Table1[[#This Row],[وسيلة الدفع]]="محفظة",1,0)</f>
        <v>0</v>
      </c>
      <c r="P683">
        <f>IF(Table1[[#This Row],[وسيلة الدفع]]="تحويل",1,0)</f>
        <v>1</v>
      </c>
      <c r="Q683">
        <f>IF(Table1[[#This Row],[حضر التهيئة]]="نعم",1,0)</f>
        <v>0</v>
      </c>
      <c r="R683">
        <f>IF(Table1[[#This Row],[دورة الفوترة]]="شهري",1,0)</f>
        <v>0</v>
      </c>
    </row>
    <row r="684" spans="1:18" x14ac:dyDescent="0.25">
      <c r="A684" t="s">
        <v>704</v>
      </c>
      <c r="B684" s="1">
        <v>45643</v>
      </c>
      <c r="C684" t="s">
        <v>28</v>
      </c>
      <c r="D684">
        <v>39</v>
      </c>
      <c r="E684" t="s">
        <v>20</v>
      </c>
      <c r="F684">
        <v>12</v>
      </c>
      <c r="G684" t="s">
        <v>21</v>
      </c>
      <c r="H684">
        <v>2</v>
      </c>
      <c r="I684">
        <v>20</v>
      </c>
      <c r="J684">
        <v>0</v>
      </c>
      <c r="K684" t="s">
        <v>17</v>
      </c>
      <c r="L684" t="s">
        <v>17</v>
      </c>
      <c r="M684">
        <f>IF(Table1[[#This Row],[ألغى الاشتراك]]="نعم",1,0)</f>
        <v>0</v>
      </c>
      <c r="N684">
        <f>IF(Table1[[#This Row],[وسيلة الدفع]]="بطاقة",1,0)</f>
        <v>0</v>
      </c>
      <c r="O684">
        <f>IF(Table1[[#This Row],[وسيلة الدفع]]="محفظة",1,0)</f>
        <v>1</v>
      </c>
      <c r="P684">
        <f>IF(Table1[[#This Row],[وسيلة الدفع]]="تحويل",1,0)</f>
        <v>0</v>
      </c>
      <c r="Q684">
        <f>IF(Table1[[#This Row],[حضر التهيئة]]="نعم",1,0)</f>
        <v>0</v>
      </c>
      <c r="R684">
        <f>IF(Table1[[#This Row],[دورة الفوترة]]="شهري",1,0)</f>
        <v>0</v>
      </c>
    </row>
    <row r="685" spans="1:18" x14ac:dyDescent="0.25">
      <c r="A685" t="s">
        <v>705</v>
      </c>
      <c r="B685" s="1">
        <v>45592</v>
      </c>
      <c r="C685" t="s">
        <v>28</v>
      </c>
      <c r="D685">
        <v>39</v>
      </c>
      <c r="E685" t="s">
        <v>14</v>
      </c>
      <c r="F685">
        <v>11</v>
      </c>
      <c r="G685" t="s">
        <v>23</v>
      </c>
      <c r="H685">
        <v>9</v>
      </c>
      <c r="I685">
        <v>3</v>
      </c>
      <c r="J685">
        <v>10</v>
      </c>
      <c r="K685" t="s">
        <v>17</v>
      </c>
      <c r="L685" t="s">
        <v>17</v>
      </c>
      <c r="M685">
        <f>IF(Table1[[#This Row],[ألغى الاشتراك]]="نعم",1,0)</f>
        <v>0</v>
      </c>
      <c r="N685">
        <f>IF(Table1[[#This Row],[وسيلة الدفع]]="بطاقة",1,0)</f>
        <v>0</v>
      </c>
      <c r="O685">
        <f>IF(Table1[[#This Row],[وسيلة الدفع]]="محفظة",1,0)</f>
        <v>0</v>
      </c>
      <c r="P685">
        <f>IF(Table1[[#This Row],[وسيلة الدفع]]="تحويل",1,0)</f>
        <v>1</v>
      </c>
      <c r="Q685">
        <f>IF(Table1[[#This Row],[حضر التهيئة]]="نعم",1,0)</f>
        <v>0</v>
      </c>
      <c r="R685">
        <f>IF(Table1[[#This Row],[دورة الفوترة]]="شهري",1,0)</f>
        <v>1</v>
      </c>
    </row>
    <row r="686" spans="1:18" x14ac:dyDescent="0.25">
      <c r="A686" t="s">
        <v>706</v>
      </c>
      <c r="B686" s="1">
        <v>45969</v>
      </c>
      <c r="C686" t="s">
        <v>28</v>
      </c>
      <c r="D686">
        <v>39</v>
      </c>
      <c r="E686" t="s">
        <v>14</v>
      </c>
      <c r="F686">
        <v>27</v>
      </c>
      <c r="G686" t="s">
        <v>23</v>
      </c>
      <c r="H686">
        <v>3</v>
      </c>
      <c r="I686">
        <v>39</v>
      </c>
      <c r="J686">
        <v>0</v>
      </c>
      <c r="K686" t="s">
        <v>16</v>
      </c>
      <c r="L686" t="s">
        <v>17</v>
      </c>
      <c r="M686">
        <f>IF(Table1[[#This Row],[ألغى الاشتراك]]="نعم",1,0)</f>
        <v>0</v>
      </c>
      <c r="N686">
        <f>IF(Table1[[#This Row],[وسيلة الدفع]]="بطاقة",1,0)</f>
        <v>0</v>
      </c>
      <c r="O686">
        <f>IF(Table1[[#This Row],[وسيلة الدفع]]="محفظة",1,0)</f>
        <v>0</v>
      </c>
      <c r="P686">
        <f>IF(Table1[[#This Row],[وسيلة الدفع]]="تحويل",1,0)</f>
        <v>1</v>
      </c>
      <c r="Q686">
        <f>IF(Table1[[#This Row],[حضر التهيئة]]="نعم",1,0)</f>
        <v>1</v>
      </c>
      <c r="R686">
        <f>IF(Table1[[#This Row],[دورة الفوترة]]="شهري",1,0)</f>
        <v>1</v>
      </c>
    </row>
    <row r="687" spans="1:18" x14ac:dyDescent="0.25">
      <c r="A687" t="s">
        <v>707</v>
      </c>
      <c r="B687" s="1">
        <v>45631</v>
      </c>
      <c r="C687" t="s">
        <v>28</v>
      </c>
      <c r="D687">
        <v>39</v>
      </c>
      <c r="E687" t="s">
        <v>14</v>
      </c>
      <c r="F687">
        <v>30</v>
      </c>
      <c r="G687" t="s">
        <v>15</v>
      </c>
      <c r="H687">
        <v>2</v>
      </c>
      <c r="I687">
        <v>56</v>
      </c>
      <c r="J687">
        <v>0</v>
      </c>
      <c r="K687" t="s">
        <v>17</v>
      </c>
      <c r="L687" t="s">
        <v>17</v>
      </c>
      <c r="M687">
        <f>IF(Table1[[#This Row],[ألغى الاشتراك]]="نعم",1,0)</f>
        <v>0</v>
      </c>
      <c r="N687">
        <f>IF(Table1[[#This Row],[وسيلة الدفع]]="بطاقة",1,0)</f>
        <v>1</v>
      </c>
      <c r="O687">
        <f>IF(Table1[[#This Row],[وسيلة الدفع]]="محفظة",1,0)</f>
        <v>0</v>
      </c>
      <c r="P687">
        <f>IF(Table1[[#This Row],[وسيلة الدفع]]="تحويل",1,0)</f>
        <v>0</v>
      </c>
      <c r="Q687">
        <f>IF(Table1[[#This Row],[حضر التهيئة]]="نعم",1,0)</f>
        <v>0</v>
      </c>
      <c r="R687">
        <f>IF(Table1[[#This Row],[دورة الفوترة]]="شهري",1,0)</f>
        <v>1</v>
      </c>
    </row>
    <row r="688" spans="1:18" x14ac:dyDescent="0.25">
      <c r="A688" t="s">
        <v>708</v>
      </c>
      <c r="B688" s="1">
        <v>45337</v>
      </c>
      <c r="C688" t="s">
        <v>19</v>
      </c>
      <c r="D688">
        <v>189</v>
      </c>
      <c r="E688" t="s">
        <v>20</v>
      </c>
      <c r="F688">
        <v>7</v>
      </c>
      <c r="G688" t="s">
        <v>15</v>
      </c>
      <c r="H688">
        <v>6</v>
      </c>
      <c r="I688">
        <v>55</v>
      </c>
      <c r="J688">
        <v>10</v>
      </c>
      <c r="K688" t="s">
        <v>16</v>
      </c>
      <c r="L688" t="s">
        <v>17</v>
      </c>
      <c r="M688">
        <f>IF(Table1[[#This Row],[ألغى الاشتراك]]="نعم",1,0)</f>
        <v>0</v>
      </c>
      <c r="N688">
        <f>IF(Table1[[#This Row],[وسيلة الدفع]]="بطاقة",1,0)</f>
        <v>1</v>
      </c>
      <c r="O688">
        <f>IF(Table1[[#This Row],[وسيلة الدفع]]="محفظة",1,0)</f>
        <v>0</v>
      </c>
      <c r="P688">
        <f>IF(Table1[[#This Row],[وسيلة الدفع]]="تحويل",1,0)</f>
        <v>0</v>
      </c>
      <c r="Q688">
        <f>IF(Table1[[#This Row],[حضر التهيئة]]="نعم",1,0)</f>
        <v>1</v>
      </c>
      <c r="R688">
        <f>IF(Table1[[#This Row],[دورة الفوترة]]="شهري",1,0)</f>
        <v>0</v>
      </c>
    </row>
    <row r="689" spans="1:18" x14ac:dyDescent="0.25">
      <c r="A689" t="s">
        <v>709</v>
      </c>
      <c r="B689" s="1">
        <v>45395</v>
      </c>
      <c r="C689" t="s">
        <v>19</v>
      </c>
      <c r="D689">
        <v>189</v>
      </c>
      <c r="E689" t="s">
        <v>14</v>
      </c>
      <c r="F689">
        <v>17</v>
      </c>
      <c r="G689" t="s">
        <v>15</v>
      </c>
      <c r="H689">
        <v>9</v>
      </c>
      <c r="I689">
        <v>43</v>
      </c>
      <c r="J689">
        <v>25</v>
      </c>
      <c r="K689" t="s">
        <v>16</v>
      </c>
      <c r="L689" t="s">
        <v>17</v>
      </c>
      <c r="M689">
        <f>IF(Table1[[#This Row],[ألغى الاشتراك]]="نعم",1,0)</f>
        <v>0</v>
      </c>
      <c r="N689">
        <f>IF(Table1[[#This Row],[وسيلة الدفع]]="بطاقة",1,0)</f>
        <v>1</v>
      </c>
      <c r="O689">
        <f>IF(Table1[[#This Row],[وسيلة الدفع]]="محفظة",1,0)</f>
        <v>0</v>
      </c>
      <c r="P689">
        <f>IF(Table1[[#This Row],[وسيلة الدفع]]="تحويل",1,0)</f>
        <v>0</v>
      </c>
      <c r="Q689">
        <f>IF(Table1[[#This Row],[حضر التهيئة]]="نعم",1,0)</f>
        <v>1</v>
      </c>
      <c r="R689">
        <f>IF(Table1[[#This Row],[دورة الفوترة]]="شهري",1,0)</f>
        <v>1</v>
      </c>
    </row>
    <row r="690" spans="1:18" x14ac:dyDescent="0.25">
      <c r="A690" t="s">
        <v>710</v>
      </c>
      <c r="B690" s="1">
        <v>45671</v>
      </c>
      <c r="C690" t="s">
        <v>28</v>
      </c>
      <c r="D690">
        <v>39</v>
      </c>
      <c r="E690" t="s">
        <v>20</v>
      </c>
      <c r="F690">
        <v>23</v>
      </c>
      <c r="G690" t="s">
        <v>23</v>
      </c>
      <c r="H690">
        <v>11</v>
      </c>
      <c r="I690">
        <v>27</v>
      </c>
      <c r="J690">
        <v>0</v>
      </c>
      <c r="K690" t="s">
        <v>16</v>
      </c>
      <c r="L690" t="s">
        <v>17</v>
      </c>
      <c r="M690">
        <f>IF(Table1[[#This Row],[ألغى الاشتراك]]="نعم",1,0)</f>
        <v>0</v>
      </c>
      <c r="N690">
        <f>IF(Table1[[#This Row],[وسيلة الدفع]]="بطاقة",1,0)</f>
        <v>0</v>
      </c>
      <c r="O690">
        <f>IF(Table1[[#This Row],[وسيلة الدفع]]="محفظة",1,0)</f>
        <v>0</v>
      </c>
      <c r="P690">
        <f>IF(Table1[[#This Row],[وسيلة الدفع]]="تحويل",1,0)</f>
        <v>1</v>
      </c>
      <c r="Q690">
        <f>IF(Table1[[#This Row],[حضر التهيئة]]="نعم",1,0)</f>
        <v>1</v>
      </c>
      <c r="R690">
        <f>IF(Table1[[#This Row],[دورة الفوترة]]="شهري",1,0)</f>
        <v>0</v>
      </c>
    </row>
    <row r="691" spans="1:18" x14ac:dyDescent="0.25">
      <c r="A691" t="s">
        <v>711</v>
      </c>
      <c r="B691" s="1">
        <v>45349</v>
      </c>
      <c r="C691" t="s">
        <v>28</v>
      </c>
      <c r="D691">
        <v>39</v>
      </c>
      <c r="E691" t="s">
        <v>20</v>
      </c>
      <c r="F691">
        <v>18</v>
      </c>
      <c r="G691" t="s">
        <v>15</v>
      </c>
      <c r="H691">
        <v>9</v>
      </c>
      <c r="I691">
        <v>40</v>
      </c>
      <c r="J691">
        <v>0</v>
      </c>
      <c r="K691" t="s">
        <v>16</v>
      </c>
      <c r="L691" t="s">
        <v>17</v>
      </c>
      <c r="M691">
        <f>IF(Table1[[#This Row],[ألغى الاشتراك]]="نعم",1,0)</f>
        <v>0</v>
      </c>
      <c r="N691">
        <f>IF(Table1[[#This Row],[وسيلة الدفع]]="بطاقة",1,0)</f>
        <v>1</v>
      </c>
      <c r="O691">
        <f>IF(Table1[[#This Row],[وسيلة الدفع]]="محفظة",1,0)</f>
        <v>0</v>
      </c>
      <c r="P691">
        <f>IF(Table1[[#This Row],[وسيلة الدفع]]="تحويل",1,0)</f>
        <v>0</v>
      </c>
      <c r="Q691">
        <f>IF(Table1[[#This Row],[حضر التهيئة]]="نعم",1,0)</f>
        <v>1</v>
      </c>
      <c r="R691">
        <f>IF(Table1[[#This Row],[دورة الفوترة]]="شهري",1,0)</f>
        <v>0</v>
      </c>
    </row>
    <row r="692" spans="1:18" x14ac:dyDescent="0.25">
      <c r="A692" t="s">
        <v>712</v>
      </c>
      <c r="B692" s="1">
        <v>45862</v>
      </c>
      <c r="C692" t="s">
        <v>28</v>
      </c>
      <c r="D692">
        <v>39</v>
      </c>
      <c r="E692" t="s">
        <v>20</v>
      </c>
      <c r="F692">
        <v>21</v>
      </c>
      <c r="G692" t="s">
        <v>23</v>
      </c>
      <c r="H692">
        <v>2</v>
      </c>
      <c r="I692">
        <v>41</v>
      </c>
      <c r="J692">
        <v>0</v>
      </c>
      <c r="K692" t="s">
        <v>16</v>
      </c>
      <c r="L692" t="s">
        <v>17</v>
      </c>
      <c r="M692">
        <f>IF(Table1[[#This Row],[ألغى الاشتراك]]="نعم",1,0)</f>
        <v>0</v>
      </c>
      <c r="N692">
        <f>IF(Table1[[#This Row],[وسيلة الدفع]]="بطاقة",1,0)</f>
        <v>0</v>
      </c>
      <c r="O692">
        <f>IF(Table1[[#This Row],[وسيلة الدفع]]="محفظة",1,0)</f>
        <v>0</v>
      </c>
      <c r="P692">
        <f>IF(Table1[[#This Row],[وسيلة الدفع]]="تحويل",1,0)</f>
        <v>1</v>
      </c>
      <c r="Q692">
        <f>IF(Table1[[#This Row],[حضر التهيئة]]="نعم",1,0)</f>
        <v>1</v>
      </c>
      <c r="R692">
        <f>IF(Table1[[#This Row],[دورة الفوترة]]="شهري",1,0)</f>
        <v>0</v>
      </c>
    </row>
    <row r="693" spans="1:18" x14ac:dyDescent="0.25">
      <c r="A693" t="s">
        <v>713</v>
      </c>
      <c r="B693" s="1">
        <v>45509</v>
      </c>
      <c r="C693" t="s">
        <v>13</v>
      </c>
      <c r="D693">
        <v>89</v>
      </c>
      <c r="E693" t="s">
        <v>14</v>
      </c>
      <c r="F693">
        <v>6</v>
      </c>
      <c r="G693" t="s">
        <v>23</v>
      </c>
      <c r="H693">
        <v>1</v>
      </c>
      <c r="I693">
        <v>10</v>
      </c>
      <c r="J693">
        <v>0</v>
      </c>
      <c r="K693" t="s">
        <v>16</v>
      </c>
      <c r="L693" t="s">
        <v>17</v>
      </c>
      <c r="M693">
        <f>IF(Table1[[#This Row],[ألغى الاشتراك]]="نعم",1,0)</f>
        <v>0</v>
      </c>
      <c r="N693">
        <f>IF(Table1[[#This Row],[وسيلة الدفع]]="بطاقة",1,0)</f>
        <v>0</v>
      </c>
      <c r="O693">
        <f>IF(Table1[[#This Row],[وسيلة الدفع]]="محفظة",1,0)</f>
        <v>0</v>
      </c>
      <c r="P693">
        <f>IF(Table1[[#This Row],[وسيلة الدفع]]="تحويل",1,0)</f>
        <v>1</v>
      </c>
      <c r="Q693">
        <f>IF(Table1[[#This Row],[حضر التهيئة]]="نعم",1,0)</f>
        <v>1</v>
      </c>
      <c r="R693">
        <f>IF(Table1[[#This Row],[دورة الفوترة]]="شهري",1,0)</f>
        <v>1</v>
      </c>
    </row>
    <row r="694" spans="1:18" x14ac:dyDescent="0.25">
      <c r="A694" t="s">
        <v>714</v>
      </c>
      <c r="B694" s="1">
        <v>45922</v>
      </c>
      <c r="C694" t="s">
        <v>13</v>
      </c>
      <c r="D694">
        <v>89</v>
      </c>
      <c r="E694" t="s">
        <v>14</v>
      </c>
      <c r="F694">
        <v>7</v>
      </c>
      <c r="G694" t="s">
        <v>15</v>
      </c>
      <c r="H694">
        <v>9</v>
      </c>
      <c r="I694">
        <v>29</v>
      </c>
      <c r="J694">
        <v>0</v>
      </c>
      <c r="K694" t="s">
        <v>17</v>
      </c>
      <c r="L694" t="s">
        <v>17</v>
      </c>
      <c r="M694">
        <f>IF(Table1[[#This Row],[ألغى الاشتراك]]="نعم",1,0)</f>
        <v>0</v>
      </c>
      <c r="N694">
        <f>IF(Table1[[#This Row],[وسيلة الدفع]]="بطاقة",1,0)</f>
        <v>1</v>
      </c>
      <c r="O694">
        <f>IF(Table1[[#This Row],[وسيلة الدفع]]="محفظة",1,0)</f>
        <v>0</v>
      </c>
      <c r="P694">
        <f>IF(Table1[[#This Row],[وسيلة الدفع]]="تحويل",1,0)</f>
        <v>0</v>
      </c>
      <c r="Q694">
        <f>IF(Table1[[#This Row],[حضر التهيئة]]="نعم",1,0)</f>
        <v>0</v>
      </c>
      <c r="R694">
        <f>IF(Table1[[#This Row],[دورة الفوترة]]="شهري",1,0)</f>
        <v>1</v>
      </c>
    </row>
    <row r="695" spans="1:18" x14ac:dyDescent="0.25">
      <c r="A695" t="s">
        <v>715</v>
      </c>
      <c r="B695" s="1">
        <v>45989</v>
      </c>
      <c r="C695" t="s">
        <v>28</v>
      </c>
      <c r="D695">
        <v>39</v>
      </c>
      <c r="E695" t="s">
        <v>20</v>
      </c>
      <c r="F695">
        <v>8</v>
      </c>
      <c r="G695" t="s">
        <v>15</v>
      </c>
      <c r="H695">
        <v>1</v>
      </c>
      <c r="I695">
        <v>16</v>
      </c>
      <c r="J695">
        <v>15</v>
      </c>
      <c r="K695" t="s">
        <v>16</v>
      </c>
      <c r="L695" t="s">
        <v>17</v>
      </c>
      <c r="M695">
        <f>IF(Table1[[#This Row],[ألغى الاشتراك]]="نعم",1,0)</f>
        <v>0</v>
      </c>
      <c r="N695">
        <f>IF(Table1[[#This Row],[وسيلة الدفع]]="بطاقة",1,0)</f>
        <v>1</v>
      </c>
      <c r="O695">
        <f>IF(Table1[[#This Row],[وسيلة الدفع]]="محفظة",1,0)</f>
        <v>0</v>
      </c>
      <c r="P695">
        <f>IF(Table1[[#This Row],[وسيلة الدفع]]="تحويل",1,0)</f>
        <v>0</v>
      </c>
      <c r="Q695">
        <f>IF(Table1[[#This Row],[حضر التهيئة]]="نعم",1,0)</f>
        <v>1</v>
      </c>
      <c r="R695">
        <f>IF(Table1[[#This Row],[دورة الفوترة]]="شهري",1,0)</f>
        <v>0</v>
      </c>
    </row>
    <row r="696" spans="1:18" x14ac:dyDescent="0.25">
      <c r="A696" t="s">
        <v>716</v>
      </c>
      <c r="B696" s="1">
        <v>45906</v>
      </c>
      <c r="C696" t="s">
        <v>19</v>
      </c>
      <c r="D696">
        <v>189</v>
      </c>
      <c r="E696" t="s">
        <v>20</v>
      </c>
      <c r="F696">
        <v>18</v>
      </c>
      <c r="G696" t="s">
        <v>23</v>
      </c>
      <c r="H696">
        <v>2</v>
      </c>
      <c r="I696">
        <v>28</v>
      </c>
      <c r="J696">
        <v>5</v>
      </c>
      <c r="K696" t="s">
        <v>16</v>
      </c>
      <c r="L696" t="s">
        <v>17</v>
      </c>
      <c r="M696">
        <f>IF(Table1[[#This Row],[ألغى الاشتراك]]="نعم",1,0)</f>
        <v>0</v>
      </c>
      <c r="N696">
        <f>IF(Table1[[#This Row],[وسيلة الدفع]]="بطاقة",1,0)</f>
        <v>0</v>
      </c>
      <c r="O696">
        <f>IF(Table1[[#This Row],[وسيلة الدفع]]="محفظة",1,0)</f>
        <v>0</v>
      </c>
      <c r="P696">
        <f>IF(Table1[[#This Row],[وسيلة الدفع]]="تحويل",1,0)</f>
        <v>1</v>
      </c>
      <c r="Q696">
        <f>IF(Table1[[#This Row],[حضر التهيئة]]="نعم",1,0)</f>
        <v>1</v>
      </c>
      <c r="R696">
        <f>IF(Table1[[#This Row],[دورة الفوترة]]="شهري",1,0)</f>
        <v>0</v>
      </c>
    </row>
    <row r="697" spans="1:18" x14ac:dyDescent="0.25">
      <c r="A697" t="s">
        <v>717</v>
      </c>
      <c r="B697" s="1">
        <v>45588</v>
      </c>
      <c r="C697" t="s">
        <v>28</v>
      </c>
      <c r="D697">
        <v>39</v>
      </c>
      <c r="E697" t="s">
        <v>20</v>
      </c>
      <c r="F697">
        <v>10</v>
      </c>
      <c r="G697" t="s">
        <v>21</v>
      </c>
      <c r="H697">
        <v>0</v>
      </c>
      <c r="I697">
        <v>36</v>
      </c>
      <c r="J697">
        <v>0</v>
      </c>
      <c r="K697" t="s">
        <v>16</v>
      </c>
      <c r="L697" t="s">
        <v>17</v>
      </c>
      <c r="M697">
        <f>IF(Table1[[#This Row],[ألغى الاشتراك]]="نعم",1,0)</f>
        <v>0</v>
      </c>
      <c r="N697">
        <f>IF(Table1[[#This Row],[وسيلة الدفع]]="بطاقة",1,0)</f>
        <v>0</v>
      </c>
      <c r="O697">
        <f>IF(Table1[[#This Row],[وسيلة الدفع]]="محفظة",1,0)</f>
        <v>1</v>
      </c>
      <c r="P697">
        <f>IF(Table1[[#This Row],[وسيلة الدفع]]="تحويل",1,0)</f>
        <v>0</v>
      </c>
      <c r="Q697">
        <f>IF(Table1[[#This Row],[حضر التهيئة]]="نعم",1,0)</f>
        <v>1</v>
      </c>
      <c r="R697">
        <f>IF(Table1[[#This Row],[دورة الفوترة]]="شهري",1,0)</f>
        <v>0</v>
      </c>
    </row>
    <row r="698" spans="1:18" x14ac:dyDescent="0.25">
      <c r="A698" t="s">
        <v>718</v>
      </c>
      <c r="B698" s="1">
        <v>45732</v>
      </c>
      <c r="C698" t="s">
        <v>28</v>
      </c>
      <c r="D698">
        <v>39</v>
      </c>
      <c r="E698" t="s">
        <v>14</v>
      </c>
      <c r="F698">
        <v>25</v>
      </c>
      <c r="G698" t="s">
        <v>21</v>
      </c>
      <c r="H698">
        <v>2</v>
      </c>
      <c r="I698">
        <v>51</v>
      </c>
      <c r="J698">
        <v>0</v>
      </c>
      <c r="K698" t="s">
        <v>16</v>
      </c>
      <c r="L698" t="s">
        <v>16</v>
      </c>
      <c r="M698">
        <f>IF(Table1[[#This Row],[ألغى الاشتراك]]="نعم",1,0)</f>
        <v>1</v>
      </c>
      <c r="N698">
        <f>IF(Table1[[#This Row],[وسيلة الدفع]]="بطاقة",1,0)</f>
        <v>0</v>
      </c>
      <c r="O698">
        <f>IF(Table1[[#This Row],[وسيلة الدفع]]="محفظة",1,0)</f>
        <v>1</v>
      </c>
      <c r="P698">
        <f>IF(Table1[[#This Row],[وسيلة الدفع]]="تحويل",1,0)</f>
        <v>0</v>
      </c>
      <c r="Q698">
        <f>IF(Table1[[#This Row],[حضر التهيئة]]="نعم",1,0)</f>
        <v>1</v>
      </c>
      <c r="R698">
        <f>IF(Table1[[#This Row],[دورة الفوترة]]="شهري",1,0)</f>
        <v>1</v>
      </c>
    </row>
    <row r="699" spans="1:18" x14ac:dyDescent="0.25">
      <c r="A699" t="s">
        <v>719</v>
      </c>
      <c r="B699" s="1">
        <v>45635</v>
      </c>
      <c r="C699" t="s">
        <v>19</v>
      </c>
      <c r="D699">
        <v>189</v>
      </c>
      <c r="E699" t="s">
        <v>14</v>
      </c>
      <c r="F699">
        <v>2</v>
      </c>
      <c r="G699" t="s">
        <v>23</v>
      </c>
      <c r="H699">
        <v>10</v>
      </c>
      <c r="I699">
        <v>26</v>
      </c>
      <c r="J699">
        <v>0</v>
      </c>
      <c r="K699" t="s">
        <v>16</v>
      </c>
      <c r="L699" t="s">
        <v>17</v>
      </c>
      <c r="M699">
        <f>IF(Table1[[#This Row],[ألغى الاشتراك]]="نعم",1,0)</f>
        <v>0</v>
      </c>
      <c r="N699">
        <f>IF(Table1[[#This Row],[وسيلة الدفع]]="بطاقة",1,0)</f>
        <v>0</v>
      </c>
      <c r="O699">
        <f>IF(Table1[[#This Row],[وسيلة الدفع]]="محفظة",1,0)</f>
        <v>0</v>
      </c>
      <c r="P699">
        <f>IF(Table1[[#This Row],[وسيلة الدفع]]="تحويل",1,0)</f>
        <v>1</v>
      </c>
      <c r="Q699">
        <f>IF(Table1[[#This Row],[حضر التهيئة]]="نعم",1,0)</f>
        <v>1</v>
      </c>
      <c r="R699">
        <f>IF(Table1[[#This Row],[دورة الفوترة]]="شهري",1,0)</f>
        <v>1</v>
      </c>
    </row>
    <row r="700" spans="1:18" x14ac:dyDescent="0.25">
      <c r="A700" t="s">
        <v>720</v>
      </c>
      <c r="B700" s="1">
        <v>45910</v>
      </c>
      <c r="C700" t="s">
        <v>19</v>
      </c>
      <c r="D700">
        <v>189</v>
      </c>
      <c r="E700" t="s">
        <v>14</v>
      </c>
      <c r="F700">
        <v>19</v>
      </c>
      <c r="G700" t="s">
        <v>21</v>
      </c>
      <c r="H700">
        <v>2</v>
      </c>
      <c r="I700">
        <v>47</v>
      </c>
      <c r="J700">
        <v>0</v>
      </c>
      <c r="K700" t="s">
        <v>16</v>
      </c>
      <c r="L700" t="s">
        <v>17</v>
      </c>
      <c r="M700">
        <f>IF(Table1[[#This Row],[ألغى الاشتراك]]="نعم",1,0)</f>
        <v>0</v>
      </c>
      <c r="N700">
        <f>IF(Table1[[#This Row],[وسيلة الدفع]]="بطاقة",1,0)</f>
        <v>0</v>
      </c>
      <c r="O700">
        <f>IF(Table1[[#This Row],[وسيلة الدفع]]="محفظة",1,0)</f>
        <v>1</v>
      </c>
      <c r="P700">
        <f>IF(Table1[[#This Row],[وسيلة الدفع]]="تحويل",1,0)</f>
        <v>0</v>
      </c>
      <c r="Q700">
        <f>IF(Table1[[#This Row],[حضر التهيئة]]="نعم",1,0)</f>
        <v>1</v>
      </c>
      <c r="R700">
        <f>IF(Table1[[#This Row],[دورة الفوترة]]="شهري",1,0)</f>
        <v>1</v>
      </c>
    </row>
    <row r="701" spans="1:18" x14ac:dyDescent="0.25">
      <c r="A701" t="s">
        <v>721</v>
      </c>
      <c r="B701" s="1">
        <v>45470</v>
      </c>
      <c r="C701" t="s">
        <v>19</v>
      </c>
      <c r="D701">
        <v>189</v>
      </c>
      <c r="E701" t="s">
        <v>14</v>
      </c>
      <c r="F701">
        <v>2</v>
      </c>
      <c r="G701" t="s">
        <v>21</v>
      </c>
      <c r="H701">
        <v>1</v>
      </c>
      <c r="I701">
        <v>40</v>
      </c>
      <c r="J701">
        <v>0</v>
      </c>
      <c r="K701" t="s">
        <v>17</v>
      </c>
      <c r="L701" t="s">
        <v>17</v>
      </c>
      <c r="M701">
        <f>IF(Table1[[#This Row],[ألغى الاشتراك]]="نعم",1,0)</f>
        <v>0</v>
      </c>
      <c r="N701">
        <f>IF(Table1[[#This Row],[وسيلة الدفع]]="بطاقة",1,0)</f>
        <v>0</v>
      </c>
      <c r="O701">
        <f>IF(Table1[[#This Row],[وسيلة الدفع]]="محفظة",1,0)</f>
        <v>1</v>
      </c>
      <c r="P701">
        <f>IF(Table1[[#This Row],[وسيلة الدفع]]="تحويل",1,0)</f>
        <v>0</v>
      </c>
      <c r="Q701">
        <f>IF(Table1[[#This Row],[حضر التهيئة]]="نعم",1,0)</f>
        <v>0</v>
      </c>
      <c r="R701">
        <f>IF(Table1[[#This Row],[دورة الفوترة]]="شهري",1,0)</f>
        <v>1</v>
      </c>
    </row>
    <row r="702" spans="1:18" x14ac:dyDescent="0.25">
      <c r="A702" t="s">
        <v>722</v>
      </c>
      <c r="B702" s="1">
        <v>45391</v>
      </c>
      <c r="C702" t="s">
        <v>13</v>
      </c>
      <c r="D702">
        <v>89</v>
      </c>
      <c r="E702" t="s">
        <v>20</v>
      </c>
      <c r="F702">
        <v>27</v>
      </c>
      <c r="G702" t="s">
        <v>15</v>
      </c>
      <c r="H702">
        <v>1</v>
      </c>
      <c r="I702">
        <v>43</v>
      </c>
      <c r="J702">
        <v>25</v>
      </c>
      <c r="K702" t="s">
        <v>16</v>
      </c>
      <c r="L702" t="s">
        <v>17</v>
      </c>
      <c r="M702">
        <f>IF(Table1[[#This Row],[ألغى الاشتراك]]="نعم",1,0)</f>
        <v>0</v>
      </c>
      <c r="N702">
        <f>IF(Table1[[#This Row],[وسيلة الدفع]]="بطاقة",1,0)</f>
        <v>1</v>
      </c>
      <c r="O702">
        <f>IF(Table1[[#This Row],[وسيلة الدفع]]="محفظة",1,0)</f>
        <v>0</v>
      </c>
      <c r="P702">
        <f>IF(Table1[[#This Row],[وسيلة الدفع]]="تحويل",1,0)</f>
        <v>0</v>
      </c>
      <c r="Q702">
        <f>IF(Table1[[#This Row],[حضر التهيئة]]="نعم",1,0)</f>
        <v>1</v>
      </c>
      <c r="R702">
        <f>IF(Table1[[#This Row],[دورة الفوترة]]="شهري",1,0)</f>
        <v>0</v>
      </c>
    </row>
    <row r="703" spans="1:18" x14ac:dyDescent="0.25">
      <c r="A703" t="s">
        <v>723</v>
      </c>
      <c r="B703" s="1">
        <v>45454</v>
      </c>
      <c r="C703" t="s">
        <v>28</v>
      </c>
      <c r="D703">
        <v>39</v>
      </c>
      <c r="E703" t="s">
        <v>14</v>
      </c>
      <c r="F703">
        <v>1</v>
      </c>
      <c r="G703" t="s">
        <v>21</v>
      </c>
      <c r="H703">
        <v>2</v>
      </c>
      <c r="I703">
        <v>7</v>
      </c>
      <c r="J703">
        <v>10</v>
      </c>
      <c r="K703" t="s">
        <v>16</v>
      </c>
      <c r="L703" t="s">
        <v>16</v>
      </c>
      <c r="M703">
        <f>IF(Table1[[#This Row],[ألغى الاشتراك]]="نعم",1,0)</f>
        <v>1</v>
      </c>
      <c r="N703">
        <f>IF(Table1[[#This Row],[وسيلة الدفع]]="بطاقة",1,0)</f>
        <v>0</v>
      </c>
      <c r="O703">
        <f>IF(Table1[[#This Row],[وسيلة الدفع]]="محفظة",1,0)</f>
        <v>1</v>
      </c>
      <c r="P703">
        <f>IF(Table1[[#This Row],[وسيلة الدفع]]="تحويل",1,0)</f>
        <v>0</v>
      </c>
      <c r="Q703">
        <f>IF(Table1[[#This Row],[حضر التهيئة]]="نعم",1,0)</f>
        <v>1</v>
      </c>
      <c r="R703">
        <f>IF(Table1[[#This Row],[دورة الفوترة]]="شهري",1,0)</f>
        <v>1</v>
      </c>
    </row>
    <row r="704" spans="1:18" x14ac:dyDescent="0.25">
      <c r="A704" t="s">
        <v>724</v>
      </c>
      <c r="B704" s="1">
        <v>45977</v>
      </c>
      <c r="C704" t="s">
        <v>13</v>
      </c>
      <c r="D704">
        <v>89</v>
      </c>
      <c r="E704" t="s">
        <v>20</v>
      </c>
      <c r="F704">
        <v>29</v>
      </c>
      <c r="G704" t="s">
        <v>21</v>
      </c>
      <c r="H704">
        <v>2</v>
      </c>
      <c r="I704">
        <v>51</v>
      </c>
      <c r="J704">
        <v>0</v>
      </c>
      <c r="K704" t="s">
        <v>16</v>
      </c>
      <c r="L704" t="s">
        <v>17</v>
      </c>
      <c r="M704">
        <f>IF(Table1[[#This Row],[ألغى الاشتراك]]="نعم",1,0)</f>
        <v>0</v>
      </c>
      <c r="N704">
        <f>IF(Table1[[#This Row],[وسيلة الدفع]]="بطاقة",1,0)</f>
        <v>0</v>
      </c>
      <c r="O704">
        <f>IF(Table1[[#This Row],[وسيلة الدفع]]="محفظة",1,0)</f>
        <v>1</v>
      </c>
      <c r="P704">
        <f>IF(Table1[[#This Row],[وسيلة الدفع]]="تحويل",1,0)</f>
        <v>0</v>
      </c>
      <c r="Q704">
        <f>IF(Table1[[#This Row],[حضر التهيئة]]="نعم",1,0)</f>
        <v>1</v>
      </c>
      <c r="R704">
        <f>IF(Table1[[#This Row],[دورة الفوترة]]="شهري",1,0)</f>
        <v>0</v>
      </c>
    </row>
    <row r="705" spans="1:18" x14ac:dyDescent="0.25">
      <c r="A705" t="s">
        <v>725</v>
      </c>
      <c r="B705" s="1">
        <v>45399</v>
      </c>
      <c r="C705" t="s">
        <v>19</v>
      </c>
      <c r="D705">
        <v>189</v>
      </c>
      <c r="E705" t="s">
        <v>14</v>
      </c>
      <c r="F705">
        <v>28</v>
      </c>
      <c r="G705" t="s">
        <v>15</v>
      </c>
      <c r="H705">
        <v>6</v>
      </c>
      <c r="I705">
        <v>26</v>
      </c>
      <c r="J705">
        <v>0</v>
      </c>
      <c r="K705" t="s">
        <v>16</v>
      </c>
      <c r="L705" t="s">
        <v>17</v>
      </c>
      <c r="M705">
        <f>IF(Table1[[#This Row],[ألغى الاشتراك]]="نعم",1,0)</f>
        <v>0</v>
      </c>
      <c r="N705">
        <f>IF(Table1[[#This Row],[وسيلة الدفع]]="بطاقة",1,0)</f>
        <v>1</v>
      </c>
      <c r="O705">
        <f>IF(Table1[[#This Row],[وسيلة الدفع]]="محفظة",1,0)</f>
        <v>0</v>
      </c>
      <c r="P705">
        <f>IF(Table1[[#This Row],[وسيلة الدفع]]="تحويل",1,0)</f>
        <v>0</v>
      </c>
      <c r="Q705">
        <f>IF(Table1[[#This Row],[حضر التهيئة]]="نعم",1,0)</f>
        <v>1</v>
      </c>
      <c r="R705">
        <f>IF(Table1[[#This Row],[دورة الفوترة]]="شهري",1,0)</f>
        <v>1</v>
      </c>
    </row>
    <row r="706" spans="1:18" x14ac:dyDescent="0.25">
      <c r="A706" t="s">
        <v>726</v>
      </c>
      <c r="B706" s="1">
        <v>45902</v>
      </c>
      <c r="C706" t="s">
        <v>28</v>
      </c>
      <c r="D706">
        <v>39</v>
      </c>
      <c r="E706" t="s">
        <v>14</v>
      </c>
      <c r="F706">
        <v>5</v>
      </c>
      <c r="G706" t="s">
        <v>23</v>
      </c>
      <c r="H706">
        <v>0</v>
      </c>
      <c r="I706">
        <v>25</v>
      </c>
      <c r="J706">
        <v>0</v>
      </c>
      <c r="K706" t="s">
        <v>17</v>
      </c>
      <c r="L706" t="s">
        <v>17</v>
      </c>
      <c r="M706">
        <f>IF(Table1[[#This Row],[ألغى الاشتراك]]="نعم",1,0)</f>
        <v>0</v>
      </c>
      <c r="N706">
        <f>IF(Table1[[#This Row],[وسيلة الدفع]]="بطاقة",1,0)</f>
        <v>0</v>
      </c>
      <c r="O706">
        <f>IF(Table1[[#This Row],[وسيلة الدفع]]="محفظة",1,0)</f>
        <v>0</v>
      </c>
      <c r="P706">
        <f>IF(Table1[[#This Row],[وسيلة الدفع]]="تحويل",1,0)</f>
        <v>1</v>
      </c>
      <c r="Q706">
        <f>IF(Table1[[#This Row],[حضر التهيئة]]="نعم",1,0)</f>
        <v>0</v>
      </c>
      <c r="R706">
        <f>IF(Table1[[#This Row],[دورة الفوترة]]="شهري",1,0)</f>
        <v>1</v>
      </c>
    </row>
    <row r="707" spans="1:18" x14ac:dyDescent="0.25">
      <c r="A707" t="s">
        <v>727</v>
      </c>
      <c r="B707" s="1">
        <v>45854</v>
      </c>
      <c r="C707" t="s">
        <v>13</v>
      </c>
      <c r="D707">
        <v>89</v>
      </c>
      <c r="E707" t="s">
        <v>20</v>
      </c>
      <c r="F707">
        <v>12</v>
      </c>
      <c r="G707" t="s">
        <v>15</v>
      </c>
      <c r="H707">
        <v>1</v>
      </c>
      <c r="I707">
        <v>50</v>
      </c>
      <c r="J707">
        <v>15</v>
      </c>
      <c r="K707" t="s">
        <v>17</v>
      </c>
      <c r="L707" t="s">
        <v>17</v>
      </c>
      <c r="M707">
        <f>IF(Table1[[#This Row],[ألغى الاشتراك]]="نعم",1,0)</f>
        <v>0</v>
      </c>
      <c r="N707">
        <f>IF(Table1[[#This Row],[وسيلة الدفع]]="بطاقة",1,0)</f>
        <v>1</v>
      </c>
      <c r="O707">
        <f>IF(Table1[[#This Row],[وسيلة الدفع]]="محفظة",1,0)</f>
        <v>0</v>
      </c>
      <c r="P707">
        <f>IF(Table1[[#This Row],[وسيلة الدفع]]="تحويل",1,0)</f>
        <v>0</v>
      </c>
      <c r="Q707">
        <f>IF(Table1[[#This Row],[حضر التهيئة]]="نعم",1,0)</f>
        <v>0</v>
      </c>
      <c r="R707">
        <f>IF(Table1[[#This Row],[دورة الفوترة]]="شهري",1,0)</f>
        <v>0</v>
      </c>
    </row>
    <row r="708" spans="1:18" x14ac:dyDescent="0.25">
      <c r="A708" t="s">
        <v>728</v>
      </c>
      <c r="B708" s="1">
        <v>45631</v>
      </c>
      <c r="C708" t="s">
        <v>28</v>
      </c>
      <c r="D708">
        <v>39</v>
      </c>
      <c r="E708" t="s">
        <v>14</v>
      </c>
      <c r="F708">
        <v>6</v>
      </c>
      <c r="G708" t="s">
        <v>15</v>
      </c>
      <c r="H708">
        <v>1</v>
      </c>
      <c r="I708">
        <v>42</v>
      </c>
      <c r="J708">
        <v>0</v>
      </c>
      <c r="K708" t="s">
        <v>16</v>
      </c>
      <c r="L708" t="s">
        <v>17</v>
      </c>
      <c r="M708">
        <f>IF(Table1[[#This Row],[ألغى الاشتراك]]="نعم",1,0)</f>
        <v>0</v>
      </c>
      <c r="N708">
        <f>IF(Table1[[#This Row],[وسيلة الدفع]]="بطاقة",1,0)</f>
        <v>1</v>
      </c>
      <c r="O708">
        <f>IF(Table1[[#This Row],[وسيلة الدفع]]="محفظة",1,0)</f>
        <v>0</v>
      </c>
      <c r="P708">
        <f>IF(Table1[[#This Row],[وسيلة الدفع]]="تحويل",1,0)</f>
        <v>0</v>
      </c>
      <c r="Q708">
        <f>IF(Table1[[#This Row],[حضر التهيئة]]="نعم",1,0)</f>
        <v>1</v>
      </c>
      <c r="R708">
        <f>IF(Table1[[#This Row],[دورة الفوترة]]="شهري",1,0)</f>
        <v>1</v>
      </c>
    </row>
    <row r="709" spans="1:18" x14ac:dyDescent="0.25">
      <c r="A709" t="s">
        <v>729</v>
      </c>
      <c r="B709" s="1">
        <v>45675</v>
      </c>
      <c r="C709" t="s">
        <v>13</v>
      </c>
      <c r="D709">
        <v>89</v>
      </c>
      <c r="E709" t="s">
        <v>20</v>
      </c>
      <c r="F709">
        <v>25</v>
      </c>
      <c r="G709" t="s">
        <v>21</v>
      </c>
      <c r="H709">
        <v>0</v>
      </c>
      <c r="I709">
        <v>33</v>
      </c>
      <c r="J709">
        <v>0</v>
      </c>
      <c r="K709" t="s">
        <v>17</v>
      </c>
      <c r="L709" t="s">
        <v>17</v>
      </c>
      <c r="M709">
        <f>IF(Table1[[#This Row],[ألغى الاشتراك]]="نعم",1,0)</f>
        <v>0</v>
      </c>
      <c r="N709">
        <f>IF(Table1[[#This Row],[وسيلة الدفع]]="بطاقة",1,0)</f>
        <v>0</v>
      </c>
      <c r="O709">
        <f>IF(Table1[[#This Row],[وسيلة الدفع]]="محفظة",1,0)</f>
        <v>1</v>
      </c>
      <c r="P709">
        <f>IF(Table1[[#This Row],[وسيلة الدفع]]="تحويل",1,0)</f>
        <v>0</v>
      </c>
      <c r="Q709">
        <f>IF(Table1[[#This Row],[حضر التهيئة]]="نعم",1,0)</f>
        <v>0</v>
      </c>
      <c r="R709">
        <f>IF(Table1[[#This Row],[دورة الفوترة]]="شهري",1,0)</f>
        <v>0</v>
      </c>
    </row>
    <row r="710" spans="1:18" x14ac:dyDescent="0.25">
      <c r="A710" t="s">
        <v>730</v>
      </c>
      <c r="B710" s="1">
        <v>45450</v>
      </c>
      <c r="C710" t="s">
        <v>28</v>
      </c>
      <c r="D710">
        <v>39</v>
      </c>
      <c r="E710" t="s">
        <v>14</v>
      </c>
      <c r="F710">
        <v>12</v>
      </c>
      <c r="G710" t="s">
        <v>23</v>
      </c>
      <c r="H710">
        <v>3</v>
      </c>
      <c r="I710">
        <v>4</v>
      </c>
      <c r="J710">
        <v>0</v>
      </c>
      <c r="K710" t="s">
        <v>17</v>
      </c>
      <c r="L710" t="s">
        <v>16</v>
      </c>
      <c r="M710">
        <f>IF(Table1[[#This Row],[ألغى الاشتراك]]="نعم",1,0)</f>
        <v>1</v>
      </c>
      <c r="N710">
        <f>IF(Table1[[#This Row],[وسيلة الدفع]]="بطاقة",1,0)</f>
        <v>0</v>
      </c>
      <c r="O710">
        <f>IF(Table1[[#This Row],[وسيلة الدفع]]="محفظة",1,0)</f>
        <v>0</v>
      </c>
      <c r="P710">
        <f>IF(Table1[[#This Row],[وسيلة الدفع]]="تحويل",1,0)</f>
        <v>1</v>
      </c>
      <c r="Q710">
        <f>IF(Table1[[#This Row],[حضر التهيئة]]="نعم",1,0)</f>
        <v>0</v>
      </c>
      <c r="R710">
        <f>IF(Table1[[#This Row],[دورة الفوترة]]="شهري",1,0)</f>
        <v>1</v>
      </c>
    </row>
    <row r="711" spans="1:18" x14ac:dyDescent="0.25">
      <c r="A711" t="s">
        <v>731</v>
      </c>
      <c r="B711" s="1">
        <v>45973</v>
      </c>
      <c r="C711" t="s">
        <v>28</v>
      </c>
      <c r="D711">
        <v>39</v>
      </c>
      <c r="E711" t="s">
        <v>14</v>
      </c>
      <c r="F711">
        <v>5</v>
      </c>
      <c r="G711" t="s">
        <v>23</v>
      </c>
      <c r="H711">
        <v>3</v>
      </c>
      <c r="I711">
        <v>57</v>
      </c>
      <c r="J711">
        <v>0</v>
      </c>
      <c r="K711" t="s">
        <v>17</v>
      </c>
      <c r="L711" t="s">
        <v>17</v>
      </c>
      <c r="M711">
        <f>IF(Table1[[#This Row],[ألغى الاشتراك]]="نعم",1,0)</f>
        <v>0</v>
      </c>
      <c r="N711">
        <f>IF(Table1[[#This Row],[وسيلة الدفع]]="بطاقة",1,0)</f>
        <v>0</v>
      </c>
      <c r="O711">
        <f>IF(Table1[[#This Row],[وسيلة الدفع]]="محفظة",1,0)</f>
        <v>0</v>
      </c>
      <c r="P711">
        <f>IF(Table1[[#This Row],[وسيلة الدفع]]="تحويل",1,0)</f>
        <v>1</v>
      </c>
      <c r="Q711">
        <f>IF(Table1[[#This Row],[حضر التهيئة]]="نعم",1,0)</f>
        <v>0</v>
      </c>
      <c r="R711">
        <f>IF(Table1[[#This Row],[دورة الفوترة]]="شهري",1,0)</f>
        <v>1</v>
      </c>
    </row>
    <row r="712" spans="1:18" x14ac:dyDescent="0.25">
      <c r="A712" t="s">
        <v>732</v>
      </c>
      <c r="B712" s="1">
        <v>45643</v>
      </c>
      <c r="C712" t="s">
        <v>28</v>
      </c>
      <c r="D712">
        <v>39</v>
      </c>
      <c r="E712" t="s">
        <v>20</v>
      </c>
      <c r="F712">
        <v>18</v>
      </c>
      <c r="G712" t="s">
        <v>23</v>
      </c>
      <c r="H712">
        <v>2</v>
      </c>
      <c r="I712">
        <v>30</v>
      </c>
      <c r="J712">
        <v>0</v>
      </c>
      <c r="K712" t="s">
        <v>17</v>
      </c>
      <c r="L712" t="s">
        <v>17</v>
      </c>
      <c r="M712">
        <f>IF(Table1[[#This Row],[ألغى الاشتراك]]="نعم",1,0)</f>
        <v>0</v>
      </c>
      <c r="N712">
        <f>IF(Table1[[#This Row],[وسيلة الدفع]]="بطاقة",1,0)</f>
        <v>0</v>
      </c>
      <c r="O712">
        <f>IF(Table1[[#This Row],[وسيلة الدفع]]="محفظة",1,0)</f>
        <v>0</v>
      </c>
      <c r="P712">
        <f>IF(Table1[[#This Row],[وسيلة الدفع]]="تحويل",1,0)</f>
        <v>1</v>
      </c>
      <c r="Q712">
        <f>IF(Table1[[#This Row],[حضر التهيئة]]="نعم",1,0)</f>
        <v>0</v>
      </c>
      <c r="R712">
        <f>IF(Table1[[#This Row],[دورة الفوترة]]="شهري",1,0)</f>
        <v>0</v>
      </c>
    </row>
    <row r="713" spans="1:18" x14ac:dyDescent="0.25">
      <c r="A713" t="s">
        <v>733</v>
      </c>
      <c r="B713" s="1">
        <v>45671</v>
      </c>
      <c r="C713" t="s">
        <v>19</v>
      </c>
      <c r="D713">
        <v>189</v>
      </c>
      <c r="E713" t="s">
        <v>20</v>
      </c>
      <c r="F713">
        <v>17</v>
      </c>
      <c r="G713" t="s">
        <v>21</v>
      </c>
      <c r="H713">
        <v>1</v>
      </c>
      <c r="I713">
        <v>23</v>
      </c>
      <c r="J713">
        <v>0</v>
      </c>
      <c r="K713" t="s">
        <v>16</v>
      </c>
      <c r="L713" t="s">
        <v>17</v>
      </c>
      <c r="M713">
        <f>IF(Table1[[#This Row],[ألغى الاشتراك]]="نعم",1,0)</f>
        <v>0</v>
      </c>
      <c r="N713">
        <f>IF(Table1[[#This Row],[وسيلة الدفع]]="بطاقة",1,0)</f>
        <v>0</v>
      </c>
      <c r="O713">
        <f>IF(Table1[[#This Row],[وسيلة الدفع]]="محفظة",1,0)</f>
        <v>1</v>
      </c>
      <c r="P713">
        <f>IF(Table1[[#This Row],[وسيلة الدفع]]="تحويل",1,0)</f>
        <v>0</v>
      </c>
      <c r="Q713">
        <f>IF(Table1[[#This Row],[حضر التهيئة]]="نعم",1,0)</f>
        <v>1</v>
      </c>
      <c r="R713">
        <f>IF(Table1[[#This Row],[دورة الفوترة]]="شهري",1,0)</f>
        <v>0</v>
      </c>
    </row>
    <row r="714" spans="1:18" x14ac:dyDescent="0.25">
      <c r="A714" t="s">
        <v>734</v>
      </c>
      <c r="B714" s="1">
        <v>45333</v>
      </c>
      <c r="C714" t="s">
        <v>13</v>
      </c>
      <c r="D714">
        <v>89</v>
      </c>
      <c r="E714" t="s">
        <v>14</v>
      </c>
      <c r="F714">
        <v>6</v>
      </c>
      <c r="G714" t="s">
        <v>23</v>
      </c>
      <c r="H714">
        <v>2</v>
      </c>
      <c r="I714">
        <v>48</v>
      </c>
      <c r="J714">
        <v>0</v>
      </c>
      <c r="K714" t="s">
        <v>17</v>
      </c>
      <c r="L714" t="s">
        <v>17</v>
      </c>
      <c r="M714">
        <f>IF(Table1[[#This Row],[ألغى الاشتراك]]="نعم",1,0)</f>
        <v>0</v>
      </c>
      <c r="N714">
        <f>IF(Table1[[#This Row],[وسيلة الدفع]]="بطاقة",1,0)</f>
        <v>0</v>
      </c>
      <c r="O714">
        <f>IF(Table1[[#This Row],[وسيلة الدفع]]="محفظة",1,0)</f>
        <v>0</v>
      </c>
      <c r="P714">
        <f>IF(Table1[[#This Row],[وسيلة الدفع]]="تحويل",1,0)</f>
        <v>1</v>
      </c>
      <c r="Q714">
        <f>IF(Table1[[#This Row],[حضر التهيئة]]="نعم",1,0)</f>
        <v>0</v>
      </c>
      <c r="R714">
        <f>IF(Table1[[#This Row],[دورة الفوترة]]="شهري",1,0)</f>
        <v>1</v>
      </c>
    </row>
    <row r="715" spans="1:18" x14ac:dyDescent="0.25">
      <c r="A715" t="s">
        <v>735</v>
      </c>
      <c r="B715" s="1">
        <v>45387</v>
      </c>
      <c r="C715" t="s">
        <v>28</v>
      </c>
      <c r="D715">
        <v>39</v>
      </c>
      <c r="E715" t="s">
        <v>20</v>
      </c>
      <c r="F715">
        <v>13</v>
      </c>
      <c r="G715" t="s">
        <v>15</v>
      </c>
      <c r="H715">
        <v>8</v>
      </c>
      <c r="I715">
        <v>3</v>
      </c>
      <c r="J715">
        <v>25</v>
      </c>
      <c r="K715" t="s">
        <v>17</v>
      </c>
      <c r="L715" t="s">
        <v>17</v>
      </c>
      <c r="M715">
        <f>IF(Table1[[#This Row],[ألغى الاشتراك]]="نعم",1,0)</f>
        <v>0</v>
      </c>
      <c r="N715">
        <f>IF(Table1[[#This Row],[وسيلة الدفع]]="بطاقة",1,0)</f>
        <v>1</v>
      </c>
      <c r="O715">
        <f>IF(Table1[[#This Row],[وسيلة الدفع]]="محفظة",1,0)</f>
        <v>0</v>
      </c>
      <c r="P715">
        <f>IF(Table1[[#This Row],[وسيلة الدفع]]="تحويل",1,0)</f>
        <v>0</v>
      </c>
      <c r="Q715">
        <f>IF(Table1[[#This Row],[حضر التهيئة]]="نعم",1,0)</f>
        <v>0</v>
      </c>
      <c r="R715">
        <f>IF(Table1[[#This Row],[دورة الفوترة]]="شهري",1,0)</f>
        <v>0</v>
      </c>
    </row>
    <row r="716" spans="1:18" x14ac:dyDescent="0.25">
      <c r="A716" t="s">
        <v>736</v>
      </c>
      <c r="B716" s="1">
        <v>45783</v>
      </c>
      <c r="C716" t="s">
        <v>13</v>
      </c>
      <c r="D716">
        <v>89</v>
      </c>
      <c r="E716" t="s">
        <v>20</v>
      </c>
      <c r="F716">
        <v>9</v>
      </c>
      <c r="G716" t="s">
        <v>23</v>
      </c>
      <c r="H716">
        <v>1</v>
      </c>
      <c r="I716">
        <v>21</v>
      </c>
      <c r="J716">
        <v>0</v>
      </c>
      <c r="K716" t="s">
        <v>17</v>
      </c>
      <c r="L716" t="s">
        <v>17</v>
      </c>
      <c r="M716">
        <f>IF(Table1[[#This Row],[ألغى الاشتراك]]="نعم",1,0)</f>
        <v>0</v>
      </c>
      <c r="N716">
        <f>IF(Table1[[#This Row],[وسيلة الدفع]]="بطاقة",1,0)</f>
        <v>0</v>
      </c>
      <c r="O716">
        <f>IF(Table1[[#This Row],[وسيلة الدفع]]="محفظة",1,0)</f>
        <v>0</v>
      </c>
      <c r="P716">
        <f>IF(Table1[[#This Row],[وسيلة الدفع]]="تحويل",1,0)</f>
        <v>1</v>
      </c>
      <c r="Q716">
        <f>IF(Table1[[#This Row],[حضر التهيئة]]="نعم",1,0)</f>
        <v>0</v>
      </c>
      <c r="R716">
        <f>IF(Table1[[#This Row],[دورة الفوترة]]="شهري",1,0)</f>
        <v>0</v>
      </c>
    </row>
    <row r="717" spans="1:18" x14ac:dyDescent="0.25">
      <c r="A717" t="s">
        <v>737</v>
      </c>
      <c r="B717" s="1">
        <v>45462</v>
      </c>
      <c r="C717" t="s">
        <v>13</v>
      </c>
      <c r="D717">
        <v>89</v>
      </c>
      <c r="E717" t="s">
        <v>14</v>
      </c>
      <c r="F717">
        <v>4</v>
      </c>
      <c r="G717" t="s">
        <v>21</v>
      </c>
      <c r="H717">
        <v>1</v>
      </c>
      <c r="I717">
        <v>16</v>
      </c>
      <c r="J717">
        <v>0</v>
      </c>
      <c r="K717" t="s">
        <v>16</v>
      </c>
      <c r="L717" t="s">
        <v>17</v>
      </c>
      <c r="M717">
        <f>IF(Table1[[#This Row],[ألغى الاشتراك]]="نعم",1,0)</f>
        <v>0</v>
      </c>
      <c r="N717">
        <f>IF(Table1[[#This Row],[وسيلة الدفع]]="بطاقة",1,0)</f>
        <v>0</v>
      </c>
      <c r="O717">
        <f>IF(Table1[[#This Row],[وسيلة الدفع]]="محفظة",1,0)</f>
        <v>1</v>
      </c>
      <c r="P717">
        <f>IF(Table1[[#This Row],[وسيلة الدفع]]="تحويل",1,0)</f>
        <v>0</v>
      </c>
      <c r="Q717">
        <f>IF(Table1[[#This Row],[حضر التهيئة]]="نعم",1,0)</f>
        <v>1</v>
      </c>
      <c r="R717">
        <f>IF(Table1[[#This Row],[دورة الفوترة]]="شهري",1,0)</f>
        <v>1</v>
      </c>
    </row>
    <row r="718" spans="1:18" x14ac:dyDescent="0.25">
      <c r="A718" t="s">
        <v>738</v>
      </c>
      <c r="B718" s="1">
        <v>45627</v>
      </c>
      <c r="C718" t="s">
        <v>19</v>
      </c>
      <c r="D718">
        <v>189</v>
      </c>
      <c r="E718" t="s">
        <v>14</v>
      </c>
      <c r="F718">
        <v>21</v>
      </c>
      <c r="G718" t="s">
        <v>15</v>
      </c>
      <c r="H718">
        <v>1</v>
      </c>
      <c r="I718">
        <v>25</v>
      </c>
      <c r="J718">
        <v>25</v>
      </c>
      <c r="K718" t="s">
        <v>17</v>
      </c>
      <c r="L718" t="s">
        <v>17</v>
      </c>
      <c r="M718">
        <f>IF(Table1[[#This Row],[ألغى الاشتراك]]="نعم",1,0)</f>
        <v>0</v>
      </c>
      <c r="N718">
        <f>IF(Table1[[#This Row],[وسيلة الدفع]]="بطاقة",1,0)</f>
        <v>1</v>
      </c>
      <c r="O718">
        <f>IF(Table1[[#This Row],[وسيلة الدفع]]="محفظة",1,0)</f>
        <v>0</v>
      </c>
      <c r="P718">
        <f>IF(Table1[[#This Row],[وسيلة الدفع]]="تحويل",1,0)</f>
        <v>0</v>
      </c>
      <c r="Q718">
        <f>IF(Table1[[#This Row],[حضر التهيئة]]="نعم",1,0)</f>
        <v>0</v>
      </c>
      <c r="R718">
        <f>IF(Table1[[#This Row],[دورة الفوترة]]="شهري",1,0)</f>
        <v>1</v>
      </c>
    </row>
    <row r="719" spans="1:18" x14ac:dyDescent="0.25">
      <c r="A719" t="s">
        <v>739</v>
      </c>
      <c r="B719" s="1">
        <v>45325</v>
      </c>
      <c r="C719" t="s">
        <v>28</v>
      </c>
      <c r="D719">
        <v>39</v>
      </c>
      <c r="E719" t="s">
        <v>14</v>
      </c>
      <c r="F719">
        <v>11</v>
      </c>
      <c r="G719" t="s">
        <v>23</v>
      </c>
      <c r="H719">
        <v>0</v>
      </c>
      <c r="I719">
        <v>7</v>
      </c>
      <c r="J719">
        <v>10</v>
      </c>
      <c r="K719" t="s">
        <v>17</v>
      </c>
      <c r="L719" t="s">
        <v>17</v>
      </c>
      <c r="M719">
        <f>IF(Table1[[#This Row],[ألغى الاشتراك]]="نعم",1,0)</f>
        <v>0</v>
      </c>
      <c r="N719">
        <f>IF(Table1[[#This Row],[وسيلة الدفع]]="بطاقة",1,0)</f>
        <v>0</v>
      </c>
      <c r="O719">
        <f>IF(Table1[[#This Row],[وسيلة الدفع]]="محفظة",1,0)</f>
        <v>0</v>
      </c>
      <c r="P719">
        <f>IF(Table1[[#This Row],[وسيلة الدفع]]="تحويل",1,0)</f>
        <v>1</v>
      </c>
      <c r="Q719">
        <f>IF(Table1[[#This Row],[حضر التهيئة]]="نعم",1,0)</f>
        <v>0</v>
      </c>
      <c r="R719">
        <f>IF(Table1[[#This Row],[دورة الفوترة]]="شهري",1,0)</f>
        <v>1</v>
      </c>
    </row>
    <row r="720" spans="1:18" x14ac:dyDescent="0.25">
      <c r="A720" t="s">
        <v>740</v>
      </c>
      <c r="B720" s="1">
        <v>45720</v>
      </c>
      <c r="C720" t="s">
        <v>19</v>
      </c>
      <c r="D720">
        <v>189</v>
      </c>
      <c r="E720" t="s">
        <v>20</v>
      </c>
      <c r="F720">
        <v>23</v>
      </c>
      <c r="G720" t="s">
        <v>23</v>
      </c>
      <c r="H720">
        <v>0</v>
      </c>
      <c r="I720">
        <v>3</v>
      </c>
      <c r="J720">
        <v>0</v>
      </c>
      <c r="K720" t="s">
        <v>17</v>
      </c>
      <c r="L720" t="s">
        <v>17</v>
      </c>
      <c r="M720">
        <f>IF(Table1[[#This Row],[ألغى الاشتراك]]="نعم",1,0)</f>
        <v>0</v>
      </c>
      <c r="N720">
        <f>IF(Table1[[#This Row],[وسيلة الدفع]]="بطاقة",1,0)</f>
        <v>0</v>
      </c>
      <c r="O720">
        <f>IF(Table1[[#This Row],[وسيلة الدفع]]="محفظة",1,0)</f>
        <v>0</v>
      </c>
      <c r="P720">
        <f>IF(Table1[[#This Row],[وسيلة الدفع]]="تحويل",1,0)</f>
        <v>1</v>
      </c>
      <c r="Q720">
        <f>IF(Table1[[#This Row],[حضر التهيئة]]="نعم",1,0)</f>
        <v>0</v>
      </c>
      <c r="R720">
        <f>IF(Table1[[#This Row],[دورة الفوترة]]="شهري",1,0)</f>
        <v>0</v>
      </c>
    </row>
    <row r="721" spans="1:18" x14ac:dyDescent="0.25">
      <c r="A721" t="s">
        <v>741</v>
      </c>
      <c r="B721" s="1">
        <v>45525</v>
      </c>
      <c r="C721" t="s">
        <v>28</v>
      </c>
      <c r="D721">
        <v>39</v>
      </c>
      <c r="E721" t="s">
        <v>20</v>
      </c>
      <c r="F721">
        <v>22</v>
      </c>
      <c r="G721" t="s">
        <v>21</v>
      </c>
      <c r="H721">
        <v>5</v>
      </c>
      <c r="I721">
        <v>30</v>
      </c>
      <c r="J721">
        <v>0</v>
      </c>
      <c r="K721" t="s">
        <v>17</v>
      </c>
      <c r="L721" t="s">
        <v>16</v>
      </c>
      <c r="M721">
        <f>IF(Table1[[#This Row],[ألغى الاشتراك]]="نعم",1,0)</f>
        <v>1</v>
      </c>
      <c r="N721">
        <f>IF(Table1[[#This Row],[وسيلة الدفع]]="بطاقة",1,0)</f>
        <v>0</v>
      </c>
      <c r="O721">
        <f>IF(Table1[[#This Row],[وسيلة الدفع]]="محفظة",1,0)</f>
        <v>1</v>
      </c>
      <c r="P721">
        <f>IF(Table1[[#This Row],[وسيلة الدفع]]="تحويل",1,0)</f>
        <v>0</v>
      </c>
      <c r="Q721">
        <f>IF(Table1[[#This Row],[حضر التهيئة]]="نعم",1,0)</f>
        <v>0</v>
      </c>
      <c r="R721">
        <f>IF(Table1[[#This Row],[دورة الفوترة]]="شهري",1,0)</f>
        <v>0</v>
      </c>
    </row>
    <row r="722" spans="1:18" x14ac:dyDescent="0.25">
      <c r="A722" t="s">
        <v>742</v>
      </c>
      <c r="B722" s="1">
        <v>45906</v>
      </c>
      <c r="C722" t="s">
        <v>19</v>
      </c>
      <c r="D722">
        <v>189</v>
      </c>
      <c r="E722" t="s">
        <v>14</v>
      </c>
      <c r="F722">
        <v>15</v>
      </c>
      <c r="G722" t="s">
        <v>15</v>
      </c>
      <c r="H722">
        <v>1</v>
      </c>
      <c r="I722">
        <v>25</v>
      </c>
      <c r="J722">
        <v>0</v>
      </c>
      <c r="K722" t="s">
        <v>16</v>
      </c>
      <c r="L722" t="s">
        <v>17</v>
      </c>
      <c r="M722">
        <f>IF(Table1[[#This Row],[ألغى الاشتراك]]="نعم",1,0)</f>
        <v>0</v>
      </c>
      <c r="N722">
        <f>IF(Table1[[#This Row],[وسيلة الدفع]]="بطاقة",1,0)</f>
        <v>1</v>
      </c>
      <c r="O722">
        <f>IF(Table1[[#This Row],[وسيلة الدفع]]="محفظة",1,0)</f>
        <v>0</v>
      </c>
      <c r="P722">
        <f>IF(Table1[[#This Row],[وسيلة الدفع]]="تحويل",1,0)</f>
        <v>0</v>
      </c>
      <c r="Q722">
        <f>IF(Table1[[#This Row],[حضر التهيئة]]="نعم",1,0)</f>
        <v>1</v>
      </c>
      <c r="R722">
        <f>IF(Table1[[#This Row],[دورة الفوترة]]="شهري",1,0)</f>
        <v>1</v>
      </c>
    </row>
    <row r="723" spans="1:18" x14ac:dyDescent="0.25">
      <c r="A723" t="s">
        <v>743</v>
      </c>
      <c r="B723" s="1">
        <v>45584</v>
      </c>
      <c r="C723" t="s">
        <v>13</v>
      </c>
      <c r="D723">
        <v>89</v>
      </c>
      <c r="E723" t="s">
        <v>14</v>
      </c>
      <c r="F723">
        <v>18</v>
      </c>
      <c r="G723" t="s">
        <v>15</v>
      </c>
      <c r="H723">
        <v>7</v>
      </c>
      <c r="I723">
        <v>44</v>
      </c>
      <c r="J723">
        <v>0</v>
      </c>
      <c r="K723" t="s">
        <v>17</v>
      </c>
      <c r="L723" t="s">
        <v>17</v>
      </c>
      <c r="M723">
        <f>IF(Table1[[#This Row],[ألغى الاشتراك]]="نعم",1,0)</f>
        <v>0</v>
      </c>
      <c r="N723">
        <f>IF(Table1[[#This Row],[وسيلة الدفع]]="بطاقة",1,0)</f>
        <v>1</v>
      </c>
      <c r="O723">
        <f>IF(Table1[[#This Row],[وسيلة الدفع]]="محفظة",1,0)</f>
        <v>0</v>
      </c>
      <c r="P723">
        <f>IF(Table1[[#This Row],[وسيلة الدفع]]="تحويل",1,0)</f>
        <v>0</v>
      </c>
      <c r="Q723">
        <f>IF(Table1[[#This Row],[حضر التهيئة]]="نعم",1,0)</f>
        <v>0</v>
      </c>
      <c r="R723">
        <f>IF(Table1[[#This Row],[دورة الفوترة]]="شهري",1,0)</f>
        <v>1</v>
      </c>
    </row>
    <row r="724" spans="1:18" x14ac:dyDescent="0.25">
      <c r="A724" t="s">
        <v>744</v>
      </c>
      <c r="B724" s="1">
        <v>45866</v>
      </c>
      <c r="C724" t="s">
        <v>28</v>
      </c>
      <c r="D724">
        <v>39</v>
      </c>
      <c r="E724" t="s">
        <v>20</v>
      </c>
      <c r="F724">
        <v>27</v>
      </c>
      <c r="G724" t="s">
        <v>15</v>
      </c>
      <c r="H724">
        <v>8</v>
      </c>
      <c r="I724">
        <v>25</v>
      </c>
      <c r="J724">
        <v>0</v>
      </c>
      <c r="K724" t="s">
        <v>16</v>
      </c>
      <c r="L724" t="s">
        <v>16</v>
      </c>
      <c r="M724">
        <f>IF(Table1[[#This Row],[ألغى الاشتراك]]="نعم",1,0)</f>
        <v>1</v>
      </c>
      <c r="N724">
        <f>IF(Table1[[#This Row],[وسيلة الدفع]]="بطاقة",1,0)</f>
        <v>1</v>
      </c>
      <c r="O724">
        <f>IF(Table1[[#This Row],[وسيلة الدفع]]="محفظة",1,0)</f>
        <v>0</v>
      </c>
      <c r="P724">
        <f>IF(Table1[[#This Row],[وسيلة الدفع]]="تحويل",1,0)</f>
        <v>0</v>
      </c>
      <c r="Q724">
        <f>IF(Table1[[#This Row],[حضر التهيئة]]="نعم",1,0)</f>
        <v>1</v>
      </c>
      <c r="R724">
        <f>IF(Table1[[#This Row],[دورة الفوترة]]="شهري",1,0)</f>
        <v>0</v>
      </c>
    </row>
    <row r="725" spans="1:18" x14ac:dyDescent="0.25">
      <c r="A725" t="s">
        <v>745</v>
      </c>
      <c r="B725" s="1">
        <v>45403</v>
      </c>
      <c r="C725" t="s">
        <v>13</v>
      </c>
      <c r="D725">
        <v>89</v>
      </c>
      <c r="E725" t="s">
        <v>20</v>
      </c>
      <c r="F725">
        <v>20</v>
      </c>
      <c r="G725" t="s">
        <v>15</v>
      </c>
      <c r="H725">
        <v>1</v>
      </c>
      <c r="I725">
        <v>58</v>
      </c>
      <c r="J725">
        <v>0</v>
      </c>
      <c r="K725" t="s">
        <v>16</v>
      </c>
      <c r="L725" t="s">
        <v>17</v>
      </c>
      <c r="M725">
        <f>IF(Table1[[#This Row],[ألغى الاشتراك]]="نعم",1,0)</f>
        <v>0</v>
      </c>
      <c r="N725">
        <f>IF(Table1[[#This Row],[وسيلة الدفع]]="بطاقة",1,0)</f>
        <v>1</v>
      </c>
      <c r="O725">
        <f>IF(Table1[[#This Row],[وسيلة الدفع]]="محفظة",1,0)</f>
        <v>0</v>
      </c>
      <c r="P725">
        <f>IF(Table1[[#This Row],[وسيلة الدفع]]="تحويل",1,0)</f>
        <v>0</v>
      </c>
      <c r="Q725">
        <f>IF(Table1[[#This Row],[حضر التهيئة]]="نعم",1,0)</f>
        <v>1</v>
      </c>
      <c r="R725">
        <f>IF(Table1[[#This Row],[دورة الفوترة]]="شهري",1,0)</f>
        <v>0</v>
      </c>
    </row>
    <row r="726" spans="1:18" x14ac:dyDescent="0.25">
      <c r="A726" t="s">
        <v>746</v>
      </c>
      <c r="B726" s="1">
        <v>45683</v>
      </c>
      <c r="C726" t="s">
        <v>13</v>
      </c>
      <c r="D726">
        <v>89</v>
      </c>
      <c r="E726" t="s">
        <v>20</v>
      </c>
      <c r="F726">
        <v>27</v>
      </c>
      <c r="G726" t="s">
        <v>23</v>
      </c>
      <c r="H726">
        <v>0</v>
      </c>
      <c r="I726">
        <v>13</v>
      </c>
      <c r="J726">
        <v>0</v>
      </c>
      <c r="K726" t="s">
        <v>16</v>
      </c>
      <c r="L726" t="s">
        <v>17</v>
      </c>
      <c r="M726">
        <f>IF(Table1[[#This Row],[ألغى الاشتراك]]="نعم",1,0)</f>
        <v>0</v>
      </c>
      <c r="N726">
        <f>IF(Table1[[#This Row],[وسيلة الدفع]]="بطاقة",1,0)</f>
        <v>0</v>
      </c>
      <c r="O726">
        <f>IF(Table1[[#This Row],[وسيلة الدفع]]="محفظة",1,0)</f>
        <v>0</v>
      </c>
      <c r="P726">
        <f>IF(Table1[[#This Row],[وسيلة الدفع]]="تحويل",1,0)</f>
        <v>1</v>
      </c>
      <c r="Q726">
        <f>IF(Table1[[#This Row],[حضر التهيئة]]="نعم",1,0)</f>
        <v>1</v>
      </c>
      <c r="R726">
        <f>IF(Table1[[#This Row],[دورة الفوترة]]="شهري",1,0)</f>
        <v>0</v>
      </c>
    </row>
    <row r="727" spans="1:18" x14ac:dyDescent="0.25">
      <c r="A727" t="s">
        <v>747</v>
      </c>
      <c r="B727" s="1">
        <v>45732</v>
      </c>
      <c r="C727" t="s">
        <v>19</v>
      </c>
      <c r="D727">
        <v>189</v>
      </c>
      <c r="E727" t="s">
        <v>20</v>
      </c>
      <c r="F727">
        <v>18</v>
      </c>
      <c r="G727" t="s">
        <v>23</v>
      </c>
      <c r="H727">
        <v>0</v>
      </c>
      <c r="I727">
        <v>16</v>
      </c>
      <c r="J727">
        <v>15</v>
      </c>
      <c r="K727" t="s">
        <v>16</v>
      </c>
      <c r="L727" t="s">
        <v>17</v>
      </c>
      <c r="M727">
        <f>IF(Table1[[#This Row],[ألغى الاشتراك]]="نعم",1,0)</f>
        <v>0</v>
      </c>
      <c r="N727">
        <f>IF(Table1[[#This Row],[وسيلة الدفع]]="بطاقة",1,0)</f>
        <v>0</v>
      </c>
      <c r="O727">
        <f>IF(Table1[[#This Row],[وسيلة الدفع]]="محفظة",1,0)</f>
        <v>0</v>
      </c>
      <c r="P727">
        <f>IF(Table1[[#This Row],[وسيلة الدفع]]="تحويل",1,0)</f>
        <v>1</v>
      </c>
      <c r="Q727">
        <f>IF(Table1[[#This Row],[حضر التهيئة]]="نعم",1,0)</f>
        <v>1</v>
      </c>
      <c r="R727">
        <f>IF(Table1[[#This Row],[دورة الفوترة]]="شهري",1,0)</f>
        <v>0</v>
      </c>
    </row>
    <row r="728" spans="1:18" x14ac:dyDescent="0.25">
      <c r="A728" t="s">
        <v>748</v>
      </c>
      <c r="B728" s="1">
        <v>45663</v>
      </c>
      <c r="C728" t="s">
        <v>28</v>
      </c>
      <c r="D728">
        <v>39</v>
      </c>
      <c r="E728" t="s">
        <v>14</v>
      </c>
      <c r="F728">
        <v>12</v>
      </c>
      <c r="G728" t="s">
        <v>21</v>
      </c>
      <c r="H728">
        <v>7</v>
      </c>
      <c r="I728">
        <v>22</v>
      </c>
      <c r="J728">
        <v>5</v>
      </c>
      <c r="K728" t="s">
        <v>17</v>
      </c>
      <c r="L728" t="s">
        <v>17</v>
      </c>
      <c r="M728">
        <f>IF(Table1[[#This Row],[ألغى الاشتراك]]="نعم",1,0)</f>
        <v>0</v>
      </c>
      <c r="N728">
        <f>IF(Table1[[#This Row],[وسيلة الدفع]]="بطاقة",1,0)</f>
        <v>0</v>
      </c>
      <c r="O728">
        <f>IF(Table1[[#This Row],[وسيلة الدفع]]="محفظة",1,0)</f>
        <v>1</v>
      </c>
      <c r="P728">
        <f>IF(Table1[[#This Row],[وسيلة الدفع]]="تحويل",1,0)</f>
        <v>0</v>
      </c>
      <c r="Q728">
        <f>IF(Table1[[#This Row],[حضر التهيئة]]="نعم",1,0)</f>
        <v>0</v>
      </c>
      <c r="R728">
        <f>IF(Table1[[#This Row],[دورة الفوترة]]="شهري",1,0)</f>
        <v>1</v>
      </c>
    </row>
    <row r="729" spans="1:18" x14ac:dyDescent="0.25">
      <c r="A729" t="s">
        <v>749</v>
      </c>
      <c r="B729" s="1">
        <v>45458</v>
      </c>
      <c r="C729" t="s">
        <v>13</v>
      </c>
      <c r="D729">
        <v>89</v>
      </c>
      <c r="E729" t="s">
        <v>20</v>
      </c>
      <c r="F729">
        <v>10</v>
      </c>
      <c r="G729" t="s">
        <v>21</v>
      </c>
      <c r="H729">
        <v>2</v>
      </c>
      <c r="I729">
        <v>2</v>
      </c>
      <c r="J729">
        <v>0</v>
      </c>
      <c r="K729" t="s">
        <v>16</v>
      </c>
      <c r="L729" t="s">
        <v>17</v>
      </c>
      <c r="M729">
        <f>IF(Table1[[#This Row],[ألغى الاشتراك]]="نعم",1,0)</f>
        <v>0</v>
      </c>
      <c r="N729">
        <f>IF(Table1[[#This Row],[وسيلة الدفع]]="بطاقة",1,0)</f>
        <v>0</v>
      </c>
      <c r="O729">
        <f>IF(Table1[[#This Row],[وسيلة الدفع]]="محفظة",1,0)</f>
        <v>1</v>
      </c>
      <c r="P729">
        <f>IF(Table1[[#This Row],[وسيلة الدفع]]="تحويل",1,0)</f>
        <v>0</v>
      </c>
      <c r="Q729">
        <f>IF(Table1[[#This Row],[حضر التهيئة]]="نعم",1,0)</f>
        <v>1</v>
      </c>
      <c r="R729">
        <f>IF(Table1[[#This Row],[دورة الفوترة]]="شهري",1,0)</f>
        <v>0</v>
      </c>
    </row>
    <row r="730" spans="1:18" x14ac:dyDescent="0.25">
      <c r="A730" t="s">
        <v>750</v>
      </c>
      <c r="B730" s="1">
        <v>45989</v>
      </c>
      <c r="C730" t="s">
        <v>19</v>
      </c>
      <c r="D730">
        <v>189</v>
      </c>
      <c r="E730" t="s">
        <v>20</v>
      </c>
      <c r="F730">
        <v>21</v>
      </c>
      <c r="G730" t="s">
        <v>23</v>
      </c>
      <c r="H730">
        <v>1</v>
      </c>
      <c r="I730">
        <v>33</v>
      </c>
      <c r="J730">
        <v>0</v>
      </c>
      <c r="K730" t="s">
        <v>17</v>
      </c>
      <c r="L730" t="s">
        <v>17</v>
      </c>
      <c r="M730">
        <f>IF(Table1[[#This Row],[ألغى الاشتراك]]="نعم",1,0)</f>
        <v>0</v>
      </c>
      <c r="N730">
        <f>IF(Table1[[#This Row],[وسيلة الدفع]]="بطاقة",1,0)</f>
        <v>0</v>
      </c>
      <c r="O730">
        <f>IF(Table1[[#This Row],[وسيلة الدفع]]="محفظة",1,0)</f>
        <v>0</v>
      </c>
      <c r="P730">
        <f>IF(Table1[[#This Row],[وسيلة الدفع]]="تحويل",1,0)</f>
        <v>1</v>
      </c>
      <c r="Q730">
        <f>IF(Table1[[#This Row],[حضر التهيئة]]="نعم",1,0)</f>
        <v>0</v>
      </c>
      <c r="R730">
        <f>IF(Table1[[#This Row],[دورة الفوترة]]="شهري",1,0)</f>
        <v>0</v>
      </c>
    </row>
    <row r="731" spans="1:18" x14ac:dyDescent="0.25">
      <c r="A731" t="s">
        <v>751</v>
      </c>
      <c r="B731" s="1">
        <v>45631</v>
      </c>
      <c r="C731" t="s">
        <v>28</v>
      </c>
      <c r="D731">
        <v>39</v>
      </c>
      <c r="E731" t="s">
        <v>14</v>
      </c>
      <c r="F731">
        <v>26</v>
      </c>
      <c r="G731" t="s">
        <v>23</v>
      </c>
      <c r="H731">
        <v>2</v>
      </c>
      <c r="I731">
        <v>54</v>
      </c>
      <c r="J731">
        <v>0</v>
      </c>
      <c r="K731" t="s">
        <v>17</v>
      </c>
      <c r="L731" t="s">
        <v>16</v>
      </c>
      <c r="M731">
        <f>IF(Table1[[#This Row],[ألغى الاشتراك]]="نعم",1,0)</f>
        <v>1</v>
      </c>
      <c r="N731">
        <f>IF(Table1[[#This Row],[وسيلة الدفع]]="بطاقة",1,0)</f>
        <v>0</v>
      </c>
      <c r="O731">
        <f>IF(Table1[[#This Row],[وسيلة الدفع]]="محفظة",1,0)</f>
        <v>0</v>
      </c>
      <c r="P731">
        <f>IF(Table1[[#This Row],[وسيلة الدفع]]="تحويل",1,0)</f>
        <v>1</v>
      </c>
      <c r="Q731">
        <f>IF(Table1[[#This Row],[حضر التهيئة]]="نعم",1,0)</f>
        <v>0</v>
      </c>
      <c r="R731">
        <f>IF(Table1[[#This Row],[دورة الفوترة]]="شهري",1,0)</f>
        <v>1</v>
      </c>
    </row>
    <row r="732" spans="1:18" x14ac:dyDescent="0.25">
      <c r="A732" t="s">
        <v>752</v>
      </c>
      <c r="B732" s="1">
        <v>45926</v>
      </c>
      <c r="C732" t="s">
        <v>13</v>
      </c>
      <c r="D732">
        <v>89</v>
      </c>
      <c r="E732" t="s">
        <v>14</v>
      </c>
      <c r="F732">
        <v>7</v>
      </c>
      <c r="G732" t="s">
        <v>21</v>
      </c>
      <c r="H732">
        <v>0</v>
      </c>
      <c r="I732">
        <v>45</v>
      </c>
      <c r="J732">
        <v>0</v>
      </c>
      <c r="K732" t="s">
        <v>16</v>
      </c>
      <c r="L732" t="s">
        <v>17</v>
      </c>
      <c r="M732">
        <f>IF(Table1[[#This Row],[ألغى الاشتراك]]="نعم",1,0)</f>
        <v>0</v>
      </c>
      <c r="N732">
        <f>IF(Table1[[#This Row],[وسيلة الدفع]]="بطاقة",1,0)</f>
        <v>0</v>
      </c>
      <c r="O732">
        <f>IF(Table1[[#This Row],[وسيلة الدفع]]="محفظة",1,0)</f>
        <v>1</v>
      </c>
      <c r="P732">
        <f>IF(Table1[[#This Row],[وسيلة الدفع]]="تحويل",1,0)</f>
        <v>0</v>
      </c>
      <c r="Q732">
        <f>IF(Table1[[#This Row],[حضر التهيئة]]="نعم",1,0)</f>
        <v>1</v>
      </c>
      <c r="R732">
        <f>IF(Table1[[#This Row],[دورة الفوترة]]="شهري",1,0)</f>
        <v>1</v>
      </c>
    </row>
    <row r="733" spans="1:18" x14ac:dyDescent="0.25">
      <c r="A733" t="s">
        <v>753</v>
      </c>
      <c r="B733" s="1">
        <v>45341</v>
      </c>
      <c r="C733" t="s">
        <v>13</v>
      </c>
      <c r="D733">
        <v>89</v>
      </c>
      <c r="E733" t="s">
        <v>14</v>
      </c>
      <c r="F733">
        <v>14</v>
      </c>
      <c r="G733" t="s">
        <v>21</v>
      </c>
      <c r="H733">
        <v>1</v>
      </c>
      <c r="I733">
        <v>46</v>
      </c>
      <c r="J733">
        <v>0</v>
      </c>
      <c r="K733" t="s">
        <v>17</v>
      </c>
      <c r="L733" t="s">
        <v>17</v>
      </c>
      <c r="M733">
        <f>IF(Table1[[#This Row],[ألغى الاشتراك]]="نعم",1,0)</f>
        <v>0</v>
      </c>
      <c r="N733">
        <f>IF(Table1[[#This Row],[وسيلة الدفع]]="بطاقة",1,0)</f>
        <v>0</v>
      </c>
      <c r="O733">
        <f>IF(Table1[[#This Row],[وسيلة الدفع]]="محفظة",1,0)</f>
        <v>1</v>
      </c>
      <c r="P733">
        <f>IF(Table1[[#This Row],[وسيلة الدفع]]="تحويل",1,0)</f>
        <v>0</v>
      </c>
      <c r="Q733">
        <f>IF(Table1[[#This Row],[حضر التهيئة]]="نعم",1,0)</f>
        <v>0</v>
      </c>
      <c r="R733">
        <f>IF(Table1[[#This Row],[دورة الفوترة]]="شهري",1,0)</f>
        <v>1</v>
      </c>
    </row>
    <row r="734" spans="1:18" x14ac:dyDescent="0.25">
      <c r="A734" t="s">
        <v>754</v>
      </c>
      <c r="B734" s="1">
        <v>45403</v>
      </c>
      <c r="C734" t="s">
        <v>19</v>
      </c>
      <c r="D734">
        <v>189</v>
      </c>
      <c r="E734" t="s">
        <v>20</v>
      </c>
      <c r="F734">
        <v>7</v>
      </c>
      <c r="G734" t="s">
        <v>15</v>
      </c>
      <c r="H734">
        <v>0</v>
      </c>
      <c r="I734">
        <v>43</v>
      </c>
      <c r="J734">
        <v>25</v>
      </c>
      <c r="K734" t="s">
        <v>16</v>
      </c>
      <c r="L734" t="s">
        <v>17</v>
      </c>
      <c r="M734">
        <f>IF(Table1[[#This Row],[ألغى الاشتراك]]="نعم",1,0)</f>
        <v>0</v>
      </c>
      <c r="N734">
        <f>IF(Table1[[#This Row],[وسيلة الدفع]]="بطاقة",1,0)</f>
        <v>1</v>
      </c>
      <c r="O734">
        <f>IF(Table1[[#This Row],[وسيلة الدفع]]="محفظة",1,0)</f>
        <v>0</v>
      </c>
      <c r="P734">
        <f>IF(Table1[[#This Row],[وسيلة الدفع]]="تحويل",1,0)</f>
        <v>0</v>
      </c>
      <c r="Q734">
        <f>IF(Table1[[#This Row],[حضر التهيئة]]="نعم",1,0)</f>
        <v>1</v>
      </c>
      <c r="R734">
        <f>IF(Table1[[#This Row],[دورة الفوترة]]="شهري",1,0)</f>
        <v>0</v>
      </c>
    </row>
    <row r="735" spans="1:18" x14ac:dyDescent="0.25">
      <c r="A735" t="s">
        <v>755</v>
      </c>
      <c r="B735" s="1">
        <v>45803</v>
      </c>
      <c r="C735" t="s">
        <v>19</v>
      </c>
      <c r="D735">
        <v>189</v>
      </c>
      <c r="E735" t="s">
        <v>14</v>
      </c>
      <c r="F735">
        <v>17</v>
      </c>
      <c r="G735" t="s">
        <v>15</v>
      </c>
      <c r="H735">
        <v>2</v>
      </c>
      <c r="I735">
        <v>27</v>
      </c>
      <c r="J735">
        <v>0</v>
      </c>
      <c r="K735" t="s">
        <v>16</v>
      </c>
      <c r="L735" t="s">
        <v>17</v>
      </c>
      <c r="M735">
        <f>IF(Table1[[#This Row],[ألغى الاشتراك]]="نعم",1,0)</f>
        <v>0</v>
      </c>
      <c r="N735">
        <f>IF(Table1[[#This Row],[وسيلة الدفع]]="بطاقة",1,0)</f>
        <v>1</v>
      </c>
      <c r="O735">
        <f>IF(Table1[[#This Row],[وسيلة الدفع]]="محفظة",1,0)</f>
        <v>0</v>
      </c>
      <c r="P735">
        <f>IF(Table1[[#This Row],[وسيلة الدفع]]="تحويل",1,0)</f>
        <v>0</v>
      </c>
      <c r="Q735">
        <f>IF(Table1[[#This Row],[حضر التهيئة]]="نعم",1,0)</f>
        <v>1</v>
      </c>
      <c r="R735">
        <f>IF(Table1[[#This Row],[دورة الفوترة]]="شهري",1,0)</f>
        <v>1</v>
      </c>
    </row>
    <row r="736" spans="1:18" x14ac:dyDescent="0.25">
      <c r="A736" t="s">
        <v>756</v>
      </c>
      <c r="B736" s="1">
        <v>45973</v>
      </c>
      <c r="C736" t="s">
        <v>19</v>
      </c>
      <c r="D736">
        <v>189</v>
      </c>
      <c r="E736" t="s">
        <v>14</v>
      </c>
      <c r="F736">
        <v>6</v>
      </c>
      <c r="G736" t="s">
        <v>21</v>
      </c>
      <c r="H736">
        <v>1</v>
      </c>
      <c r="I736">
        <v>40</v>
      </c>
      <c r="J736">
        <v>15</v>
      </c>
      <c r="K736" t="s">
        <v>17</v>
      </c>
      <c r="L736" t="s">
        <v>17</v>
      </c>
      <c r="M736">
        <f>IF(Table1[[#This Row],[ألغى الاشتراك]]="نعم",1,0)</f>
        <v>0</v>
      </c>
      <c r="N736">
        <f>IF(Table1[[#This Row],[وسيلة الدفع]]="بطاقة",1,0)</f>
        <v>0</v>
      </c>
      <c r="O736">
        <f>IF(Table1[[#This Row],[وسيلة الدفع]]="محفظة",1,0)</f>
        <v>1</v>
      </c>
      <c r="P736">
        <f>IF(Table1[[#This Row],[وسيلة الدفع]]="تحويل",1,0)</f>
        <v>0</v>
      </c>
      <c r="Q736">
        <f>IF(Table1[[#This Row],[حضر التهيئة]]="نعم",1,0)</f>
        <v>0</v>
      </c>
      <c r="R736">
        <f>IF(Table1[[#This Row],[دورة الفوترة]]="شهري",1,0)</f>
        <v>1</v>
      </c>
    </row>
    <row r="737" spans="1:18" x14ac:dyDescent="0.25">
      <c r="A737" t="s">
        <v>757</v>
      </c>
      <c r="B737" s="1">
        <v>45647</v>
      </c>
      <c r="C737" t="s">
        <v>19</v>
      </c>
      <c r="D737">
        <v>189</v>
      </c>
      <c r="E737" t="s">
        <v>14</v>
      </c>
      <c r="F737">
        <v>24</v>
      </c>
      <c r="G737" t="s">
        <v>15</v>
      </c>
      <c r="H737">
        <v>1</v>
      </c>
      <c r="I737">
        <v>30</v>
      </c>
      <c r="J737">
        <v>0</v>
      </c>
      <c r="K737" t="s">
        <v>16</v>
      </c>
      <c r="L737" t="s">
        <v>17</v>
      </c>
      <c r="M737">
        <f>IF(Table1[[#This Row],[ألغى الاشتراك]]="نعم",1,0)</f>
        <v>0</v>
      </c>
      <c r="N737">
        <f>IF(Table1[[#This Row],[وسيلة الدفع]]="بطاقة",1,0)</f>
        <v>1</v>
      </c>
      <c r="O737">
        <f>IF(Table1[[#This Row],[وسيلة الدفع]]="محفظة",1,0)</f>
        <v>0</v>
      </c>
      <c r="P737">
        <f>IF(Table1[[#This Row],[وسيلة الدفع]]="تحويل",1,0)</f>
        <v>0</v>
      </c>
      <c r="Q737">
        <f>IF(Table1[[#This Row],[حضر التهيئة]]="نعم",1,0)</f>
        <v>1</v>
      </c>
      <c r="R737">
        <f>IF(Table1[[#This Row],[دورة الفوترة]]="شهري",1,0)</f>
        <v>1</v>
      </c>
    </row>
    <row r="738" spans="1:18" x14ac:dyDescent="0.25">
      <c r="A738" t="s">
        <v>758</v>
      </c>
      <c r="B738" s="1">
        <v>45902</v>
      </c>
      <c r="C738" t="s">
        <v>28</v>
      </c>
      <c r="D738">
        <v>39</v>
      </c>
      <c r="E738" t="s">
        <v>20</v>
      </c>
      <c r="F738">
        <v>7</v>
      </c>
      <c r="G738" t="s">
        <v>23</v>
      </c>
      <c r="H738">
        <v>4</v>
      </c>
      <c r="I738">
        <v>25</v>
      </c>
      <c r="J738">
        <v>0</v>
      </c>
      <c r="K738" t="s">
        <v>17</v>
      </c>
      <c r="L738" t="s">
        <v>17</v>
      </c>
      <c r="M738">
        <f>IF(Table1[[#This Row],[ألغى الاشتراك]]="نعم",1,0)</f>
        <v>0</v>
      </c>
      <c r="N738">
        <f>IF(Table1[[#This Row],[وسيلة الدفع]]="بطاقة",1,0)</f>
        <v>0</v>
      </c>
      <c r="O738">
        <f>IF(Table1[[#This Row],[وسيلة الدفع]]="محفظة",1,0)</f>
        <v>0</v>
      </c>
      <c r="P738">
        <f>IF(Table1[[#This Row],[وسيلة الدفع]]="تحويل",1,0)</f>
        <v>1</v>
      </c>
      <c r="Q738">
        <f>IF(Table1[[#This Row],[حضر التهيئة]]="نعم",1,0)</f>
        <v>0</v>
      </c>
      <c r="R738">
        <f>IF(Table1[[#This Row],[دورة الفوترة]]="شهري",1,0)</f>
        <v>0</v>
      </c>
    </row>
    <row r="739" spans="1:18" x14ac:dyDescent="0.25">
      <c r="A739" t="s">
        <v>759</v>
      </c>
      <c r="B739" s="1">
        <v>45728</v>
      </c>
      <c r="C739" t="s">
        <v>28</v>
      </c>
      <c r="D739">
        <v>39</v>
      </c>
      <c r="E739" t="s">
        <v>20</v>
      </c>
      <c r="F739">
        <v>12</v>
      </c>
      <c r="G739" t="s">
        <v>23</v>
      </c>
      <c r="H739">
        <v>3</v>
      </c>
      <c r="I739">
        <v>40</v>
      </c>
      <c r="J739">
        <v>15</v>
      </c>
      <c r="K739" t="s">
        <v>16</v>
      </c>
      <c r="L739" t="s">
        <v>17</v>
      </c>
      <c r="M739">
        <f>IF(Table1[[#This Row],[ألغى الاشتراك]]="نعم",1,0)</f>
        <v>0</v>
      </c>
      <c r="N739">
        <f>IF(Table1[[#This Row],[وسيلة الدفع]]="بطاقة",1,0)</f>
        <v>0</v>
      </c>
      <c r="O739">
        <f>IF(Table1[[#This Row],[وسيلة الدفع]]="محفظة",1,0)</f>
        <v>0</v>
      </c>
      <c r="P739">
        <f>IF(Table1[[#This Row],[وسيلة الدفع]]="تحويل",1,0)</f>
        <v>1</v>
      </c>
      <c r="Q739">
        <f>IF(Table1[[#This Row],[حضر التهيئة]]="نعم",1,0)</f>
        <v>1</v>
      </c>
      <c r="R739">
        <f>IF(Table1[[#This Row],[دورة الفوترة]]="شهري",1,0)</f>
        <v>0</v>
      </c>
    </row>
    <row r="740" spans="1:18" x14ac:dyDescent="0.25">
      <c r="A740" t="s">
        <v>760</v>
      </c>
      <c r="B740" s="1">
        <v>45651</v>
      </c>
      <c r="C740" t="s">
        <v>13</v>
      </c>
      <c r="D740">
        <v>89</v>
      </c>
      <c r="E740" t="s">
        <v>14</v>
      </c>
      <c r="F740">
        <v>14</v>
      </c>
      <c r="G740" t="s">
        <v>21</v>
      </c>
      <c r="H740">
        <v>5</v>
      </c>
      <c r="I740">
        <v>30</v>
      </c>
      <c r="J740">
        <v>0</v>
      </c>
      <c r="K740" t="s">
        <v>16</v>
      </c>
      <c r="L740" t="s">
        <v>17</v>
      </c>
      <c r="M740">
        <f>IF(Table1[[#This Row],[ألغى الاشتراك]]="نعم",1,0)</f>
        <v>0</v>
      </c>
      <c r="N740">
        <f>IF(Table1[[#This Row],[وسيلة الدفع]]="بطاقة",1,0)</f>
        <v>0</v>
      </c>
      <c r="O740">
        <f>IF(Table1[[#This Row],[وسيلة الدفع]]="محفظة",1,0)</f>
        <v>1</v>
      </c>
      <c r="P740">
        <f>IF(Table1[[#This Row],[وسيلة الدفع]]="تحويل",1,0)</f>
        <v>0</v>
      </c>
      <c r="Q740">
        <f>IF(Table1[[#This Row],[حضر التهيئة]]="نعم",1,0)</f>
        <v>1</v>
      </c>
      <c r="R740">
        <f>IF(Table1[[#This Row],[دورة الفوترة]]="شهري",1,0)</f>
        <v>1</v>
      </c>
    </row>
    <row r="741" spans="1:18" x14ac:dyDescent="0.25">
      <c r="A741" t="s">
        <v>761</v>
      </c>
      <c r="B741" s="1">
        <v>45667</v>
      </c>
      <c r="C741" t="s">
        <v>19</v>
      </c>
      <c r="D741">
        <v>189</v>
      </c>
      <c r="E741" t="s">
        <v>20</v>
      </c>
      <c r="F741">
        <v>15</v>
      </c>
      <c r="G741" t="s">
        <v>15</v>
      </c>
      <c r="H741">
        <v>9</v>
      </c>
      <c r="I741">
        <v>17</v>
      </c>
      <c r="J741">
        <v>0</v>
      </c>
      <c r="K741" t="s">
        <v>16</v>
      </c>
      <c r="L741" t="s">
        <v>17</v>
      </c>
      <c r="M741">
        <f>IF(Table1[[#This Row],[ألغى الاشتراك]]="نعم",1,0)</f>
        <v>0</v>
      </c>
      <c r="N741">
        <f>IF(Table1[[#This Row],[وسيلة الدفع]]="بطاقة",1,0)</f>
        <v>1</v>
      </c>
      <c r="O741">
        <f>IF(Table1[[#This Row],[وسيلة الدفع]]="محفظة",1,0)</f>
        <v>0</v>
      </c>
      <c r="P741">
        <f>IF(Table1[[#This Row],[وسيلة الدفع]]="تحويل",1,0)</f>
        <v>0</v>
      </c>
      <c r="Q741">
        <f>IF(Table1[[#This Row],[حضر التهيئة]]="نعم",1,0)</f>
        <v>1</v>
      </c>
      <c r="R741">
        <f>IF(Table1[[#This Row],[دورة الفوترة]]="شهري",1,0)</f>
        <v>0</v>
      </c>
    </row>
    <row r="742" spans="1:18" x14ac:dyDescent="0.25">
      <c r="A742" t="s">
        <v>762</v>
      </c>
      <c r="B742" s="1">
        <v>45450</v>
      </c>
      <c r="C742" t="s">
        <v>28</v>
      </c>
      <c r="D742">
        <v>39</v>
      </c>
      <c r="E742" t="s">
        <v>14</v>
      </c>
      <c r="F742">
        <v>18</v>
      </c>
      <c r="G742" t="s">
        <v>15</v>
      </c>
      <c r="H742">
        <v>2</v>
      </c>
      <c r="I742">
        <v>56</v>
      </c>
      <c r="J742">
        <v>0</v>
      </c>
      <c r="K742" t="s">
        <v>17</v>
      </c>
      <c r="L742" t="s">
        <v>17</v>
      </c>
      <c r="M742">
        <f>IF(Table1[[#This Row],[ألغى الاشتراك]]="نعم",1,0)</f>
        <v>0</v>
      </c>
      <c r="N742">
        <f>IF(Table1[[#This Row],[وسيلة الدفع]]="بطاقة",1,0)</f>
        <v>1</v>
      </c>
      <c r="O742">
        <f>IF(Table1[[#This Row],[وسيلة الدفع]]="محفظة",1,0)</f>
        <v>0</v>
      </c>
      <c r="P742">
        <f>IF(Table1[[#This Row],[وسيلة الدفع]]="تحويل",1,0)</f>
        <v>0</v>
      </c>
      <c r="Q742">
        <f>IF(Table1[[#This Row],[حضر التهيئة]]="نعم",1,0)</f>
        <v>0</v>
      </c>
      <c r="R742">
        <f>IF(Table1[[#This Row],[دورة الفوترة]]="شهري",1,0)</f>
        <v>1</v>
      </c>
    </row>
    <row r="743" spans="1:18" x14ac:dyDescent="0.25">
      <c r="A743" t="s">
        <v>763</v>
      </c>
      <c r="B743" s="1">
        <v>45395</v>
      </c>
      <c r="C743" t="s">
        <v>28</v>
      </c>
      <c r="D743">
        <v>39</v>
      </c>
      <c r="E743" t="s">
        <v>14</v>
      </c>
      <c r="F743">
        <v>17</v>
      </c>
      <c r="G743" t="s">
        <v>23</v>
      </c>
      <c r="H743">
        <v>10</v>
      </c>
      <c r="I743">
        <v>53</v>
      </c>
      <c r="J743">
        <v>25</v>
      </c>
      <c r="K743" t="s">
        <v>17</v>
      </c>
      <c r="L743" t="s">
        <v>16</v>
      </c>
      <c r="M743">
        <f>IF(Table1[[#This Row],[ألغى الاشتراك]]="نعم",1,0)</f>
        <v>1</v>
      </c>
      <c r="N743">
        <f>IF(Table1[[#This Row],[وسيلة الدفع]]="بطاقة",1,0)</f>
        <v>0</v>
      </c>
      <c r="O743">
        <f>IF(Table1[[#This Row],[وسيلة الدفع]]="محفظة",1,0)</f>
        <v>0</v>
      </c>
      <c r="P743">
        <f>IF(Table1[[#This Row],[وسيلة الدفع]]="تحويل",1,0)</f>
        <v>1</v>
      </c>
      <c r="Q743">
        <f>IF(Table1[[#This Row],[حضر التهيئة]]="نعم",1,0)</f>
        <v>0</v>
      </c>
      <c r="R743">
        <f>IF(Table1[[#This Row],[دورة الفوترة]]="شهري",1,0)</f>
        <v>1</v>
      </c>
    </row>
    <row r="744" spans="1:18" x14ac:dyDescent="0.25">
      <c r="A744" t="s">
        <v>764</v>
      </c>
      <c r="B744" s="1">
        <v>45675</v>
      </c>
      <c r="C744" t="s">
        <v>19</v>
      </c>
      <c r="D744">
        <v>189</v>
      </c>
      <c r="E744" t="s">
        <v>14</v>
      </c>
      <c r="F744">
        <v>5</v>
      </c>
      <c r="G744" t="s">
        <v>23</v>
      </c>
      <c r="H744">
        <v>1</v>
      </c>
      <c r="I744">
        <v>39</v>
      </c>
      <c r="J744">
        <v>0</v>
      </c>
      <c r="K744" t="s">
        <v>17</v>
      </c>
      <c r="L744" t="s">
        <v>17</v>
      </c>
      <c r="M744">
        <f>IF(Table1[[#This Row],[ألغى الاشتراك]]="نعم",1,0)</f>
        <v>0</v>
      </c>
      <c r="N744">
        <f>IF(Table1[[#This Row],[وسيلة الدفع]]="بطاقة",1,0)</f>
        <v>0</v>
      </c>
      <c r="O744">
        <f>IF(Table1[[#This Row],[وسيلة الدفع]]="محفظة",1,0)</f>
        <v>0</v>
      </c>
      <c r="P744">
        <f>IF(Table1[[#This Row],[وسيلة الدفع]]="تحويل",1,0)</f>
        <v>1</v>
      </c>
      <c r="Q744">
        <f>IF(Table1[[#This Row],[حضر التهيئة]]="نعم",1,0)</f>
        <v>0</v>
      </c>
      <c r="R744">
        <f>IF(Table1[[#This Row],[دورة الفوترة]]="شهري",1,0)</f>
        <v>1</v>
      </c>
    </row>
    <row r="745" spans="1:18" x14ac:dyDescent="0.25">
      <c r="A745" t="s">
        <v>765</v>
      </c>
      <c r="B745" s="1">
        <v>45462</v>
      </c>
      <c r="C745" t="s">
        <v>13</v>
      </c>
      <c r="D745">
        <v>89</v>
      </c>
      <c r="E745" t="s">
        <v>14</v>
      </c>
      <c r="F745">
        <v>16</v>
      </c>
      <c r="G745" t="s">
        <v>21</v>
      </c>
      <c r="H745">
        <v>0</v>
      </c>
      <c r="I745">
        <v>24</v>
      </c>
      <c r="J745">
        <v>0</v>
      </c>
      <c r="K745" t="s">
        <v>16</v>
      </c>
      <c r="L745" t="s">
        <v>17</v>
      </c>
      <c r="M745">
        <f>IF(Table1[[#This Row],[ألغى الاشتراك]]="نعم",1,0)</f>
        <v>0</v>
      </c>
      <c r="N745">
        <f>IF(Table1[[#This Row],[وسيلة الدفع]]="بطاقة",1,0)</f>
        <v>0</v>
      </c>
      <c r="O745">
        <f>IF(Table1[[#This Row],[وسيلة الدفع]]="محفظة",1,0)</f>
        <v>1</v>
      </c>
      <c r="P745">
        <f>IF(Table1[[#This Row],[وسيلة الدفع]]="تحويل",1,0)</f>
        <v>0</v>
      </c>
      <c r="Q745">
        <f>IF(Table1[[#This Row],[حضر التهيئة]]="نعم",1,0)</f>
        <v>1</v>
      </c>
      <c r="R745">
        <f>IF(Table1[[#This Row],[دورة الفوترة]]="شهري",1,0)</f>
        <v>1</v>
      </c>
    </row>
    <row r="746" spans="1:18" x14ac:dyDescent="0.25">
      <c r="A746" t="s">
        <v>766</v>
      </c>
      <c r="B746" s="1">
        <v>45850</v>
      </c>
      <c r="C746" t="s">
        <v>13</v>
      </c>
      <c r="D746">
        <v>89</v>
      </c>
      <c r="E746" t="s">
        <v>20</v>
      </c>
      <c r="F746">
        <v>9</v>
      </c>
      <c r="G746" t="s">
        <v>21</v>
      </c>
      <c r="H746">
        <v>5</v>
      </c>
      <c r="I746">
        <v>11</v>
      </c>
      <c r="J746">
        <v>0</v>
      </c>
      <c r="K746" t="s">
        <v>16</v>
      </c>
      <c r="L746" t="s">
        <v>17</v>
      </c>
      <c r="M746">
        <f>IF(Table1[[#This Row],[ألغى الاشتراك]]="نعم",1,0)</f>
        <v>0</v>
      </c>
      <c r="N746">
        <f>IF(Table1[[#This Row],[وسيلة الدفع]]="بطاقة",1,0)</f>
        <v>0</v>
      </c>
      <c r="O746">
        <f>IF(Table1[[#This Row],[وسيلة الدفع]]="محفظة",1,0)</f>
        <v>1</v>
      </c>
      <c r="P746">
        <f>IF(Table1[[#This Row],[وسيلة الدفع]]="تحويل",1,0)</f>
        <v>0</v>
      </c>
      <c r="Q746">
        <f>IF(Table1[[#This Row],[حضر التهيئة]]="نعم",1,0)</f>
        <v>1</v>
      </c>
      <c r="R746">
        <f>IF(Table1[[#This Row],[دورة الفوترة]]="شهري",1,0)</f>
        <v>0</v>
      </c>
    </row>
    <row r="747" spans="1:18" x14ac:dyDescent="0.25">
      <c r="A747" t="s">
        <v>767</v>
      </c>
      <c r="B747" s="1">
        <v>45517</v>
      </c>
      <c r="C747" t="s">
        <v>19</v>
      </c>
      <c r="D747">
        <v>189</v>
      </c>
      <c r="E747" t="s">
        <v>14</v>
      </c>
      <c r="F747">
        <v>10</v>
      </c>
      <c r="G747" t="s">
        <v>23</v>
      </c>
      <c r="H747">
        <v>0</v>
      </c>
      <c r="I747">
        <v>36</v>
      </c>
      <c r="J747">
        <v>0</v>
      </c>
      <c r="K747" t="s">
        <v>16</v>
      </c>
      <c r="L747" t="s">
        <v>17</v>
      </c>
      <c r="M747">
        <f>IF(Table1[[#This Row],[ألغى الاشتراك]]="نعم",1,0)</f>
        <v>0</v>
      </c>
      <c r="N747">
        <f>IF(Table1[[#This Row],[وسيلة الدفع]]="بطاقة",1,0)</f>
        <v>0</v>
      </c>
      <c r="O747">
        <f>IF(Table1[[#This Row],[وسيلة الدفع]]="محفظة",1,0)</f>
        <v>0</v>
      </c>
      <c r="P747">
        <f>IF(Table1[[#This Row],[وسيلة الدفع]]="تحويل",1,0)</f>
        <v>1</v>
      </c>
      <c r="Q747">
        <f>IF(Table1[[#This Row],[حضر التهيئة]]="نعم",1,0)</f>
        <v>1</v>
      </c>
      <c r="R747">
        <f>IF(Table1[[#This Row],[دورة الفوترة]]="شهري",1,0)</f>
        <v>1</v>
      </c>
    </row>
    <row r="748" spans="1:18" x14ac:dyDescent="0.25">
      <c r="A748" t="s">
        <v>768</v>
      </c>
      <c r="B748" s="1">
        <v>45918</v>
      </c>
      <c r="C748" t="s">
        <v>19</v>
      </c>
      <c r="D748">
        <v>189</v>
      </c>
      <c r="E748" t="s">
        <v>20</v>
      </c>
      <c r="F748">
        <v>17</v>
      </c>
      <c r="G748" t="s">
        <v>15</v>
      </c>
      <c r="H748">
        <v>1</v>
      </c>
      <c r="I748">
        <v>3</v>
      </c>
      <c r="J748">
        <v>0</v>
      </c>
      <c r="K748" t="s">
        <v>17</v>
      </c>
      <c r="L748" t="s">
        <v>17</v>
      </c>
      <c r="M748">
        <f>IF(Table1[[#This Row],[ألغى الاشتراك]]="نعم",1,0)</f>
        <v>0</v>
      </c>
      <c r="N748">
        <f>IF(Table1[[#This Row],[وسيلة الدفع]]="بطاقة",1,0)</f>
        <v>1</v>
      </c>
      <c r="O748">
        <f>IF(Table1[[#This Row],[وسيلة الدفع]]="محفظة",1,0)</f>
        <v>0</v>
      </c>
      <c r="P748">
        <f>IF(Table1[[#This Row],[وسيلة الدفع]]="تحويل",1,0)</f>
        <v>0</v>
      </c>
      <c r="Q748">
        <f>IF(Table1[[#This Row],[حضر التهيئة]]="نعم",1,0)</f>
        <v>0</v>
      </c>
      <c r="R748">
        <f>IF(Table1[[#This Row],[دورة الفوترة]]="شهري",1,0)</f>
        <v>0</v>
      </c>
    </row>
    <row r="749" spans="1:18" x14ac:dyDescent="0.25">
      <c r="A749" t="s">
        <v>769</v>
      </c>
      <c r="B749" s="1">
        <v>45333</v>
      </c>
      <c r="C749" t="s">
        <v>13</v>
      </c>
      <c r="D749">
        <v>89</v>
      </c>
      <c r="E749" t="s">
        <v>14</v>
      </c>
      <c r="F749">
        <v>18</v>
      </c>
      <c r="G749" t="s">
        <v>21</v>
      </c>
      <c r="H749">
        <v>2</v>
      </c>
      <c r="I749">
        <v>38</v>
      </c>
      <c r="J749">
        <v>0</v>
      </c>
      <c r="K749" t="s">
        <v>16</v>
      </c>
      <c r="L749" t="s">
        <v>17</v>
      </c>
      <c r="M749">
        <f>IF(Table1[[#This Row],[ألغى الاشتراك]]="نعم",1,0)</f>
        <v>0</v>
      </c>
      <c r="N749">
        <f>IF(Table1[[#This Row],[وسيلة الدفع]]="بطاقة",1,0)</f>
        <v>0</v>
      </c>
      <c r="O749">
        <f>IF(Table1[[#This Row],[وسيلة الدفع]]="محفظة",1,0)</f>
        <v>1</v>
      </c>
      <c r="P749">
        <f>IF(Table1[[#This Row],[وسيلة الدفع]]="تحويل",1,0)</f>
        <v>0</v>
      </c>
      <c r="Q749">
        <f>IF(Table1[[#This Row],[حضر التهيئة]]="نعم",1,0)</f>
        <v>1</v>
      </c>
      <c r="R749">
        <f>IF(Table1[[#This Row],[دورة الفوترة]]="شهري",1,0)</f>
        <v>1</v>
      </c>
    </row>
    <row r="750" spans="1:18" x14ac:dyDescent="0.25">
      <c r="A750" t="s">
        <v>770</v>
      </c>
      <c r="B750" s="1">
        <v>45981</v>
      </c>
      <c r="C750" t="s">
        <v>28</v>
      </c>
      <c r="D750">
        <v>39</v>
      </c>
      <c r="E750" t="s">
        <v>14</v>
      </c>
      <c r="F750">
        <v>9</v>
      </c>
      <c r="G750" t="s">
        <v>23</v>
      </c>
      <c r="H750">
        <v>2</v>
      </c>
      <c r="I750">
        <v>9</v>
      </c>
      <c r="J750">
        <v>0</v>
      </c>
      <c r="K750" t="s">
        <v>17</v>
      </c>
      <c r="L750" t="s">
        <v>17</v>
      </c>
      <c r="M750">
        <f>IF(Table1[[#This Row],[ألغى الاشتراك]]="نعم",1,0)</f>
        <v>0</v>
      </c>
      <c r="N750">
        <f>IF(Table1[[#This Row],[وسيلة الدفع]]="بطاقة",1,0)</f>
        <v>0</v>
      </c>
      <c r="O750">
        <f>IF(Table1[[#This Row],[وسيلة الدفع]]="محفظة",1,0)</f>
        <v>0</v>
      </c>
      <c r="P750">
        <f>IF(Table1[[#This Row],[وسيلة الدفع]]="تحويل",1,0)</f>
        <v>1</v>
      </c>
      <c r="Q750">
        <f>IF(Table1[[#This Row],[حضر التهيئة]]="نعم",1,0)</f>
        <v>0</v>
      </c>
      <c r="R750">
        <f>IF(Table1[[#This Row],[دورة الفوترة]]="شهري",1,0)</f>
        <v>1</v>
      </c>
    </row>
    <row r="751" spans="1:18" x14ac:dyDescent="0.25">
      <c r="A751" t="s">
        <v>771</v>
      </c>
      <c r="B751" s="1">
        <v>45667</v>
      </c>
      <c r="C751" t="s">
        <v>19</v>
      </c>
      <c r="D751">
        <v>189</v>
      </c>
      <c r="E751" t="s">
        <v>20</v>
      </c>
      <c r="F751">
        <v>6</v>
      </c>
      <c r="G751" t="s">
        <v>21</v>
      </c>
      <c r="H751">
        <v>0</v>
      </c>
      <c r="I751">
        <v>30</v>
      </c>
      <c r="J751">
        <v>5</v>
      </c>
      <c r="K751" t="s">
        <v>16</v>
      </c>
      <c r="L751" t="s">
        <v>17</v>
      </c>
      <c r="M751">
        <f>IF(Table1[[#This Row],[ألغى الاشتراك]]="نعم",1,0)</f>
        <v>0</v>
      </c>
      <c r="N751">
        <f>IF(Table1[[#This Row],[وسيلة الدفع]]="بطاقة",1,0)</f>
        <v>0</v>
      </c>
      <c r="O751">
        <f>IF(Table1[[#This Row],[وسيلة الدفع]]="محفظة",1,0)</f>
        <v>1</v>
      </c>
      <c r="P751">
        <f>IF(Table1[[#This Row],[وسيلة الدفع]]="تحويل",1,0)</f>
        <v>0</v>
      </c>
      <c r="Q751">
        <f>IF(Table1[[#This Row],[حضر التهيئة]]="نعم",1,0)</f>
        <v>1</v>
      </c>
      <c r="R751">
        <f>IF(Table1[[#This Row],[دورة الفوترة]]="شهري",1,0)</f>
        <v>0</v>
      </c>
    </row>
    <row r="752" spans="1:18" x14ac:dyDescent="0.25">
      <c r="A752" t="s">
        <v>772</v>
      </c>
      <c r="B752" s="1">
        <v>45470</v>
      </c>
      <c r="C752" t="s">
        <v>19</v>
      </c>
      <c r="D752">
        <v>189</v>
      </c>
      <c r="E752" t="s">
        <v>20</v>
      </c>
      <c r="F752">
        <v>30</v>
      </c>
      <c r="G752" t="s">
        <v>21</v>
      </c>
      <c r="H752">
        <v>4</v>
      </c>
      <c r="I752">
        <v>36</v>
      </c>
      <c r="J752">
        <v>0</v>
      </c>
      <c r="K752" t="s">
        <v>16</v>
      </c>
      <c r="L752" t="s">
        <v>17</v>
      </c>
      <c r="M752">
        <f>IF(Table1[[#This Row],[ألغى الاشتراك]]="نعم",1,0)</f>
        <v>0</v>
      </c>
      <c r="N752">
        <f>IF(Table1[[#This Row],[وسيلة الدفع]]="بطاقة",1,0)</f>
        <v>0</v>
      </c>
      <c r="O752">
        <f>IF(Table1[[#This Row],[وسيلة الدفع]]="محفظة",1,0)</f>
        <v>1</v>
      </c>
      <c r="P752">
        <f>IF(Table1[[#This Row],[وسيلة الدفع]]="تحويل",1,0)</f>
        <v>0</v>
      </c>
      <c r="Q752">
        <f>IF(Table1[[#This Row],[حضر التهيئة]]="نعم",1,0)</f>
        <v>1</v>
      </c>
      <c r="R752">
        <f>IF(Table1[[#This Row],[دورة الفوترة]]="شهري",1,0)</f>
        <v>0</v>
      </c>
    </row>
    <row r="753" spans="1:18" x14ac:dyDescent="0.25">
      <c r="A753" t="s">
        <v>773</v>
      </c>
      <c r="B753" s="1">
        <v>45724</v>
      </c>
      <c r="C753" t="s">
        <v>28</v>
      </c>
      <c r="D753">
        <v>39</v>
      </c>
      <c r="E753" t="s">
        <v>14</v>
      </c>
      <c r="F753">
        <v>29</v>
      </c>
      <c r="G753" t="s">
        <v>21</v>
      </c>
      <c r="H753">
        <v>2</v>
      </c>
      <c r="I753">
        <v>51</v>
      </c>
      <c r="J753">
        <v>0</v>
      </c>
      <c r="K753" t="s">
        <v>16</v>
      </c>
      <c r="L753" t="s">
        <v>17</v>
      </c>
      <c r="M753">
        <f>IF(Table1[[#This Row],[ألغى الاشتراك]]="نعم",1,0)</f>
        <v>0</v>
      </c>
      <c r="N753">
        <f>IF(Table1[[#This Row],[وسيلة الدفع]]="بطاقة",1,0)</f>
        <v>0</v>
      </c>
      <c r="O753">
        <f>IF(Table1[[#This Row],[وسيلة الدفع]]="محفظة",1,0)</f>
        <v>1</v>
      </c>
      <c r="P753">
        <f>IF(Table1[[#This Row],[وسيلة الدفع]]="تحويل",1,0)</f>
        <v>0</v>
      </c>
      <c r="Q753">
        <f>IF(Table1[[#This Row],[حضر التهيئة]]="نعم",1,0)</f>
        <v>1</v>
      </c>
      <c r="R753">
        <f>IF(Table1[[#This Row],[دورة الفوترة]]="شهري",1,0)</f>
        <v>1</v>
      </c>
    </row>
    <row r="754" spans="1:18" x14ac:dyDescent="0.25">
      <c r="A754" t="s">
        <v>774</v>
      </c>
      <c r="B754" s="1">
        <v>45667</v>
      </c>
      <c r="C754" t="s">
        <v>13</v>
      </c>
      <c r="D754">
        <v>89</v>
      </c>
      <c r="E754" t="s">
        <v>20</v>
      </c>
      <c r="F754">
        <v>4</v>
      </c>
      <c r="G754" t="s">
        <v>21</v>
      </c>
      <c r="H754">
        <v>0</v>
      </c>
      <c r="I754">
        <v>40</v>
      </c>
      <c r="J754">
        <v>5</v>
      </c>
      <c r="K754" t="s">
        <v>17</v>
      </c>
      <c r="L754" t="s">
        <v>16</v>
      </c>
      <c r="M754">
        <f>IF(Table1[[#This Row],[ألغى الاشتراك]]="نعم",1,0)</f>
        <v>1</v>
      </c>
      <c r="N754">
        <f>IF(Table1[[#This Row],[وسيلة الدفع]]="بطاقة",1,0)</f>
        <v>0</v>
      </c>
      <c r="O754">
        <f>IF(Table1[[#This Row],[وسيلة الدفع]]="محفظة",1,0)</f>
        <v>1</v>
      </c>
      <c r="P754">
        <f>IF(Table1[[#This Row],[وسيلة الدفع]]="تحويل",1,0)</f>
        <v>0</v>
      </c>
      <c r="Q754">
        <f>IF(Table1[[#This Row],[حضر التهيئة]]="نعم",1,0)</f>
        <v>0</v>
      </c>
      <c r="R754">
        <f>IF(Table1[[#This Row],[دورة الفوترة]]="شهري",1,0)</f>
        <v>0</v>
      </c>
    </row>
    <row r="755" spans="1:18" x14ac:dyDescent="0.25">
      <c r="A755" t="s">
        <v>775</v>
      </c>
      <c r="B755" s="1">
        <v>45588</v>
      </c>
      <c r="C755" t="s">
        <v>13</v>
      </c>
      <c r="D755">
        <v>89</v>
      </c>
      <c r="E755" t="s">
        <v>20</v>
      </c>
      <c r="F755">
        <v>2</v>
      </c>
      <c r="G755" t="s">
        <v>21</v>
      </c>
      <c r="H755">
        <v>1</v>
      </c>
      <c r="I755">
        <v>18</v>
      </c>
      <c r="J755">
        <v>0</v>
      </c>
      <c r="K755" t="s">
        <v>16</v>
      </c>
      <c r="L755" t="s">
        <v>17</v>
      </c>
      <c r="M755">
        <f>IF(Table1[[#This Row],[ألغى الاشتراك]]="نعم",1,0)</f>
        <v>0</v>
      </c>
      <c r="N755">
        <f>IF(Table1[[#This Row],[وسيلة الدفع]]="بطاقة",1,0)</f>
        <v>0</v>
      </c>
      <c r="O755">
        <f>IF(Table1[[#This Row],[وسيلة الدفع]]="محفظة",1,0)</f>
        <v>1</v>
      </c>
      <c r="P755">
        <f>IF(Table1[[#This Row],[وسيلة الدفع]]="تحويل",1,0)</f>
        <v>0</v>
      </c>
      <c r="Q755">
        <f>IF(Table1[[#This Row],[حضر التهيئة]]="نعم",1,0)</f>
        <v>1</v>
      </c>
      <c r="R755">
        <f>IF(Table1[[#This Row],[دورة الفوترة]]="شهري",1,0)</f>
        <v>0</v>
      </c>
    </row>
    <row r="756" spans="1:18" x14ac:dyDescent="0.25">
      <c r="A756" t="s">
        <v>776</v>
      </c>
      <c r="B756" s="1">
        <v>45639</v>
      </c>
      <c r="C756" t="s">
        <v>19</v>
      </c>
      <c r="D756">
        <v>189</v>
      </c>
      <c r="E756" t="s">
        <v>20</v>
      </c>
      <c r="F756">
        <v>5</v>
      </c>
      <c r="G756" t="s">
        <v>21</v>
      </c>
      <c r="H756">
        <v>4</v>
      </c>
      <c r="I756">
        <v>33</v>
      </c>
      <c r="J756">
        <v>25</v>
      </c>
      <c r="K756" t="s">
        <v>17</v>
      </c>
      <c r="L756" t="s">
        <v>17</v>
      </c>
      <c r="M756">
        <f>IF(Table1[[#This Row],[ألغى الاشتراك]]="نعم",1,0)</f>
        <v>0</v>
      </c>
      <c r="N756">
        <f>IF(Table1[[#This Row],[وسيلة الدفع]]="بطاقة",1,0)</f>
        <v>0</v>
      </c>
      <c r="O756">
        <f>IF(Table1[[#This Row],[وسيلة الدفع]]="محفظة",1,0)</f>
        <v>1</v>
      </c>
      <c r="P756">
        <f>IF(Table1[[#This Row],[وسيلة الدفع]]="تحويل",1,0)</f>
        <v>0</v>
      </c>
      <c r="Q756">
        <f>IF(Table1[[#This Row],[حضر التهيئة]]="نعم",1,0)</f>
        <v>0</v>
      </c>
      <c r="R756">
        <f>IF(Table1[[#This Row],[دورة الفوترة]]="شهري",1,0)</f>
        <v>0</v>
      </c>
    </row>
    <row r="757" spans="1:18" x14ac:dyDescent="0.25">
      <c r="A757" t="s">
        <v>777</v>
      </c>
      <c r="B757" s="1">
        <v>45803</v>
      </c>
      <c r="C757" t="s">
        <v>13</v>
      </c>
      <c r="D757">
        <v>89</v>
      </c>
      <c r="E757" t="s">
        <v>20</v>
      </c>
      <c r="F757">
        <v>21</v>
      </c>
      <c r="G757" t="s">
        <v>21</v>
      </c>
      <c r="H757">
        <v>1</v>
      </c>
      <c r="I757">
        <v>37</v>
      </c>
      <c r="J757">
        <v>0</v>
      </c>
      <c r="K757" t="s">
        <v>17</v>
      </c>
      <c r="L757" t="s">
        <v>17</v>
      </c>
      <c r="M757">
        <f>IF(Table1[[#This Row],[ألغى الاشتراك]]="نعم",1,0)</f>
        <v>0</v>
      </c>
      <c r="N757">
        <f>IF(Table1[[#This Row],[وسيلة الدفع]]="بطاقة",1,0)</f>
        <v>0</v>
      </c>
      <c r="O757">
        <f>IF(Table1[[#This Row],[وسيلة الدفع]]="محفظة",1,0)</f>
        <v>1</v>
      </c>
      <c r="P757">
        <f>IF(Table1[[#This Row],[وسيلة الدفع]]="تحويل",1,0)</f>
        <v>0</v>
      </c>
      <c r="Q757">
        <f>IF(Table1[[#This Row],[حضر التهيئة]]="نعم",1,0)</f>
        <v>0</v>
      </c>
      <c r="R757">
        <f>IF(Table1[[#This Row],[دورة الفوترة]]="شهري",1,0)</f>
        <v>0</v>
      </c>
    </row>
    <row r="758" spans="1:18" x14ac:dyDescent="0.25">
      <c r="A758" t="s">
        <v>778</v>
      </c>
      <c r="B758" s="1">
        <v>45728</v>
      </c>
      <c r="C758" t="s">
        <v>13</v>
      </c>
      <c r="D758">
        <v>89</v>
      </c>
      <c r="E758" t="s">
        <v>20</v>
      </c>
      <c r="F758">
        <v>22</v>
      </c>
      <c r="G758" t="s">
        <v>21</v>
      </c>
      <c r="H758">
        <v>2</v>
      </c>
      <c r="I758">
        <v>16</v>
      </c>
      <c r="J758">
        <v>15</v>
      </c>
      <c r="K758" t="s">
        <v>16</v>
      </c>
      <c r="L758" t="s">
        <v>17</v>
      </c>
      <c r="M758">
        <f>IF(Table1[[#This Row],[ألغى الاشتراك]]="نعم",1,0)</f>
        <v>0</v>
      </c>
      <c r="N758">
        <f>IF(Table1[[#This Row],[وسيلة الدفع]]="بطاقة",1,0)</f>
        <v>0</v>
      </c>
      <c r="O758">
        <f>IF(Table1[[#This Row],[وسيلة الدفع]]="محفظة",1,0)</f>
        <v>1</v>
      </c>
      <c r="P758">
        <f>IF(Table1[[#This Row],[وسيلة الدفع]]="تحويل",1,0)</f>
        <v>0</v>
      </c>
      <c r="Q758">
        <f>IF(Table1[[#This Row],[حضر التهيئة]]="نعم",1,0)</f>
        <v>1</v>
      </c>
      <c r="R758">
        <f>IF(Table1[[#This Row],[دورة الفوترة]]="شهري",1,0)</f>
        <v>0</v>
      </c>
    </row>
    <row r="759" spans="1:18" x14ac:dyDescent="0.25">
      <c r="A759" t="s">
        <v>779</v>
      </c>
      <c r="B759" s="1">
        <v>45505</v>
      </c>
      <c r="C759" t="s">
        <v>19</v>
      </c>
      <c r="D759">
        <v>189</v>
      </c>
      <c r="E759" t="s">
        <v>14</v>
      </c>
      <c r="F759">
        <v>30</v>
      </c>
      <c r="G759" t="s">
        <v>15</v>
      </c>
      <c r="H759">
        <v>0</v>
      </c>
      <c r="I759">
        <v>2</v>
      </c>
      <c r="J759">
        <v>0</v>
      </c>
      <c r="K759" t="s">
        <v>16</v>
      </c>
      <c r="L759" t="s">
        <v>16</v>
      </c>
      <c r="M759">
        <f>IF(Table1[[#This Row],[ألغى الاشتراك]]="نعم",1,0)</f>
        <v>1</v>
      </c>
      <c r="N759">
        <f>IF(Table1[[#This Row],[وسيلة الدفع]]="بطاقة",1,0)</f>
        <v>1</v>
      </c>
      <c r="O759">
        <f>IF(Table1[[#This Row],[وسيلة الدفع]]="محفظة",1,0)</f>
        <v>0</v>
      </c>
      <c r="P759">
        <f>IF(Table1[[#This Row],[وسيلة الدفع]]="تحويل",1,0)</f>
        <v>0</v>
      </c>
      <c r="Q759">
        <f>IF(Table1[[#This Row],[حضر التهيئة]]="نعم",1,0)</f>
        <v>1</v>
      </c>
      <c r="R759">
        <f>IF(Table1[[#This Row],[دورة الفوترة]]="شهري",1,0)</f>
        <v>1</v>
      </c>
    </row>
    <row r="760" spans="1:18" x14ac:dyDescent="0.25">
      <c r="A760" t="s">
        <v>780</v>
      </c>
      <c r="B760" s="1">
        <v>45679</v>
      </c>
      <c r="C760" t="s">
        <v>28</v>
      </c>
      <c r="D760">
        <v>39</v>
      </c>
      <c r="E760" t="s">
        <v>14</v>
      </c>
      <c r="F760">
        <v>5</v>
      </c>
      <c r="G760" t="s">
        <v>15</v>
      </c>
      <c r="H760">
        <v>9</v>
      </c>
      <c r="I760">
        <v>45</v>
      </c>
      <c r="J760">
        <v>0</v>
      </c>
      <c r="K760" t="s">
        <v>17</v>
      </c>
      <c r="L760" t="s">
        <v>17</v>
      </c>
      <c r="M760">
        <f>IF(Table1[[#This Row],[ألغى الاشتراك]]="نعم",1,0)</f>
        <v>0</v>
      </c>
      <c r="N760">
        <f>IF(Table1[[#This Row],[وسيلة الدفع]]="بطاقة",1,0)</f>
        <v>1</v>
      </c>
      <c r="O760">
        <f>IF(Table1[[#This Row],[وسيلة الدفع]]="محفظة",1,0)</f>
        <v>0</v>
      </c>
      <c r="P760">
        <f>IF(Table1[[#This Row],[وسيلة الدفع]]="تحويل",1,0)</f>
        <v>0</v>
      </c>
      <c r="Q760">
        <f>IF(Table1[[#This Row],[حضر التهيئة]]="نعم",1,0)</f>
        <v>0</v>
      </c>
      <c r="R760">
        <f>IF(Table1[[#This Row],[دورة الفوترة]]="شهري",1,0)</f>
        <v>1</v>
      </c>
    </row>
    <row r="761" spans="1:18" x14ac:dyDescent="0.25">
      <c r="A761" t="s">
        <v>781</v>
      </c>
      <c r="B761" s="1">
        <v>45462</v>
      </c>
      <c r="C761" t="s">
        <v>13</v>
      </c>
      <c r="D761">
        <v>89</v>
      </c>
      <c r="E761" t="s">
        <v>14</v>
      </c>
      <c r="F761">
        <v>10</v>
      </c>
      <c r="G761" t="s">
        <v>15</v>
      </c>
      <c r="H761">
        <v>1</v>
      </c>
      <c r="I761">
        <v>50</v>
      </c>
      <c r="J761">
        <v>0</v>
      </c>
      <c r="K761" t="s">
        <v>17</v>
      </c>
      <c r="L761" t="s">
        <v>16</v>
      </c>
      <c r="M761">
        <f>IF(Table1[[#This Row],[ألغى الاشتراك]]="نعم",1,0)</f>
        <v>1</v>
      </c>
      <c r="N761">
        <f>IF(Table1[[#This Row],[وسيلة الدفع]]="بطاقة",1,0)</f>
        <v>1</v>
      </c>
      <c r="O761">
        <f>IF(Table1[[#This Row],[وسيلة الدفع]]="محفظة",1,0)</f>
        <v>0</v>
      </c>
      <c r="P761">
        <f>IF(Table1[[#This Row],[وسيلة الدفع]]="تحويل",1,0)</f>
        <v>0</v>
      </c>
      <c r="Q761">
        <f>IF(Table1[[#This Row],[حضر التهيئة]]="نعم",1,0)</f>
        <v>0</v>
      </c>
      <c r="R761">
        <f>IF(Table1[[#This Row],[دورة الفوترة]]="شهري",1,0)</f>
        <v>1</v>
      </c>
    </row>
    <row r="762" spans="1:18" x14ac:dyDescent="0.25">
      <c r="A762" t="s">
        <v>782</v>
      </c>
      <c r="B762" s="1">
        <v>45517</v>
      </c>
      <c r="C762" t="s">
        <v>13</v>
      </c>
      <c r="D762">
        <v>89</v>
      </c>
      <c r="E762" t="s">
        <v>20</v>
      </c>
      <c r="F762">
        <v>21</v>
      </c>
      <c r="G762" t="s">
        <v>15</v>
      </c>
      <c r="H762">
        <v>1</v>
      </c>
      <c r="I762">
        <v>59</v>
      </c>
      <c r="J762">
        <v>25</v>
      </c>
      <c r="K762" t="s">
        <v>17</v>
      </c>
      <c r="L762" t="s">
        <v>17</v>
      </c>
      <c r="M762">
        <f>IF(Table1[[#This Row],[ألغى الاشتراك]]="نعم",1,0)</f>
        <v>0</v>
      </c>
      <c r="N762">
        <f>IF(Table1[[#This Row],[وسيلة الدفع]]="بطاقة",1,0)</f>
        <v>1</v>
      </c>
      <c r="O762">
        <f>IF(Table1[[#This Row],[وسيلة الدفع]]="محفظة",1,0)</f>
        <v>0</v>
      </c>
      <c r="P762">
        <f>IF(Table1[[#This Row],[وسيلة الدفع]]="تحويل",1,0)</f>
        <v>0</v>
      </c>
      <c r="Q762">
        <f>IF(Table1[[#This Row],[حضر التهيئة]]="نعم",1,0)</f>
        <v>0</v>
      </c>
      <c r="R762">
        <f>IF(Table1[[#This Row],[دورة الفوترة]]="شهري",1,0)</f>
        <v>0</v>
      </c>
    </row>
    <row r="763" spans="1:18" x14ac:dyDescent="0.25">
      <c r="A763" t="s">
        <v>783</v>
      </c>
      <c r="B763" s="1">
        <v>45906</v>
      </c>
      <c r="C763" t="s">
        <v>28</v>
      </c>
      <c r="D763">
        <v>39</v>
      </c>
      <c r="E763" t="s">
        <v>14</v>
      </c>
      <c r="F763">
        <v>25</v>
      </c>
      <c r="G763" t="s">
        <v>21</v>
      </c>
      <c r="H763">
        <v>1</v>
      </c>
      <c r="I763">
        <v>35</v>
      </c>
      <c r="J763">
        <v>0</v>
      </c>
      <c r="K763" t="s">
        <v>17</v>
      </c>
      <c r="L763" t="s">
        <v>17</v>
      </c>
      <c r="M763">
        <f>IF(Table1[[#This Row],[ألغى الاشتراك]]="نعم",1,0)</f>
        <v>0</v>
      </c>
      <c r="N763">
        <f>IF(Table1[[#This Row],[وسيلة الدفع]]="بطاقة",1,0)</f>
        <v>0</v>
      </c>
      <c r="O763">
        <f>IF(Table1[[#This Row],[وسيلة الدفع]]="محفظة",1,0)</f>
        <v>1</v>
      </c>
      <c r="P763">
        <f>IF(Table1[[#This Row],[وسيلة الدفع]]="تحويل",1,0)</f>
        <v>0</v>
      </c>
      <c r="Q763">
        <f>IF(Table1[[#This Row],[حضر التهيئة]]="نعم",1,0)</f>
        <v>0</v>
      </c>
      <c r="R763">
        <f>IF(Table1[[#This Row],[دورة الفوترة]]="شهري",1,0)</f>
        <v>1</v>
      </c>
    </row>
    <row r="764" spans="1:18" x14ac:dyDescent="0.25">
      <c r="A764" t="s">
        <v>784</v>
      </c>
      <c r="B764" s="1">
        <v>45446</v>
      </c>
      <c r="C764" t="s">
        <v>19</v>
      </c>
      <c r="D764">
        <v>189</v>
      </c>
      <c r="E764" t="s">
        <v>20</v>
      </c>
      <c r="F764">
        <v>18</v>
      </c>
      <c r="G764" t="s">
        <v>23</v>
      </c>
      <c r="H764">
        <v>1</v>
      </c>
      <c r="I764">
        <v>58</v>
      </c>
      <c r="J764">
        <v>0</v>
      </c>
      <c r="K764" t="s">
        <v>17</v>
      </c>
      <c r="L764" t="s">
        <v>17</v>
      </c>
      <c r="M764">
        <f>IF(Table1[[#This Row],[ألغى الاشتراك]]="نعم",1,0)</f>
        <v>0</v>
      </c>
      <c r="N764">
        <f>IF(Table1[[#This Row],[وسيلة الدفع]]="بطاقة",1,0)</f>
        <v>0</v>
      </c>
      <c r="O764">
        <f>IF(Table1[[#This Row],[وسيلة الدفع]]="محفظة",1,0)</f>
        <v>0</v>
      </c>
      <c r="P764">
        <f>IF(Table1[[#This Row],[وسيلة الدفع]]="تحويل",1,0)</f>
        <v>1</v>
      </c>
      <c r="Q764">
        <f>IF(Table1[[#This Row],[حضر التهيئة]]="نعم",1,0)</f>
        <v>0</v>
      </c>
      <c r="R764">
        <f>IF(Table1[[#This Row],[دورة الفوترة]]="شهري",1,0)</f>
        <v>0</v>
      </c>
    </row>
    <row r="765" spans="1:18" x14ac:dyDescent="0.25">
      <c r="A765" t="s">
        <v>785</v>
      </c>
      <c r="B765" s="1">
        <v>45965</v>
      </c>
      <c r="C765" t="s">
        <v>13</v>
      </c>
      <c r="D765">
        <v>89</v>
      </c>
      <c r="E765" t="s">
        <v>14</v>
      </c>
      <c r="F765">
        <v>23</v>
      </c>
      <c r="G765" t="s">
        <v>15</v>
      </c>
      <c r="H765">
        <v>2</v>
      </c>
      <c r="I765">
        <v>13</v>
      </c>
      <c r="J765">
        <v>0</v>
      </c>
      <c r="K765" t="s">
        <v>17</v>
      </c>
      <c r="L765" t="s">
        <v>17</v>
      </c>
      <c r="M765">
        <f>IF(Table1[[#This Row],[ألغى الاشتراك]]="نعم",1,0)</f>
        <v>0</v>
      </c>
      <c r="N765">
        <f>IF(Table1[[#This Row],[وسيلة الدفع]]="بطاقة",1,0)</f>
        <v>1</v>
      </c>
      <c r="O765">
        <f>IF(Table1[[#This Row],[وسيلة الدفع]]="محفظة",1,0)</f>
        <v>0</v>
      </c>
      <c r="P765">
        <f>IF(Table1[[#This Row],[وسيلة الدفع]]="تحويل",1,0)</f>
        <v>0</v>
      </c>
      <c r="Q765">
        <f>IF(Table1[[#This Row],[حضر التهيئة]]="نعم",1,0)</f>
        <v>0</v>
      </c>
      <c r="R765">
        <f>IF(Table1[[#This Row],[دورة الفوترة]]="شهري",1,0)</f>
        <v>1</v>
      </c>
    </row>
    <row r="766" spans="1:18" x14ac:dyDescent="0.25">
      <c r="A766" t="s">
        <v>786</v>
      </c>
      <c r="B766" s="1">
        <v>45683</v>
      </c>
      <c r="C766" t="s">
        <v>28</v>
      </c>
      <c r="D766">
        <v>39</v>
      </c>
      <c r="E766" t="s">
        <v>14</v>
      </c>
      <c r="F766">
        <v>10</v>
      </c>
      <c r="G766" t="s">
        <v>23</v>
      </c>
      <c r="H766">
        <v>2</v>
      </c>
      <c r="I766">
        <v>48</v>
      </c>
      <c r="J766">
        <v>5</v>
      </c>
      <c r="K766" t="s">
        <v>16</v>
      </c>
      <c r="L766" t="s">
        <v>17</v>
      </c>
      <c r="M766">
        <f>IF(Table1[[#This Row],[ألغى الاشتراك]]="نعم",1,0)</f>
        <v>0</v>
      </c>
      <c r="N766">
        <f>IF(Table1[[#This Row],[وسيلة الدفع]]="بطاقة",1,0)</f>
        <v>0</v>
      </c>
      <c r="O766">
        <f>IF(Table1[[#This Row],[وسيلة الدفع]]="محفظة",1,0)</f>
        <v>0</v>
      </c>
      <c r="P766">
        <f>IF(Table1[[#This Row],[وسيلة الدفع]]="تحويل",1,0)</f>
        <v>1</v>
      </c>
      <c r="Q766">
        <f>IF(Table1[[#This Row],[حضر التهيئة]]="نعم",1,0)</f>
        <v>1</v>
      </c>
      <c r="R766">
        <f>IF(Table1[[#This Row],[دورة الفوترة]]="شهري",1,0)</f>
        <v>1</v>
      </c>
    </row>
    <row r="767" spans="1:18" x14ac:dyDescent="0.25">
      <c r="A767" t="s">
        <v>787</v>
      </c>
      <c r="B767" s="1">
        <v>45446</v>
      </c>
      <c r="C767" t="s">
        <v>13</v>
      </c>
      <c r="D767">
        <v>89</v>
      </c>
      <c r="E767" t="s">
        <v>20</v>
      </c>
      <c r="F767">
        <v>12</v>
      </c>
      <c r="G767" t="s">
        <v>15</v>
      </c>
      <c r="H767">
        <v>2</v>
      </c>
      <c r="I767">
        <v>54</v>
      </c>
      <c r="J767">
        <v>0</v>
      </c>
      <c r="K767" t="s">
        <v>17</v>
      </c>
      <c r="L767" t="s">
        <v>17</v>
      </c>
      <c r="M767">
        <f>IF(Table1[[#This Row],[ألغى الاشتراك]]="نعم",1,0)</f>
        <v>0</v>
      </c>
      <c r="N767">
        <f>IF(Table1[[#This Row],[وسيلة الدفع]]="بطاقة",1,0)</f>
        <v>1</v>
      </c>
      <c r="O767">
        <f>IF(Table1[[#This Row],[وسيلة الدفع]]="محفظة",1,0)</f>
        <v>0</v>
      </c>
      <c r="P767">
        <f>IF(Table1[[#This Row],[وسيلة الدفع]]="تحويل",1,0)</f>
        <v>0</v>
      </c>
      <c r="Q767">
        <f>IF(Table1[[#This Row],[حضر التهيئة]]="نعم",1,0)</f>
        <v>0</v>
      </c>
      <c r="R767">
        <f>IF(Table1[[#This Row],[دورة الفوترة]]="شهري",1,0)</f>
        <v>0</v>
      </c>
    </row>
    <row r="768" spans="1:18" x14ac:dyDescent="0.25">
      <c r="A768" t="s">
        <v>788</v>
      </c>
      <c r="B768" s="1">
        <v>45399</v>
      </c>
      <c r="C768" t="s">
        <v>28</v>
      </c>
      <c r="D768">
        <v>39</v>
      </c>
      <c r="E768" t="s">
        <v>14</v>
      </c>
      <c r="F768">
        <v>19</v>
      </c>
      <c r="G768" t="s">
        <v>15</v>
      </c>
      <c r="H768">
        <v>1</v>
      </c>
      <c r="I768">
        <v>41</v>
      </c>
      <c r="J768">
        <v>25</v>
      </c>
      <c r="K768" t="s">
        <v>17</v>
      </c>
      <c r="L768" t="s">
        <v>17</v>
      </c>
      <c r="M768">
        <f>IF(Table1[[#This Row],[ألغى الاشتراك]]="نعم",1,0)</f>
        <v>0</v>
      </c>
      <c r="N768">
        <f>IF(Table1[[#This Row],[وسيلة الدفع]]="بطاقة",1,0)</f>
        <v>1</v>
      </c>
      <c r="O768">
        <f>IF(Table1[[#This Row],[وسيلة الدفع]]="محفظة",1,0)</f>
        <v>0</v>
      </c>
      <c r="P768">
        <f>IF(Table1[[#This Row],[وسيلة الدفع]]="تحويل",1,0)</f>
        <v>0</v>
      </c>
      <c r="Q768">
        <f>IF(Table1[[#This Row],[حضر التهيئة]]="نعم",1,0)</f>
        <v>0</v>
      </c>
      <c r="R768">
        <f>IF(Table1[[#This Row],[دورة الفوترة]]="شهري",1,0)</f>
        <v>1</v>
      </c>
    </row>
    <row r="769" spans="1:18" x14ac:dyDescent="0.25">
      <c r="A769" t="s">
        <v>789</v>
      </c>
      <c r="B769" s="1">
        <v>45783</v>
      </c>
      <c r="C769" t="s">
        <v>28</v>
      </c>
      <c r="D769">
        <v>39</v>
      </c>
      <c r="E769" t="s">
        <v>20</v>
      </c>
      <c r="F769">
        <v>3</v>
      </c>
      <c r="G769" t="s">
        <v>23</v>
      </c>
      <c r="H769">
        <v>0</v>
      </c>
      <c r="I769">
        <v>11</v>
      </c>
      <c r="J769">
        <v>0</v>
      </c>
      <c r="K769" t="s">
        <v>17</v>
      </c>
      <c r="L769" t="s">
        <v>17</v>
      </c>
      <c r="M769">
        <f>IF(Table1[[#This Row],[ألغى الاشتراك]]="نعم",1,0)</f>
        <v>0</v>
      </c>
      <c r="N769">
        <f>IF(Table1[[#This Row],[وسيلة الدفع]]="بطاقة",1,0)</f>
        <v>0</v>
      </c>
      <c r="O769">
        <f>IF(Table1[[#This Row],[وسيلة الدفع]]="محفظة",1,0)</f>
        <v>0</v>
      </c>
      <c r="P769">
        <f>IF(Table1[[#This Row],[وسيلة الدفع]]="تحويل",1,0)</f>
        <v>1</v>
      </c>
      <c r="Q769">
        <f>IF(Table1[[#This Row],[حضر التهيئة]]="نعم",1,0)</f>
        <v>0</v>
      </c>
      <c r="R769">
        <f>IF(Table1[[#This Row],[دورة الفوترة]]="شهري",1,0)</f>
        <v>0</v>
      </c>
    </row>
    <row r="770" spans="1:18" x14ac:dyDescent="0.25">
      <c r="A770" t="s">
        <v>790</v>
      </c>
      <c r="B770" s="1">
        <v>45572</v>
      </c>
      <c r="C770" t="s">
        <v>13</v>
      </c>
      <c r="D770">
        <v>89</v>
      </c>
      <c r="E770" t="s">
        <v>20</v>
      </c>
      <c r="F770">
        <v>14</v>
      </c>
      <c r="G770" t="s">
        <v>15</v>
      </c>
      <c r="H770">
        <v>2</v>
      </c>
      <c r="I770">
        <v>28</v>
      </c>
      <c r="J770">
        <v>0</v>
      </c>
      <c r="K770" t="s">
        <v>16</v>
      </c>
      <c r="L770" t="s">
        <v>17</v>
      </c>
      <c r="M770">
        <f>IF(Table1[[#This Row],[ألغى الاشتراك]]="نعم",1,0)</f>
        <v>0</v>
      </c>
      <c r="N770">
        <f>IF(Table1[[#This Row],[وسيلة الدفع]]="بطاقة",1,0)</f>
        <v>1</v>
      </c>
      <c r="O770">
        <f>IF(Table1[[#This Row],[وسيلة الدفع]]="محفظة",1,0)</f>
        <v>0</v>
      </c>
      <c r="P770">
        <f>IF(Table1[[#This Row],[وسيلة الدفع]]="تحويل",1,0)</f>
        <v>0</v>
      </c>
      <c r="Q770">
        <f>IF(Table1[[#This Row],[حضر التهيئة]]="نعم",1,0)</f>
        <v>1</v>
      </c>
      <c r="R770">
        <f>IF(Table1[[#This Row],[دورة الفوترة]]="شهري",1,0)</f>
        <v>0</v>
      </c>
    </row>
    <row r="771" spans="1:18" x14ac:dyDescent="0.25">
      <c r="A771" t="s">
        <v>791</v>
      </c>
      <c r="B771" s="1">
        <v>45639</v>
      </c>
      <c r="C771" t="s">
        <v>28</v>
      </c>
      <c r="D771">
        <v>39</v>
      </c>
      <c r="E771" t="s">
        <v>14</v>
      </c>
      <c r="F771">
        <v>21</v>
      </c>
      <c r="G771" t="s">
        <v>23</v>
      </c>
      <c r="H771">
        <v>2</v>
      </c>
      <c r="I771">
        <v>35</v>
      </c>
      <c r="J771">
        <v>25</v>
      </c>
      <c r="K771" t="s">
        <v>17</v>
      </c>
      <c r="L771" t="s">
        <v>17</v>
      </c>
      <c r="M771">
        <f>IF(Table1[[#This Row],[ألغى الاشتراك]]="نعم",1,0)</f>
        <v>0</v>
      </c>
      <c r="N771">
        <f>IF(Table1[[#This Row],[وسيلة الدفع]]="بطاقة",1,0)</f>
        <v>0</v>
      </c>
      <c r="O771">
        <f>IF(Table1[[#This Row],[وسيلة الدفع]]="محفظة",1,0)</f>
        <v>0</v>
      </c>
      <c r="P771">
        <f>IF(Table1[[#This Row],[وسيلة الدفع]]="تحويل",1,0)</f>
        <v>1</v>
      </c>
      <c r="Q771">
        <f>IF(Table1[[#This Row],[حضر التهيئة]]="نعم",1,0)</f>
        <v>0</v>
      </c>
      <c r="R771">
        <f>IF(Table1[[#This Row],[دورة الفوترة]]="شهري",1,0)</f>
        <v>1</v>
      </c>
    </row>
    <row r="772" spans="1:18" x14ac:dyDescent="0.25">
      <c r="A772" t="s">
        <v>792</v>
      </c>
      <c r="B772" s="1">
        <v>45791</v>
      </c>
      <c r="C772" t="s">
        <v>28</v>
      </c>
      <c r="D772">
        <v>39</v>
      </c>
      <c r="E772" t="s">
        <v>20</v>
      </c>
      <c r="F772">
        <v>19</v>
      </c>
      <c r="G772" t="s">
        <v>23</v>
      </c>
      <c r="H772">
        <v>9</v>
      </c>
      <c r="I772">
        <v>53</v>
      </c>
      <c r="J772">
        <v>0</v>
      </c>
      <c r="K772" t="s">
        <v>16</v>
      </c>
      <c r="L772" t="s">
        <v>17</v>
      </c>
      <c r="M772">
        <f>IF(Table1[[#This Row],[ألغى الاشتراك]]="نعم",1,0)</f>
        <v>0</v>
      </c>
      <c r="N772">
        <f>IF(Table1[[#This Row],[وسيلة الدفع]]="بطاقة",1,0)</f>
        <v>0</v>
      </c>
      <c r="O772">
        <f>IF(Table1[[#This Row],[وسيلة الدفع]]="محفظة",1,0)</f>
        <v>0</v>
      </c>
      <c r="P772">
        <f>IF(Table1[[#This Row],[وسيلة الدفع]]="تحويل",1,0)</f>
        <v>1</v>
      </c>
      <c r="Q772">
        <f>IF(Table1[[#This Row],[حضر التهيئة]]="نعم",1,0)</f>
        <v>1</v>
      </c>
      <c r="R772">
        <f>IF(Table1[[#This Row],[دورة الفوترة]]="شهري",1,0)</f>
        <v>0</v>
      </c>
    </row>
    <row r="773" spans="1:18" x14ac:dyDescent="0.25">
      <c r="A773" t="s">
        <v>793</v>
      </c>
      <c r="B773" s="1">
        <v>45744</v>
      </c>
      <c r="C773" t="s">
        <v>19</v>
      </c>
      <c r="D773">
        <v>189</v>
      </c>
      <c r="E773" t="s">
        <v>20</v>
      </c>
      <c r="F773">
        <v>8</v>
      </c>
      <c r="G773" t="s">
        <v>23</v>
      </c>
      <c r="H773">
        <v>8</v>
      </c>
      <c r="I773">
        <v>22</v>
      </c>
      <c r="J773">
        <v>15</v>
      </c>
      <c r="K773" t="s">
        <v>16</v>
      </c>
      <c r="L773" t="s">
        <v>17</v>
      </c>
      <c r="M773">
        <f>IF(Table1[[#This Row],[ألغى الاشتراك]]="نعم",1,0)</f>
        <v>0</v>
      </c>
      <c r="N773">
        <f>IF(Table1[[#This Row],[وسيلة الدفع]]="بطاقة",1,0)</f>
        <v>0</v>
      </c>
      <c r="O773">
        <f>IF(Table1[[#This Row],[وسيلة الدفع]]="محفظة",1,0)</f>
        <v>0</v>
      </c>
      <c r="P773">
        <f>IF(Table1[[#This Row],[وسيلة الدفع]]="تحويل",1,0)</f>
        <v>1</v>
      </c>
      <c r="Q773">
        <f>IF(Table1[[#This Row],[حضر التهيئة]]="نعم",1,0)</f>
        <v>1</v>
      </c>
      <c r="R773">
        <f>IF(Table1[[#This Row],[دورة الفوترة]]="شهري",1,0)</f>
        <v>0</v>
      </c>
    </row>
    <row r="774" spans="1:18" x14ac:dyDescent="0.25">
      <c r="A774" t="s">
        <v>794</v>
      </c>
      <c r="B774" s="1">
        <v>45525</v>
      </c>
      <c r="C774" t="s">
        <v>19</v>
      </c>
      <c r="D774">
        <v>189</v>
      </c>
      <c r="E774" t="s">
        <v>20</v>
      </c>
      <c r="F774">
        <v>2</v>
      </c>
      <c r="G774" t="s">
        <v>15</v>
      </c>
      <c r="H774">
        <v>0</v>
      </c>
      <c r="I774">
        <v>4</v>
      </c>
      <c r="J774">
        <v>0</v>
      </c>
      <c r="K774" t="s">
        <v>17</v>
      </c>
      <c r="L774" t="s">
        <v>17</v>
      </c>
      <c r="M774">
        <f>IF(Table1[[#This Row],[ألغى الاشتراك]]="نعم",1,0)</f>
        <v>0</v>
      </c>
      <c r="N774">
        <f>IF(Table1[[#This Row],[وسيلة الدفع]]="بطاقة",1,0)</f>
        <v>1</v>
      </c>
      <c r="O774">
        <f>IF(Table1[[#This Row],[وسيلة الدفع]]="محفظة",1,0)</f>
        <v>0</v>
      </c>
      <c r="P774">
        <f>IF(Table1[[#This Row],[وسيلة الدفع]]="تحويل",1,0)</f>
        <v>0</v>
      </c>
      <c r="Q774">
        <f>IF(Table1[[#This Row],[حضر التهيئة]]="نعم",1,0)</f>
        <v>0</v>
      </c>
      <c r="R774">
        <f>IF(Table1[[#This Row],[دورة الفوترة]]="شهري",1,0)</f>
        <v>0</v>
      </c>
    </row>
    <row r="775" spans="1:18" x14ac:dyDescent="0.25">
      <c r="A775" t="s">
        <v>795</v>
      </c>
      <c r="B775" s="1">
        <v>45679</v>
      </c>
      <c r="C775" t="s">
        <v>19</v>
      </c>
      <c r="D775">
        <v>189</v>
      </c>
      <c r="E775" t="s">
        <v>14</v>
      </c>
      <c r="F775">
        <v>29</v>
      </c>
      <c r="G775" t="s">
        <v>21</v>
      </c>
      <c r="H775">
        <v>2</v>
      </c>
      <c r="I775">
        <v>49</v>
      </c>
      <c r="J775">
        <v>0</v>
      </c>
      <c r="K775" t="s">
        <v>17</v>
      </c>
      <c r="L775" t="s">
        <v>16</v>
      </c>
      <c r="M775">
        <f>IF(Table1[[#This Row],[ألغى الاشتراك]]="نعم",1,0)</f>
        <v>1</v>
      </c>
      <c r="N775">
        <f>IF(Table1[[#This Row],[وسيلة الدفع]]="بطاقة",1,0)</f>
        <v>0</v>
      </c>
      <c r="O775">
        <f>IF(Table1[[#This Row],[وسيلة الدفع]]="محفظة",1,0)</f>
        <v>1</v>
      </c>
      <c r="P775">
        <f>IF(Table1[[#This Row],[وسيلة الدفع]]="تحويل",1,0)</f>
        <v>0</v>
      </c>
      <c r="Q775">
        <f>IF(Table1[[#This Row],[حضر التهيئة]]="نعم",1,0)</f>
        <v>0</v>
      </c>
      <c r="R775">
        <f>IF(Table1[[#This Row],[دورة الفوترة]]="شهري",1,0)</f>
        <v>1</v>
      </c>
    </row>
    <row r="776" spans="1:18" x14ac:dyDescent="0.25">
      <c r="A776" t="s">
        <v>796</v>
      </c>
      <c r="B776" s="1">
        <v>45576</v>
      </c>
      <c r="C776" t="s">
        <v>19</v>
      </c>
      <c r="D776">
        <v>189</v>
      </c>
      <c r="E776" t="s">
        <v>20</v>
      </c>
      <c r="F776">
        <v>6</v>
      </c>
      <c r="G776" t="s">
        <v>21</v>
      </c>
      <c r="H776">
        <v>2</v>
      </c>
      <c r="I776">
        <v>18</v>
      </c>
      <c r="J776">
        <v>0</v>
      </c>
      <c r="K776" t="s">
        <v>17</v>
      </c>
      <c r="L776" t="s">
        <v>17</v>
      </c>
      <c r="M776">
        <f>IF(Table1[[#This Row],[ألغى الاشتراك]]="نعم",1,0)</f>
        <v>0</v>
      </c>
      <c r="N776">
        <f>IF(Table1[[#This Row],[وسيلة الدفع]]="بطاقة",1,0)</f>
        <v>0</v>
      </c>
      <c r="O776">
        <f>IF(Table1[[#This Row],[وسيلة الدفع]]="محفظة",1,0)</f>
        <v>1</v>
      </c>
      <c r="P776">
        <f>IF(Table1[[#This Row],[وسيلة الدفع]]="تحويل",1,0)</f>
        <v>0</v>
      </c>
      <c r="Q776">
        <f>IF(Table1[[#This Row],[حضر التهيئة]]="نعم",1,0)</f>
        <v>0</v>
      </c>
      <c r="R776">
        <f>IF(Table1[[#This Row],[دورة الفوترة]]="شهري",1,0)</f>
        <v>0</v>
      </c>
    </row>
    <row r="777" spans="1:18" x14ac:dyDescent="0.25">
      <c r="A777" t="s">
        <v>797</v>
      </c>
      <c r="B777" s="1">
        <v>45862</v>
      </c>
      <c r="C777" t="s">
        <v>13</v>
      </c>
      <c r="D777">
        <v>89</v>
      </c>
      <c r="E777" t="s">
        <v>14</v>
      </c>
      <c r="F777">
        <v>19</v>
      </c>
      <c r="G777" t="s">
        <v>15</v>
      </c>
      <c r="H777">
        <v>1</v>
      </c>
      <c r="I777">
        <v>19</v>
      </c>
      <c r="J777">
        <v>0</v>
      </c>
      <c r="K777" t="s">
        <v>16</v>
      </c>
      <c r="L777" t="s">
        <v>17</v>
      </c>
      <c r="M777">
        <f>IF(Table1[[#This Row],[ألغى الاشتراك]]="نعم",1,0)</f>
        <v>0</v>
      </c>
      <c r="N777">
        <f>IF(Table1[[#This Row],[وسيلة الدفع]]="بطاقة",1,0)</f>
        <v>1</v>
      </c>
      <c r="O777">
        <f>IF(Table1[[#This Row],[وسيلة الدفع]]="محفظة",1,0)</f>
        <v>0</v>
      </c>
      <c r="P777">
        <f>IF(Table1[[#This Row],[وسيلة الدفع]]="تحويل",1,0)</f>
        <v>0</v>
      </c>
      <c r="Q777">
        <f>IF(Table1[[#This Row],[حضر التهيئة]]="نعم",1,0)</f>
        <v>1</v>
      </c>
      <c r="R777">
        <f>IF(Table1[[#This Row],[دورة الفوترة]]="شهري",1,0)</f>
        <v>1</v>
      </c>
    </row>
    <row r="778" spans="1:18" x14ac:dyDescent="0.25">
      <c r="A778" t="s">
        <v>798</v>
      </c>
      <c r="B778" s="1">
        <v>45639</v>
      </c>
      <c r="C778" t="s">
        <v>19</v>
      </c>
      <c r="D778">
        <v>189</v>
      </c>
      <c r="E778" t="s">
        <v>20</v>
      </c>
      <c r="F778">
        <v>6</v>
      </c>
      <c r="G778" t="s">
        <v>15</v>
      </c>
      <c r="H778">
        <v>2</v>
      </c>
      <c r="I778">
        <v>54</v>
      </c>
      <c r="J778">
        <v>0</v>
      </c>
      <c r="K778" t="s">
        <v>16</v>
      </c>
      <c r="L778" t="s">
        <v>17</v>
      </c>
      <c r="M778">
        <f>IF(Table1[[#This Row],[ألغى الاشتراك]]="نعم",1,0)</f>
        <v>0</v>
      </c>
      <c r="N778">
        <f>IF(Table1[[#This Row],[وسيلة الدفع]]="بطاقة",1,0)</f>
        <v>1</v>
      </c>
      <c r="O778">
        <f>IF(Table1[[#This Row],[وسيلة الدفع]]="محفظة",1,0)</f>
        <v>0</v>
      </c>
      <c r="P778">
        <f>IF(Table1[[#This Row],[وسيلة الدفع]]="تحويل",1,0)</f>
        <v>0</v>
      </c>
      <c r="Q778">
        <f>IF(Table1[[#This Row],[حضر التهيئة]]="نعم",1,0)</f>
        <v>1</v>
      </c>
      <c r="R778">
        <f>IF(Table1[[#This Row],[دورة الفوترة]]="شهري",1,0)</f>
        <v>0</v>
      </c>
    </row>
    <row r="779" spans="1:18" x14ac:dyDescent="0.25">
      <c r="A779" t="s">
        <v>799</v>
      </c>
      <c r="B779" s="1">
        <v>45799</v>
      </c>
      <c r="C779" t="s">
        <v>28</v>
      </c>
      <c r="D779">
        <v>39</v>
      </c>
      <c r="E779" t="s">
        <v>14</v>
      </c>
      <c r="F779">
        <v>29</v>
      </c>
      <c r="G779" t="s">
        <v>23</v>
      </c>
      <c r="H779">
        <v>0</v>
      </c>
      <c r="I779">
        <v>13</v>
      </c>
      <c r="J779">
        <v>0</v>
      </c>
      <c r="K779" t="s">
        <v>16</v>
      </c>
      <c r="L779" t="s">
        <v>17</v>
      </c>
      <c r="M779">
        <f>IF(Table1[[#This Row],[ألغى الاشتراك]]="نعم",1,0)</f>
        <v>0</v>
      </c>
      <c r="N779">
        <f>IF(Table1[[#This Row],[وسيلة الدفع]]="بطاقة",1,0)</f>
        <v>0</v>
      </c>
      <c r="O779">
        <f>IF(Table1[[#This Row],[وسيلة الدفع]]="محفظة",1,0)</f>
        <v>0</v>
      </c>
      <c r="P779">
        <f>IF(Table1[[#This Row],[وسيلة الدفع]]="تحويل",1,0)</f>
        <v>1</v>
      </c>
      <c r="Q779">
        <f>IF(Table1[[#This Row],[حضر التهيئة]]="نعم",1,0)</f>
        <v>1</v>
      </c>
      <c r="R779">
        <f>IF(Table1[[#This Row],[دورة الفوترة]]="شهري",1,0)</f>
        <v>1</v>
      </c>
    </row>
    <row r="780" spans="1:18" x14ac:dyDescent="0.25">
      <c r="A780" t="s">
        <v>800</v>
      </c>
      <c r="B780" s="1">
        <v>45345</v>
      </c>
      <c r="C780" t="s">
        <v>19</v>
      </c>
      <c r="D780">
        <v>189</v>
      </c>
      <c r="E780" t="s">
        <v>14</v>
      </c>
      <c r="F780">
        <v>6</v>
      </c>
      <c r="G780" t="s">
        <v>15</v>
      </c>
      <c r="H780">
        <v>1</v>
      </c>
      <c r="I780">
        <v>42</v>
      </c>
      <c r="J780">
        <v>0</v>
      </c>
      <c r="K780" t="s">
        <v>16</v>
      </c>
      <c r="L780" t="s">
        <v>17</v>
      </c>
      <c r="M780">
        <f>IF(Table1[[#This Row],[ألغى الاشتراك]]="نعم",1,0)</f>
        <v>0</v>
      </c>
      <c r="N780">
        <f>IF(Table1[[#This Row],[وسيلة الدفع]]="بطاقة",1,0)</f>
        <v>1</v>
      </c>
      <c r="O780">
        <f>IF(Table1[[#This Row],[وسيلة الدفع]]="محفظة",1,0)</f>
        <v>0</v>
      </c>
      <c r="P780">
        <f>IF(Table1[[#This Row],[وسيلة الدفع]]="تحويل",1,0)</f>
        <v>0</v>
      </c>
      <c r="Q780">
        <f>IF(Table1[[#This Row],[حضر التهيئة]]="نعم",1,0)</f>
        <v>1</v>
      </c>
      <c r="R780">
        <f>IF(Table1[[#This Row],[دورة الفوترة]]="شهري",1,0)</f>
        <v>1</v>
      </c>
    </row>
    <row r="781" spans="1:18" x14ac:dyDescent="0.25">
      <c r="A781" t="s">
        <v>801</v>
      </c>
      <c r="B781" s="1">
        <v>45866</v>
      </c>
      <c r="C781" t="s">
        <v>13</v>
      </c>
      <c r="D781">
        <v>89</v>
      </c>
      <c r="E781" t="s">
        <v>20</v>
      </c>
      <c r="F781">
        <v>15</v>
      </c>
      <c r="G781" t="s">
        <v>21</v>
      </c>
      <c r="H781">
        <v>1</v>
      </c>
      <c r="I781">
        <v>13</v>
      </c>
      <c r="J781">
        <v>0</v>
      </c>
      <c r="K781" t="s">
        <v>16</v>
      </c>
      <c r="L781" t="s">
        <v>17</v>
      </c>
      <c r="M781">
        <f>IF(Table1[[#This Row],[ألغى الاشتراك]]="نعم",1,0)</f>
        <v>0</v>
      </c>
      <c r="N781">
        <f>IF(Table1[[#This Row],[وسيلة الدفع]]="بطاقة",1,0)</f>
        <v>0</v>
      </c>
      <c r="O781">
        <f>IF(Table1[[#This Row],[وسيلة الدفع]]="محفظة",1,0)</f>
        <v>1</v>
      </c>
      <c r="P781">
        <f>IF(Table1[[#This Row],[وسيلة الدفع]]="تحويل",1,0)</f>
        <v>0</v>
      </c>
      <c r="Q781">
        <f>IF(Table1[[#This Row],[حضر التهيئة]]="نعم",1,0)</f>
        <v>1</v>
      </c>
      <c r="R781">
        <f>IF(Table1[[#This Row],[دورة الفوترة]]="شهري",1,0)</f>
        <v>0</v>
      </c>
    </row>
    <row r="782" spans="1:18" x14ac:dyDescent="0.25">
      <c r="A782" t="s">
        <v>802</v>
      </c>
      <c r="B782" s="1">
        <v>45659</v>
      </c>
      <c r="C782" t="s">
        <v>19</v>
      </c>
      <c r="D782">
        <v>189</v>
      </c>
      <c r="E782" t="s">
        <v>20</v>
      </c>
      <c r="F782">
        <v>22</v>
      </c>
      <c r="G782" t="s">
        <v>21</v>
      </c>
      <c r="H782">
        <v>1</v>
      </c>
      <c r="I782">
        <v>50</v>
      </c>
      <c r="J782">
        <v>5</v>
      </c>
      <c r="K782" t="s">
        <v>16</v>
      </c>
      <c r="L782" t="s">
        <v>17</v>
      </c>
      <c r="M782">
        <f>IF(Table1[[#This Row],[ألغى الاشتراك]]="نعم",1,0)</f>
        <v>0</v>
      </c>
      <c r="N782">
        <f>IF(Table1[[#This Row],[وسيلة الدفع]]="بطاقة",1,0)</f>
        <v>0</v>
      </c>
      <c r="O782">
        <f>IF(Table1[[#This Row],[وسيلة الدفع]]="محفظة",1,0)</f>
        <v>1</v>
      </c>
      <c r="P782">
        <f>IF(Table1[[#This Row],[وسيلة الدفع]]="تحويل",1,0)</f>
        <v>0</v>
      </c>
      <c r="Q782">
        <f>IF(Table1[[#This Row],[حضر التهيئة]]="نعم",1,0)</f>
        <v>1</v>
      </c>
      <c r="R782">
        <f>IF(Table1[[#This Row],[دورة الفوترة]]="شهري",1,0)</f>
        <v>0</v>
      </c>
    </row>
    <row r="783" spans="1:18" x14ac:dyDescent="0.25">
      <c r="A783" t="s">
        <v>803</v>
      </c>
      <c r="B783" s="1">
        <v>45333</v>
      </c>
      <c r="C783" t="s">
        <v>28</v>
      </c>
      <c r="D783">
        <v>39</v>
      </c>
      <c r="E783" t="s">
        <v>20</v>
      </c>
      <c r="F783">
        <v>22</v>
      </c>
      <c r="G783" t="s">
        <v>21</v>
      </c>
      <c r="H783">
        <v>1</v>
      </c>
      <c r="I783">
        <v>18</v>
      </c>
      <c r="J783">
        <v>0</v>
      </c>
      <c r="K783" t="s">
        <v>16</v>
      </c>
      <c r="L783" t="s">
        <v>17</v>
      </c>
      <c r="M783">
        <f>IF(Table1[[#This Row],[ألغى الاشتراك]]="نعم",1,0)</f>
        <v>0</v>
      </c>
      <c r="N783">
        <f>IF(Table1[[#This Row],[وسيلة الدفع]]="بطاقة",1,0)</f>
        <v>0</v>
      </c>
      <c r="O783">
        <f>IF(Table1[[#This Row],[وسيلة الدفع]]="محفظة",1,0)</f>
        <v>1</v>
      </c>
      <c r="P783">
        <f>IF(Table1[[#This Row],[وسيلة الدفع]]="تحويل",1,0)</f>
        <v>0</v>
      </c>
      <c r="Q783">
        <f>IF(Table1[[#This Row],[حضر التهيئة]]="نعم",1,0)</f>
        <v>1</v>
      </c>
      <c r="R783">
        <f>IF(Table1[[#This Row],[دورة الفوترة]]="شهري",1,0)</f>
        <v>0</v>
      </c>
    </row>
    <row r="784" spans="1:18" x14ac:dyDescent="0.25">
      <c r="A784" t="s">
        <v>804</v>
      </c>
      <c r="B784" s="1">
        <v>45965</v>
      </c>
      <c r="C784" t="s">
        <v>13</v>
      </c>
      <c r="D784">
        <v>89</v>
      </c>
      <c r="E784" t="s">
        <v>20</v>
      </c>
      <c r="F784">
        <v>19</v>
      </c>
      <c r="G784" t="s">
        <v>15</v>
      </c>
      <c r="H784">
        <v>0</v>
      </c>
      <c r="I784">
        <v>25</v>
      </c>
      <c r="J784">
        <v>0</v>
      </c>
      <c r="K784" t="s">
        <v>16</v>
      </c>
      <c r="L784" t="s">
        <v>17</v>
      </c>
      <c r="M784">
        <f>IF(Table1[[#This Row],[ألغى الاشتراك]]="نعم",1,0)</f>
        <v>0</v>
      </c>
      <c r="N784">
        <f>IF(Table1[[#This Row],[وسيلة الدفع]]="بطاقة",1,0)</f>
        <v>1</v>
      </c>
      <c r="O784">
        <f>IF(Table1[[#This Row],[وسيلة الدفع]]="محفظة",1,0)</f>
        <v>0</v>
      </c>
      <c r="P784">
        <f>IF(Table1[[#This Row],[وسيلة الدفع]]="تحويل",1,0)</f>
        <v>0</v>
      </c>
      <c r="Q784">
        <f>IF(Table1[[#This Row],[حضر التهيئة]]="نعم",1,0)</f>
        <v>1</v>
      </c>
      <c r="R784">
        <f>IF(Table1[[#This Row],[دورة الفوترة]]="شهري",1,0)</f>
        <v>0</v>
      </c>
    </row>
    <row r="785" spans="1:18" x14ac:dyDescent="0.25">
      <c r="A785" t="s">
        <v>805</v>
      </c>
      <c r="B785" s="1">
        <v>45529</v>
      </c>
      <c r="C785" t="s">
        <v>13</v>
      </c>
      <c r="D785">
        <v>89</v>
      </c>
      <c r="E785" t="s">
        <v>14</v>
      </c>
      <c r="F785">
        <v>30</v>
      </c>
      <c r="G785" t="s">
        <v>15</v>
      </c>
      <c r="H785">
        <v>11</v>
      </c>
      <c r="I785">
        <v>46</v>
      </c>
      <c r="J785">
        <v>0</v>
      </c>
      <c r="K785" t="s">
        <v>17</v>
      </c>
      <c r="L785" t="s">
        <v>17</v>
      </c>
      <c r="M785">
        <f>IF(Table1[[#This Row],[ألغى الاشتراك]]="نعم",1,0)</f>
        <v>0</v>
      </c>
      <c r="N785">
        <f>IF(Table1[[#This Row],[وسيلة الدفع]]="بطاقة",1,0)</f>
        <v>1</v>
      </c>
      <c r="O785">
        <f>IF(Table1[[#This Row],[وسيلة الدفع]]="محفظة",1,0)</f>
        <v>0</v>
      </c>
      <c r="P785">
        <f>IF(Table1[[#This Row],[وسيلة الدفع]]="تحويل",1,0)</f>
        <v>0</v>
      </c>
      <c r="Q785">
        <f>IF(Table1[[#This Row],[حضر التهيئة]]="نعم",1,0)</f>
        <v>0</v>
      </c>
      <c r="R785">
        <f>IF(Table1[[#This Row],[دورة الفوترة]]="شهري",1,0)</f>
        <v>1</v>
      </c>
    </row>
    <row r="786" spans="1:18" x14ac:dyDescent="0.25">
      <c r="A786" t="s">
        <v>806</v>
      </c>
      <c r="B786" s="1">
        <v>45675</v>
      </c>
      <c r="C786" t="s">
        <v>28</v>
      </c>
      <c r="D786">
        <v>39</v>
      </c>
      <c r="E786" t="s">
        <v>14</v>
      </c>
      <c r="F786">
        <v>11</v>
      </c>
      <c r="G786" t="s">
        <v>21</v>
      </c>
      <c r="H786">
        <v>1</v>
      </c>
      <c r="I786">
        <v>21</v>
      </c>
      <c r="J786">
        <v>0</v>
      </c>
      <c r="K786" t="s">
        <v>16</v>
      </c>
      <c r="L786" t="s">
        <v>17</v>
      </c>
      <c r="M786">
        <f>IF(Table1[[#This Row],[ألغى الاشتراك]]="نعم",1,0)</f>
        <v>0</v>
      </c>
      <c r="N786">
        <f>IF(Table1[[#This Row],[وسيلة الدفع]]="بطاقة",1,0)</f>
        <v>0</v>
      </c>
      <c r="O786">
        <f>IF(Table1[[#This Row],[وسيلة الدفع]]="محفظة",1,0)</f>
        <v>1</v>
      </c>
      <c r="P786">
        <f>IF(Table1[[#This Row],[وسيلة الدفع]]="تحويل",1,0)</f>
        <v>0</v>
      </c>
      <c r="Q786">
        <f>IF(Table1[[#This Row],[حضر التهيئة]]="نعم",1,0)</f>
        <v>1</v>
      </c>
      <c r="R786">
        <f>IF(Table1[[#This Row],[دورة الفوترة]]="شهري",1,0)</f>
        <v>1</v>
      </c>
    </row>
    <row r="787" spans="1:18" x14ac:dyDescent="0.25">
      <c r="A787" t="s">
        <v>807</v>
      </c>
      <c r="B787" s="1">
        <v>45458</v>
      </c>
      <c r="C787" t="s">
        <v>19</v>
      </c>
      <c r="D787">
        <v>189</v>
      </c>
      <c r="E787" t="s">
        <v>14</v>
      </c>
      <c r="F787">
        <v>6</v>
      </c>
      <c r="G787" t="s">
        <v>23</v>
      </c>
      <c r="H787">
        <v>6</v>
      </c>
      <c r="I787">
        <v>4</v>
      </c>
      <c r="J787">
        <v>0</v>
      </c>
      <c r="K787" t="s">
        <v>17</v>
      </c>
      <c r="L787" t="s">
        <v>17</v>
      </c>
      <c r="M787">
        <f>IF(Table1[[#This Row],[ألغى الاشتراك]]="نعم",1,0)</f>
        <v>0</v>
      </c>
      <c r="N787">
        <f>IF(Table1[[#This Row],[وسيلة الدفع]]="بطاقة",1,0)</f>
        <v>0</v>
      </c>
      <c r="O787">
        <f>IF(Table1[[#This Row],[وسيلة الدفع]]="محفظة",1,0)</f>
        <v>0</v>
      </c>
      <c r="P787">
        <f>IF(Table1[[#This Row],[وسيلة الدفع]]="تحويل",1,0)</f>
        <v>1</v>
      </c>
      <c r="Q787">
        <f>IF(Table1[[#This Row],[حضر التهيئة]]="نعم",1,0)</f>
        <v>0</v>
      </c>
      <c r="R787">
        <f>IF(Table1[[#This Row],[دورة الفوترة]]="شهري",1,0)</f>
        <v>1</v>
      </c>
    </row>
    <row r="788" spans="1:18" x14ac:dyDescent="0.25">
      <c r="A788" t="s">
        <v>808</v>
      </c>
      <c r="B788" s="1">
        <v>45977</v>
      </c>
      <c r="C788" t="s">
        <v>13</v>
      </c>
      <c r="D788">
        <v>89</v>
      </c>
      <c r="E788" t="s">
        <v>14</v>
      </c>
      <c r="F788">
        <v>7</v>
      </c>
      <c r="G788" t="s">
        <v>15</v>
      </c>
      <c r="H788">
        <v>1</v>
      </c>
      <c r="I788">
        <v>25</v>
      </c>
      <c r="J788">
        <v>0</v>
      </c>
      <c r="K788" t="s">
        <v>16</v>
      </c>
      <c r="L788" t="s">
        <v>17</v>
      </c>
      <c r="M788">
        <f>IF(Table1[[#This Row],[ألغى الاشتراك]]="نعم",1,0)</f>
        <v>0</v>
      </c>
      <c r="N788">
        <f>IF(Table1[[#This Row],[وسيلة الدفع]]="بطاقة",1,0)</f>
        <v>1</v>
      </c>
      <c r="O788">
        <f>IF(Table1[[#This Row],[وسيلة الدفع]]="محفظة",1,0)</f>
        <v>0</v>
      </c>
      <c r="P788">
        <f>IF(Table1[[#This Row],[وسيلة الدفع]]="تحويل",1,0)</f>
        <v>0</v>
      </c>
      <c r="Q788">
        <f>IF(Table1[[#This Row],[حضر التهيئة]]="نعم",1,0)</f>
        <v>1</v>
      </c>
      <c r="R788">
        <f>IF(Table1[[#This Row],[دورة الفوترة]]="شهري",1,0)</f>
        <v>1</v>
      </c>
    </row>
    <row r="789" spans="1:18" x14ac:dyDescent="0.25">
      <c r="A789" t="s">
        <v>809</v>
      </c>
      <c r="B789" s="1">
        <v>45387</v>
      </c>
      <c r="C789" t="s">
        <v>28</v>
      </c>
      <c r="D789">
        <v>39</v>
      </c>
      <c r="E789" t="s">
        <v>14</v>
      </c>
      <c r="F789">
        <v>20</v>
      </c>
      <c r="G789" t="s">
        <v>23</v>
      </c>
      <c r="H789">
        <v>7</v>
      </c>
      <c r="I789">
        <v>52</v>
      </c>
      <c r="J789">
        <v>0</v>
      </c>
      <c r="K789" t="s">
        <v>16</v>
      </c>
      <c r="L789" t="s">
        <v>17</v>
      </c>
      <c r="M789">
        <f>IF(Table1[[#This Row],[ألغى الاشتراك]]="نعم",1,0)</f>
        <v>0</v>
      </c>
      <c r="N789">
        <f>IF(Table1[[#This Row],[وسيلة الدفع]]="بطاقة",1,0)</f>
        <v>0</v>
      </c>
      <c r="O789">
        <f>IF(Table1[[#This Row],[وسيلة الدفع]]="محفظة",1,0)</f>
        <v>0</v>
      </c>
      <c r="P789">
        <f>IF(Table1[[#This Row],[وسيلة الدفع]]="تحويل",1,0)</f>
        <v>1</v>
      </c>
      <c r="Q789">
        <f>IF(Table1[[#This Row],[حضر التهيئة]]="نعم",1,0)</f>
        <v>1</v>
      </c>
      <c r="R789">
        <f>IF(Table1[[#This Row],[دورة الفوترة]]="شهري",1,0)</f>
        <v>1</v>
      </c>
    </row>
    <row r="790" spans="1:18" x14ac:dyDescent="0.25">
      <c r="A790" t="s">
        <v>810</v>
      </c>
      <c r="B790" s="1">
        <v>45470</v>
      </c>
      <c r="C790" t="s">
        <v>28</v>
      </c>
      <c r="D790">
        <v>39</v>
      </c>
      <c r="E790" t="s">
        <v>20</v>
      </c>
      <c r="F790">
        <v>21</v>
      </c>
      <c r="G790" t="s">
        <v>21</v>
      </c>
      <c r="H790">
        <v>1</v>
      </c>
      <c r="I790">
        <v>27</v>
      </c>
      <c r="J790">
        <v>10</v>
      </c>
      <c r="K790" t="s">
        <v>16</v>
      </c>
      <c r="L790" t="s">
        <v>17</v>
      </c>
      <c r="M790">
        <f>IF(Table1[[#This Row],[ألغى الاشتراك]]="نعم",1,0)</f>
        <v>0</v>
      </c>
      <c r="N790">
        <f>IF(Table1[[#This Row],[وسيلة الدفع]]="بطاقة",1,0)</f>
        <v>0</v>
      </c>
      <c r="O790">
        <f>IF(Table1[[#This Row],[وسيلة الدفع]]="محفظة",1,0)</f>
        <v>1</v>
      </c>
      <c r="P790">
        <f>IF(Table1[[#This Row],[وسيلة الدفع]]="تحويل",1,0)</f>
        <v>0</v>
      </c>
      <c r="Q790">
        <f>IF(Table1[[#This Row],[حضر التهيئة]]="نعم",1,0)</f>
        <v>1</v>
      </c>
      <c r="R790">
        <f>IF(Table1[[#This Row],[دورة الفوترة]]="شهري",1,0)</f>
        <v>0</v>
      </c>
    </row>
    <row r="791" spans="1:18" x14ac:dyDescent="0.25">
      <c r="A791" t="s">
        <v>811</v>
      </c>
      <c r="B791" s="1">
        <v>45985</v>
      </c>
      <c r="C791" t="s">
        <v>28</v>
      </c>
      <c r="D791">
        <v>39</v>
      </c>
      <c r="E791" t="s">
        <v>14</v>
      </c>
      <c r="F791">
        <v>27</v>
      </c>
      <c r="G791" t="s">
        <v>23</v>
      </c>
      <c r="H791">
        <v>0</v>
      </c>
      <c r="I791">
        <v>33</v>
      </c>
      <c r="J791">
        <v>0</v>
      </c>
      <c r="K791" t="s">
        <v>16</v>
      </c>
      <c r="L791" t="s">
        <v>17</v>
      </c>
      <c r="M791">
        <f>IF(Table1[[#This Row],[ألغى الاشتراك]]="نعم",1,0)</f>
        <v>0</v>
      </c>
      <c r="N791">
        <f>IF(Table1[[#This Row],[وسيلة الدفع]]="بطاقة",1,0)</f>
        <v>0</v>
      </c>
      <c r="O791">
        <f>IF(Table1[[#This Row],[وسيلة الدفع]]="محفظة",1,0)</f>
        <v>0</v>
      </c>
      <c r="P791">
        <f>IF(Table1[[#This Row],[وسيلة الدفع]]="تحويل",1,0)</f>
        <v>1</v>
      </c>
      <c r="Q791">
        <f>IF(Table1[[#This Row],[حضر التهيئة]]="نعم",1,0)</f>
        <v>1</v>
      </c>
      <c r="R791">
        <f>IF(Table1[[#This Row],[دورة الفوترة]]="شهري",1,0)</f>
        <v>1</v>
      </c>
    </row>
    <row r="792" spans="1:18" x14ac:dyDescent="0.25">
      <c r="A792" t="s">
        <v>812</v>
      </c>
      <c r="B792" s="1">
        <v>45651</v>
      </c>
      <c r="C792" t="s">
        <v>13</v>
      </c>
      <c r="D792">
        <v>89</v>
      </c>
      <c r="E792" t="s">
        <v>14</v>
      </c>
      <c r="F792">
        <v>30</v>
      </c>
      <c r="G792" t="s">
        <v>21</v>
      </c>
      <c r="H792">
        <v>1</v>
      </c>
      <c r="I792">
        <v>10</v>
      </c>
      <c r="J792">
        <v>0</v>
      </c>
      <c r="K792" t="s">
        <v>16</v>
      </c>
      <c r="L792" t="s">
        <v>16</v>
      </c>
      <c r="M792">
        <f>IF(Table1[[#This Row],[ألغى الاشتراك]]="نعم",1,0)</f>
        <v>1</v>
      </c>
      <c r="N792">
        <f>IF(Table1[[#This Row],[وسيلة الدفع]]="بطاقة",1,0)</f>
        <v>0</v>
      </c>
      <c r="O792">
        <f>IF(Table1[[#This Row],[وسيلة الدفع]]="محفظة",1,0)</f>
        <v>1</v>
      </c>
      <c r="P792">
        <f>IF(Table1[[#This Row],[وسيلة الدفع]]="تحويل",1,0)</f>
        <v>0</v>
      </c>
      <c r="Q792">
        <f>IF(Table1[[#This Row],[حضر التهيئة]]="نعم",1,0)</f>
        <v>1</v>
      </c>
      <c r="R792">
        <f>IF(Table1[[#This Row],[دورة الفوترة]]="شهري",1,0)</f>
        <v>1</v>
      </c>
    </row>
    <row r="793" spans="1:18" x14ac:dyDescent="0.25">
      <c r="A793" t="s">
        <v>813</v>
      </c>
      <c r="B793" s="1">
        <v>45470</v>
      </c>
      <c r="C793" t="s">
        <v>28</v>
      </c>
      <c r="D793">
        <v>39</v>
      </c>
      <c r="E793" t="s">
        <v>14</v>
      </c>
      <c r="F793">
        <v>19</v>
      </c>
      <c r="G793" t="s">
        <v>23</v>
      </c>
      <c r="H793">
        <v>1</v>
      </c>
      <c r="I793">
        <v>3</v>
      </c>
      <c r="J793">
        <v>10</v>
      </c>
      <c r="K793" t="s">
        <v>17</v>
      </c>
      <c r="L793" t="s">
        <v>17</v>
      </c>
      <c r="M793">
        <f>IF(Table1[[#This Row],[ألغى الاشتراك]]="نعم",1,0)</f>
        <v>0</v>
      </c>
      <c r="N793">
        <f>IF(Table1[[#This Row],[وسيلة الدفع]]="بطاقة",1,0)</f>
        <v>0</v>
      </c>
      <c r="O793">
        <f>IF(Table1[[#This Row],[وسيلة الدفع]]="محفظة",1,0)</f>
        <v>0</v>
      </c>
      <c r="P793">
        <f>IF(Table1[[#This Row],[وسيلة الدفع]]="تحويل",1,0)</f>
        <v>1</v>
      </c>
      <c r="Q793">
        <f>IF(Table1[[#This Row],[حضر التهيئة]]="نعم",1,0)</f>
        <v>0</v>
      </c>
      <c r="R793">
        <f>IF(Table1[[#This Row],[دورة الفوترة]]="شهري",1,0)</f>
        <v>1</v>
      </c>
    </row>
    <row r="794" spans="1:18" x14ac:dyDescent="0.25">
      <c r="A794" t="s">
        <v>814</v>
      </c>
      <c r="B794" s="1">
        <v>45969</v>
      </c>
      <c r="C794" t="s">
        <v>19</v>
      </c>
      <c r="D794">
        <v>189</v>
      </c>
      <c r="E794" t="s">
        <v>14</v>
      </c>
      <c r="F794">
        <v>1</v>
      </c>
      <c r="G794" t="s">
        <v>15</v>
      </c>
      <c r="H794">
        <v>6</v>
      </c>
      <c r="I794">
        <v>21</v>
      </c>
      <c r="J794">
        <v>0</v>
      </c>
      <c r="K794" t="s">
        <v>16</v>
      </c>
      <c r="L794" t="s">
        <v>17</v>
      </c>
      <c r="M794">
        <f>IF(Table1[[#This Row],[ألغى الاشتراك]]="نعم",1,0)</f>
        <v>0</v>
      </c>
      <c r="N794">
        <f>IF(Table1[[#This Row],[وسيلة الدفع]]="بطاقة",1,0)</f>
        <v>1</v>
      </c>
      <c r="O794">
        <f>IF(Table1[[#This Row],[وسيلة الدفع]]="محفظة",1,0)</f>
        <v>0</v>
      </c>
      <c r="P794">
        <f>IF(Table1[[#This Row],[وسيلة الدفع]]="تحويل",1,0)</f>
        <v>0</v>
      </c>
      <c r="Q794">
        <f>IF(Table1[[#This Row],[حضر التهيئة]]="نعم",1,0)</f>
        <v>1</v>
      </c>
      <c r="R794">
        <f>IF(Table1[[#This Row],[دورة الفوترة]]="شهري",1,0)</f>
        <v>1</v>
      </c>
    </row>
    <row r="795" spans="1:18" x14ac:dyDescent="0.25">
      <c r="A795" t="s">
        <v>815</v>
      </c>
      <c r="B795" s="1">
        <v>45513</v>
      </c>
      <c r="C795" t="s">
        <v>28</v>
      </c>
      <c r="D795">
        <v>39</v>
      </c>
      <c r="E795" t="s">
        <v>14</v>
      </c>
      <c r="F795">
        <v>26</v>
      </c>
      <c r="G795" t="s">
        <v>23</v>
      </c>
      <c r="H795">
        <v>8</v>
      </c>
      <c r="I795">
        <v>32</v>
      </c>
      <c r="J795">
        <v>0</v>
      </c>
      <c r="K795" t="s">
        <v>16</v>
      </c>
      <c r="L795" t="s">
        <v>17</v>
      </c>
      <c r="M795">
        <f>IF(Table1[[#This Row],[ألغى الاشتراك]]="نعم",1,0)</f>
        <v>0</v>
      </c>
      <c r="N795">
        <f>IF(Table1[[#This Row],[وسيلة الدفع]]="بطاقة",1,0)</f>
        <v>0</v>
      </c>
      <c r="O795">
        <f>IF(Table1[[#This Row],[وسيلة الدفع]]="محفظة",1,0)</f>
        <v>0</v>
      </c>
      <c r="P795">
        <f>IF(Table1[[#This Row],[وسيلة الدفع]]="تحويل",1,0)</f>
        <v>1</v>
      </c>
      <c r="Q795">
        <f>IF(Table1[[#This Row],[حضر التهيئة]]="نعم",1,0)</f>
        <v>1</v>
      </c>
      <c r="R795">
        <f>IF(Table1[[#This Row],[دورة الفوترة]]="شهري",1,0)</f>
        <v>1</v>
      </c>
    </row>
    <row r="796" spans="1:18" x14ac:dyDescent="0.25">
      <c r="A796" t="s">
        <v>816</v>
      </c>
      <c r="B796" s="1">
        <v>45659</v>
      </c>
      <c r="C796" t="s">
        <v>19</v>
      </c>
      <c r="D796">
        <v>189</v>
      </c>
      <c r="E796" t="s">
        <v>20</v>
      </c>
      <c r="F796">
        <v>11</v>
      </c>
      <c r="G796" t="s">
        <v>21</v>
      </c>
      <c r="H796">
        <v>0</v>
      </c>
      <c r="I796">
        <v>53</v>
      </c>
      <c r="J796">
        <v>0</v>
      </c>
      <c r="K796" t="s">
        <v>17</v>
      </c>
      <c r="L796" t="s">
        <v>17</v>
      </c>
      <c r="M796">
        <f>IF(Table1[[#This Row],[ألغى الاشتراك]]="نعم",1,0)</f>
        <v>0</v>
      </c>
      <c r="N796">
        <f>IF(Table1[[#This Row],[وسيلة الدفع]]="بطاقة",1,0)</f>
        <v>0</v>
      </c>
      <c r="O796">
        <f>IF(Table1[[#This Row],[وسيلة الدفع]]="محفظة",1,0)</f>
        <v>1</v>
      </c>
      <c r="P796">
        <f>IF(Table1[[#This Row],[وسيلة الدفع]]="تحويل",1,0)</f>
        <v>0</v>
      </c>
      <c r="Q796">
        <f>IF(Table1[[#This Row],[حضر التهيئة]]="نعم",1,0)</f>
        <v>0</v>
      </c>
      <c r="R796">
        <f>IF(Table1[[#This Row],[دورة الفوترة]]="شهري",1,0)</f>
        <v>0</v>
      </c>
    </row>
    <row r="797" spans="1:18" x14ac:dyDescent="0.25">
      <c r="A797" t="s">
        <v>817</v>
      </c>
      <c r="B797" s="1">
        <v>45345</v>
      </c>
      <c r="C797" t="s">
        <v>19</v>
      </c>
      <c r="D797">
        <v>189</v>
      </c>
      <c r="E797" t="s">
        <v>14</v>
      </c>
      <c r="F797">
        <v>10</v>
      </c>
      <c r="G797" t="s">
        <v>21</v>
      </c>
      <c r="H797">
        <v>1</v>
      </c>
      <c r="I797">
        <v>48</v>
      </c>
      <c r="J797">
        <v>0</v>
      </c>
      <c r="K797" t="s">
        <v>16</v>
      </c>
      <c r="L797" t="s">
        <v>17</v>
      </c>
      <c r="M797">
        <f>IF(Table1[[#This Row],[ألغى الاشتراك]]="نعم",1,0)</f>
        <v>0</v>
      </c>
      <c r="N797">
        <f>IF(Table1[[#This Row],[وسيلة الدفع]]="بطاقة",1,0)</f>
        <v>0</v>
      </c>
      <c r="O797">
        <f>IF(Table1[[#This Row],[وسيلة الدفع]]="محفظة",1,0)</f>
        <v>1</v>
      </c>
      <c r="P797">
        <f>IF(Table1[[#This Row],[وسيلة الدفع]]="تحويل",1,0)</f>
        <v>0</v>
      </c>
      <c r="Q797">
        <f>IF(Table1[[#This Row],[حضر التهيئة]]="نعم",1,0)</f>
        <v>1</v>
      </c>
      <c r="R797">
        <f>IF(Table1[[#This Row],[دورة الفوترة]]="شهري",1,0)</f>
        <v>1</v>
      </c>
    </row>
    <row r="798" spans="1:18" x14ac:dyDescent="0.25">
      <c r="A798" t="s">
        <v>818</v>
      </c>
      <c r="B798" s="1">
        <v>45395</v>
      </c>
      <c r="C798" t="s">
        <v>28</v>
      </c>
      <c r="D798">
        <v>39</v>
      </c>
      <c r="E798" t="s">
        <v>14</v>
      </c>
      <c r="F798">
        <v>7</v>
      </c>
      <c r="G798" t="s">
        <v>23</v>
      </c>
      <c r="H798">
        <v>0</v>
      </c>
      <c r="I798">
        <v>43</v>
      </c>
      <c r="J798">
        <v>25</v>
      </c>
      <c r="K798" t="s">
        <v>16</v>
      </c>
      <c r="L798" t="s">
        <v>17</v>
      </c>
      <c r="M798">
        <f>IF(Table1[[#This Row],[ألغى الاشتراك]]="نعم",1,0)</f>
        <v>0</v>
      </c>
      <c r="N798">
        <f>IF(Table1[[#This Row],[وسيلة الدفع]]="بطاقة",1,0)</f>
        <v>0</v>
      </c>
      <c r="O798">
        <f>IF(Table1[[#This Row],[وسيلة الدفع]]="محفظة",1,0)</f>
        <v>0</v>
      </c>
      <c r="P798">
        <f>IF(Table1[[#This Row],[وسيلة الدفع]]="تحويل",1,0)</f>
        <v>1</v>
      </c>
      <c r="Q798">
        <f>IF(Table1[[#This Row],[حضر التهيئة]]="نعم",1,0)</f>
        <v>1</v>
      </c>
      <c r="R798">
        <f>IF(Table1[[#This Row],[دورة الفوترة]]="شهري",1,0)</f>
        <v>1</v>
      </c>
    </row>
    <row r="799" spans="1:18" x14ac:dyDescent="0.25">
      <c r="A799" t="s">
        <v>819</v>
      </c>
      <c r="B799" s="1">
        <v>45462</v>
      </c>
      <c r="C799" t="s">
        <v>19</v>
      </c>
      <c r="D799">
        <v>189</v>
      </c>
      <c r="E799" t="s">
        <v>14</v>
      </c>
      <c r="F799">
        <v>21</v>
      </c>
      <c r="G799" t="s">
        <v>15</v>
      </c>
      <c r="H799">
        <v>1</v>
      </c>
      <c r="I799">
        <v>9</v>
      </c>
      <c r="J799">
        <v>10</v>
      </c>
      <c r="K799" t="s">
        <v>16</v>
      </c>
      <c r="L799" t="s">
        <v>17</v>
      </c>
      <c r="M799">
        <f>IF(Table1[[#This Row],[ألغى الاشتراك]]="نعم",1,0)</f>
        <v>0</v>
      </c>
      <c r="N799">
        <f>IF(Table1[[#This Row],[وسيلة الدفع]]="بطاقة",1,0)</f>
        <v>1</v>
      </c>
      <c r="O799">
        <f>IF(Table1[[#This Row],[وسيلة الدفع]]="محفظة",1,0)</f>
        <v>0</v>
      </c>
      <c r="P799">
        <f>IF(Table1[[#This Row],[وسيلة الدفع]]="تحويل",1,0)</f>
        <v>0</v>
      </c>
      <c r="Q799">
        <f>IF(Table1[[#This Row],[حضر التهيئة]]="نعم",1,0)</f>
        <v>1</v>
      </c>
      <c r="R799">
        <f>IF(Table1[[#This Row],[دورة الفوترة]]="شهري",1,0)</f>
        <v>1</v>
      </c>
    </row>
    <row r="800" spans="1:18" x14ac:dyDescent="0.25">
      <c r="A800" t="s">
        <v>820</v>
      </c>
      <c r="B800" s="1">
        <v>45862</v>
      </c>
      <c r="C800" t="s">
        <v>13</v>
      </c>
      <c r="D800">
        <v>89</v>
      </c>
      <c r="E800" t="s">
        <v>20</v>
      </c>
      <c r="F800">
        <v>5</v>
      </c>
      <c r="G800" t="s">
        <v>23</v>
      </c>
      <c r="H800">
        <v>0</v>
      </c>
      <c r="I800">
        <v>13</v>
      </c>
      <c r="J800">
        <v>0</v>
      </c>
      <c r="K800" t="s">
        <v>17</v>
      </c>
      <c r="L800" t="s">
        <v>17</v>
      </c>
      <c r="M800">
        <f>IF(Table1[[#This Row],[ألغى الاشتراك]]="نعم",1,0)</f>
        <v>0</v>
      </c>
      <c r="N800">
        <f>IF(Table1[[#This Row],[وسيلة الدفع]]="بطاقة",1,0)</f>
        <v>0</v>
      </c>
      <c r="O800">
        <f>IF(Table1[[#This Row],[وسيلة الدفع]]="محفظة",1,0)</f>
        <v>0</v>
      </c>
      <c r="P800">
        <f>IF(Table1[[#This Row],[وسيلة الدفع]]="تحويل",1,0)</f>
        <v>1</v>
      </c>
      <c r="Q800">
        <f>IF(Table1[[#This Row],[حضر التهيئة]]="نعم",1,0)</f>
        <v>0</v>
      </c>
      <c r="R800">
        <f>IF(Table1[[#This Row],[دورة الفوترة]]="شهري",1,0)</f>
        <v>0</v>
      </c>
    </row>
    <row r="801" spans="1:18" x14ac:dyDescent="0.25">
      <c r="A801" t="s">
        <v>821</v>
      </c>
      <c r="B801" s="1">
        <v>45517</v>
      </c>
      <c r="C801" t="s">
        <v>13</v>
      </c>
      <c r="D801">
        <v>89</v>
      </c>
      <c r="E801" t="s">
        <v>20</v>
      </c>
      <c r="F801">
        <v>6</v>
      </c>
      <c r="G801" t="s">
        <v>21</v>
      </c>
      <c r="H801">
        <v>0</v>
      </c>
      <c r="I801">
        <v>16</v>
      </c>
      <c r="J801">
        <v>0</v>
      </c>
      <c r="K801" t="s">
        <v>17</v>
      </c>
      <c r="L801" t="s">
        <v>17</v>
      </c>
      <c r="M801">
        <f>IF(Table1[[#This Row],[ألغى الاشتراك]]="نعم",1,0)</f>
        <v>0</v>
      </c>
      <c r="N801">
        <f>IF(Table1[[#This Row],[وسيلة الدفع]]="بطاقة",1,0)</f>
        <v>0</v>
      </c>
      <c r="O801">
        <f>IF(Table1[[#This Row],[وسيلة الدفع]]="محفظة",1,0)</f>
        <v>1</v>
      </c>
      <c r="P801">
        <f>IF(Table1[[#This Row],[وسيلة الدفع]]="تحويل",1,0)</f>
        <v>0</v>
      </c>
      <c r="Q801">
        <f>IF(Table1[[#This Row],[حضر التهيئة]]="نعم",1,0)</f>
        <v>0</v>
      </c>
      <c r="R801">
        <f>IF(Table1[[#This Row],[دورة الفوترة]]="شهري",1,0)</f>
        <v>0</v>
      </c>
    </row>
    <row r="802" spans="1:18" x14ac:dyDescent="0.25">
      <c r="A802" t="s">
        <v>822</v>
      </c>
      <c r="B802" s="1">
        <v>45325</v>
      </c>
      <c r="C802" t="s">
        <v>13</v>
      </c>
      <c r="D802">
        <v>89</v>
      </c>
      <c r="E802" t="s">
        <v>20</v>
      </c>
      <c r="F802">
        <v>15</v>
      </c>
      <c r="G802" t="s">
        <v>23</v>
      </c>
      <c r="H802">
        <v>10</v>
      </c>
      <c r="I802">
        <v>3</v>
      </c>
      <c r="J802">
        <v>10</v>
      </c>
      <c r="K802" t="s">
        <v>16</v>
      </c>
      <c r="L802" t="s">
        <v>17</v>
      </c>
      <c r="M802">
        <f>IF(Table1[[#This Row],[ألغى الاشتراك]]="نعم",1,0)</f>
        <v>0</v>
      </c>
      <c r="N802">
        <f>IF(Table1[[#This Row],[وسيلة الدفع]]="بطاقة",1,0)</f>
        <v>0</v>
      </c>
      <c r="O802">
        <f>IF(Table1[[#This Row],[وسيلة الدفع]]="محفظة",1,0)</f>
        <v>0</v>
      </c>
      <c r="P802">
        <f>IF(Table1[[#This Row],[وسيلة الدفع]]="تحويل",1,0)</f>
        <v>1</v>
      </c>
      <c r="Q802">
        <f>IF(Table1[[#This Row],[حضر التهيئة]]="نعم",1,0)</f>
        <v>1</v>
      </c>
      <c r="R802">
        <f>IF(Table1[[#This Row],[دورة الفوترة]]="شهري",1,0)</f>
        <v>0</v>
      </c>
    </row>
    <row r="803" spans="1:18" x14ac:dyDescent="0.25">
      <c r="A803" t="s">
        <v>823</v>
      </c>
      <c r="B803" s="1">
        <v>45724</v>
      </c>
      <c r="C803" t="s">
        <v>19</v>
      </c>
      <c r="D803">
        <v>189</v>
      </c>
      <c r="E803" t="s">
        <v>14</v>
      </c>
      <c r="F803">
        <v>1</v>
      </c>
      <c r="G803" t="s">
        <v>15</v>
      </c>
      <c r="H803">
        <v>8</v>
      </c>
      <c r="I803">
        <v>43</v>
      </c>
      <c r="J803">
        <v>0</v>
      </c>
      <c r="K803" t="s">
        <v>17</v>
      </c>
      <c r="L803" t="s">
        <v>17</v>
      </c>
      <c r="M803">
        <f>IF(Table1[[#This Row],[ألغى الاشتراك]]="نعم",1,0)</f>
        <v>0</v>
      </c>
      <c r="N803">
        <f>IF(Table1[[#This Row],[وسيلة الدفع]]="بطاقة",1,0)</f>
        <v>1</v>
      </c>
      <c r="O803">
        <f>IF(Table1[[#This Row],[وسيلة الدفع]]="محفظة",1,0)</f>
        <v>0</v>
      </c>
      <c r="P803">
        <f>IF(Table1[[#This Row],[وسيلة الدفع]]="تحويل",1,0)</f>
        <v>0</v>
      </c>
      <c r="Q803">
        <f>IF(Table1[[#This Row],[حضر التهيئة]]="نعم",1,0)</f>
        <v>0</v>
      </c>
      <c r="R803">
        <f>IF(Table1[[#This Row],[دورة الفوترة]]="شهري",1,0)</f>
        <v>1</v>
      </c>
    </row>
    <row r="804" spans="1:18" x14ac:dyDescent="0.25">
      <c r="A804" t="s">
        <v>824</v>
      </c>
      <c r="B804" s="1">
        <v>45914</v>
      </c>
      <c r="C804" t="s">
        <v>28</v>
      </c>
      <c r="D804">
        <v>39</v>
      </c>
      <c r="E804" t="s">
        <v>20</v>
      </c>
      <c r="F804">
        <v>24</v>
      </c>
      <c r="G804" t="s">
        <v>15</v>
      </c>
      <c r="H804">
        <v>1</v>
      </c>
      <c r="I804">
        <v>40</v>
      </c>
      <c r="J804">
        <v>5</v>
      </c>
      <c r="K804" t="s">
        <v>17</v>
      </c>
      <c r="L804" t="s">
        <v>17</v>
      </c>
      <c r="M804">
        <f>IF(Table1[[#This Row],[ألغى الاشتراك]]="نعم",1,0)</f>
        <v>0</v>
      </c>
      <c r="N804">
        <f>IF(Table1[[#This Row],[وسيلة الدفع]]="بطاقة",1,0)</f>
        <v>1</v>
      </c>
      <c r="O804">
        <f>IF(Table1[[#This Row],[وسيلة الدفع]]="محفظة",1,0)</f>
        <v>0</v>
      </c>
      <c r="P804">
        <f>IF(Table1[[#This Row],[وسيلة الدفع]]="تحويل",1,0)</f>
        <v>0</v>
      </c>
      <c r="Q804">
        <f>IF(Table1[[#This Row],[حضر التهيئة]]="نعم",1,0)</f>
        <v>0</v>
      </c>
      <c r="R804">
        <f>IF(Table1[[#This Row],[دورة الفوترة]]="شهري",1,0)</f>
        <v>0</v>
      </c>
    </row>
    <row r="805" spans="1:18" x14ac:dyDescent="0.25">
      <c r="A805" t="s">
        <v>825</v>
      </c>
      <c r="B805" s="1">
        <v>45466</v>
      </c>
      <c r="C805" t="s">
        <v>19</v>
      </c>
      <c r="D805">
        <v>189</v>
      </c>
      <c r="E805" t="s">
        <v>14</v>
      </c>
      <c r="F805">
        <v>4</v>
      </c>
      <c r="G805" t="s">
        <v>23</v>
      </c>
      <c r="H805">
        <v>2</v>
      </c>
      <c r="I805">
        <v>56</v>
      </c>
      <c r="J805">
        <v>0</v>
      </c>
      <c r="K805" t="s">
        <v>17</v>
      </c>
      <c r="L805" t="s">
        <v>17</v>
      </c>
      <c r="M805">
        <f>IF(Table1[[#This Row],[ألغى الاشتراك]]="نعم",1,0)</f>
        <v>0</v>
      </c>
      <c r="N805">
        <f>IF(Table1[[#This Row],[وسيلة الدفع]]="بطاقة",1,0)</f>
        <v>0</v>
      </c>
      <c r="O805">
        <f>IF(Table1[[#This Row],[وسيلة الدفع]]="محفظة",1,0)</f>
        <v>0</v>
      </c>
      <c r="P805">
        <f>IF(Table1[[#This Row],[وسيلة الدفع]]="تحويل",1,0)</f>
        <v>1</v>
      </c>
      <c r="Q805">
        <f>IF(Table1[[#This Row],[حضر التهيئة]]="نعم",1,0)</f>
        <v>0</v>
      </c>
      <c r="R805">
        <f>IF(Table1[[#This Row],[دورة الفوترة]]="شهري",1,0)</f>
        <v>1</v>
      </c>
    </row>
    <row r="806" spans="1:18" x14ac:dyDescent="0.25">
      <c r="A806" t="s">
        <v>826</v>
      </c>
      <c r="B806" s="1">
        <v>45981</v>
      </c>
      <c r="C806" t="s">
        <v>13</v>
      </c>
      <c r="D806">
        <v>89</v>
      </c>
      <c r="E806" t="s">
        <v>14</v>
      </c>
      <c r="F806">
        <v>5</v>
      </c>
      <c r="G806" t="s">
        <v>15</v>
      </c>
      <c r="H806">
        <v>2</v>
      </c>
      <c r="I806">
        <v>31</v>
      </c>
      <c r="J806">
        <v>0</v>
      </c>
      <c r="K806" t="s">
        <v>16</v>
      </c>
      <c r="L806" t="s">
        <v>17</v>
      </c>
      <c r="M806">
        <f>IF(Table1[[#This Row],[ألغى الاشتراك]]="نعم",1,0)</f>
        <v>0</v>
      </c>
      <c r="N806">
        <f>IF(Table1[[#This Row],[وسيلة الدفع]]="بطاقة",1,0)</f>
        <v>1</v>
      </c>
      <c r="O806">
        <f>IF(Table1[[#This Row],[وسيلة الدفع]]="محفظة",1,0)</f>
        <v>0</v>
      </c>
      <c r="P806">
        <f>IF(Table1[[#This Row],[وسيلة الدفع]]="تحويل",1,0)</f>
        <v>0</v>
      </c>
      <c r="Q806">
        <f>IF(Table1[[#This Row],[حضر التهيئة]]="نعم",1,0)</f>
        <v>1</v>
      </c>
      <c r="R806">
        <f>IF(Table1[[#This Row],[دورة الفوترة]]="شهري",1,0)</f>
        <v>1</v>
      </c>
    </row>
    <row r="807" spans="1:18" x14ac:dyDescent="0.25">
      <c r="A807" t="s">
        <v>827</v>
      </c>
      <c r="B807" s="1">
        <v>45529</v>
      </c>
      <c r="C807" t="s">
        <v>13</v>
      </c>
      <c r="D807">
        <v>89</v>
      </c>
      <c r="E807" t="s">
        <v>14</v>
      </c>
      <c r="F807">
        <v>6</v>
      </c>
      <c r="G807" t="s">
        <v>15</v>
      </c>
      <c r="H807">
        <v>2</v>
      </c>
      <c r="I807">
        <v>10</v>
      </c>
      <c r="J807">
        <v>0</v>
      </c>
      <c r="K807" t="s">
        <v>16</v>
      </c>
      <c r="L807" t="s">
        <v>17</v>
      </c>
      <c r="M807">
        <f>IF(Table1[[#This Row],[ألغى الاشتراك]]="نعم",1,0)</f>
        <v>0</v>
      </c>
      <c r="N807">
        <f>IF(Table1[[#This Row],[وسيلة الدفع]]="بطاقة",1,0)</f>
        <v>1</v>
      </c>
      <c r="O807">
        <f>IF(Table1[[#This Row],[وسيلة الدفع]]="محفظة",1,0)</f>
        <v>0</v>
      </c>
      <c r="P807">
        <f>IF(Table1[[#This Row],[وسيلة الدفع]]="تحويل",1,0)</f>
        <v>0</v>
      </c>
      <c r="Q807">
        <f>IF(Table1[[#This Row],[حضر التهيئة]]="نعم",1,0)</f>
        <v>1</v>
      </c>
      <c r="R807">
        <f>IF(Table1[[#This Row],[دورة الفوترة]]="شهري",1,0)</f>
        <v>1</v>
      </c>
    </row>
    <row r="808" spans="1:18" x14ac:dyDescent="0.25">
      <c r="A808" t="s">
        <v>828</v>
      </c>
      <c r="B808" s="1">
        <v>45791</v>
      </c>
      <c r="C808" t="s">
        <v>28</v>
      </c>
      <c r="D808">
        <v>39</v>
      </c>
      <c r="E808" t="s">
        <v>20</v>
      </c>
      <c r="F808">
        <v>3</v>
      </c>
      <c r="G808" t="s">
        <v>23</v>
      </c>
      <c r="H808">
        <v>0</v>
      </c>
      <c r="I808">
        <v>33</v>
      </c>
      <c r="J808">
        <v>0</v>
      </c>
      <c r="K808" t="s">
        <v>16</v>
      </c>
      <c r="L808" t="s">
        <v>17</v>
      </c>
      <c r="M808">
        <f>IF(Table1[[#This Row],[ألغى الاشتراك]]="نعم",1,0)</f>
        <v>0</v>
      </c>
      <c r="N808">
        <f>IF(Table1[[#This Row],[وسيلة الدفع]]="بطاقة",1,0)</f>
        <v>0</v>
      </c>
      <c r="O808">
        <f>IF(Table1[[#This Row],[وسيلة الدفع]]="محفظة",1,0)</f>
        <v>0</v>
      </c>
      <c r="P808">
        <f>IF(Table1[[#This Row],[وسيلة الدفع]]="تحويل",1,0)</f>
        <v>1</v>
      </c>
      <c r="Q808">
        <f>IF(Table1[[#This Row],[حضر التهيئة]]="نعم",1,0)</f>
        <v>1</v>
      </c>
      <c r="R808">
        <f>IF(Table1[[#This Row],[دورة الفوترة]]="شهري",1,0)</f>
        <v>0</v>
      </c>
    </row>
    <row r="809" spans="1:18" x14ac:dyDescent="0.25">
      <c r="A809" t="s">
        <v>829</v>
      </c>
      <c r="B809" s="1">
        <v>45450</v>
      </c>
      <c r="C809" t="s">
        <v>13</v>
      </c>
      <c r="D809">
        <v>89</v>
      </c>
      <c r="E809" t="s">
        <v>20</v>
      </c>
      <c r="F809">
        <v>30</v>
      </c>
      <c r="G809" t="s">
        <v>21</v>
      </c>
      <c r="H809">
        <v>0</v>
      </c>
      <c r="I809">
        <v>36</v>
      </c>
      <c r="J809">
        <v>0</v>
      </c>
      <c r="K809" t="s">
        <v>16</v>
      </c>
      <c r="L809" t="s">
        <v>17</v>
      </c>
      <c r="M809">
        <f>IF(Table1[[#This Row],[ألغى الاشتراك]]="نعم",1,0)</f>
        <v>0</v>
      </c>
      <c r="N809">
        <f>IF(Table1[[#This Row],[وسيلة الدفع]]="بطاقة",1,0)</f>
        <v>0</v>
      </c>
      <c r="O809">
        <f>IF(Table1[[#This Row],[وسيلة الدفع]]="محفظة",1,0)</f>
        <v>1</v>
      </c>
      <c r="P809">
        <f>IF(Table1[[#This Row],[وسيلة الدفع]]="تحويل",1,0)</f>
        <v>0</v>
      </c>
      <c r="Q809">
        <f>IF(Table1[[#This Row],[حضر التهيئة]]="نعم",1,0)</f>
        <v>1</v>
      </c>
      <c r="R809">
        <f>IF(Table1[[#This Row],[دورة الفوترة]]="شهري",1,0)</f>
        <v>0</v>
      </c>
    </row>
    <row r="810" spans="1:18" x14ac:dyDescent="0.25">
      <c r="A810" t="s">
        <v>830</v>
      </c>
      <c r="B810" s="1">
        <v>45505</v>
      </c>
      <c r="C810" t="s">
        <v>19</v>
      </c>
      <c r="D810">
        <v>189</v>
      </c>
      <c r="E810" t="s">
        <v>14</v>
      </c>
      <c r="F810">
        <v>1</v>
      </c>
      <c r="G810" t="s">
        <v>23</v>
      </c>
      <c r="H810">
        <v>2</v>
      </c>
      <c r="I810">
        <v>15</v>
      </c>
      <c r="J810">
        <v>25</v>
      </c>
      <c r="K810" t="s">
        <v>16</v>
      </c>
      <c r="L810" t="s">
        <v>17</v>
      </c>
      <c r="M810">
        <f>IF(Table1[[#This Row],[ألغى الاشتراك]]="نعم",1,0)</f>
        <v>0</v>
      </c>
      <c r="N810">
        <f>IF(Table1[[#This Row],[وسيلة الدفع]]="بطاقة",1,0)</f>
        <v>0</v>
      </c>
      <c r="O810">
        <f>IF(Table1[[#This Row],[وسيلة الدفع]]="محفظة",1,0)</f>
        <v>0</v>
      </c>
      <c r="P810">
        <f>IF(Table1[[#This Row],[وسيلة الدفع]]="تحويل",1,0)</f>
        <v>1</v>
      </c>
      <c r="Q810">
        <f>IF(Table1[[#This Row],[حضر التهيئة]]="نعم",1,0)</f>
        <v>1</v>
      </c>
      <c r="R810">
        <f>IF(Table1[[#This Row],[دورة الفوترة]]="شهري",1,0)</f>
        <v>1</v>
      </c>
    </row>
    <row r="811" spans="1:18" x14ac:dyDescent="0.25">
      <c r="A811" t="s">
        <v>831</v>
      </c>
      <c r="B811" s="1">
        <v>45659</v>
      </c>
      <c r="C811" t="s">
        <v>19</v>
      </c>
      <c r="D811">
        <v>189</v>
      </c>
      <c r="E811" t="s">
        <v>20</v>
      </c>
      <c r="F811">
        <v>11</v>
      </c>
      <c r="G811" t="s">
        <v>15</v>
      </c>
      <c r="H811">
        <v>2</v>
      </c>
      <c r="I811">
        <v>31</v>
      </c>
      <c r="J811">
        <v>0</v>
      </c>
      <c r="K811" t="s">
        <v>16</v>
      </c>
      <c r="L811" t="s">
        <v>17</v>
      </c>
      <c r="M811">
        <f>IF(Table1[[#This Row],[ألغى الاشتراك]]="نعم",1,0)</f>
        <v>0</v>
      </c>
      <c r="N811">
        <f>IF(Table1[[#This Row],[وسيلة الدفع]]="بطاقة",1,0)</f>
        <v>1</v>
      </c>
      <c r="O811">
        <f>IF(Table1[[#This Row],[وسيلة الدفع]]="محفظة",1,0)</f>
        <v>0</v>
      </c>
      <c r="P811">
        <f>IF(Table1[[#This Row],[وسيلة الدفع]]="تحويل",1,0)</f>
        <v>0</v>
      </c>
      <c r="Q811">
        <f>IF(Table1[[#This Row],[حضر التهيئة]]="نعم",1,0)</f>
        <v>1</v>
      </c>
      <c r="R811">
        <f>IF(Table1[[#This Row],[دورة الفوترة]]="شهري",1,0)</f>
        <v>0</v>
      </c>
    </row>
    <row r="812" spans="1:18" x14ac:dyDescent="0.25">
      <c r="A812" t="s">
        <v>832</v>
      </c>
      <c r="B812" s="1">
        <v>45446</v>
      </c>
      <c r="C812" t="s">
        <v>28</v>
      </c>
      <c r="D812">
        <v>39</v>
      </c>
      <c r="E812" t="s">
        <v>14</v>
      </c>
      <c r="F812">
        <v>22</v>
      </c>
      <c r="G812" t="s">
        <v>21</v>
      </c>
      <c r="H812">
        <v>0</v>
      </c>
      <c r="I812">
        <v>54</v>
      </c>
      <c r="J812">
        <v>0</v>
      </c>
      <c r="K812" t="s">
        <v>16</v>
      </c>
      <c r="L812" t="s">
        <v>17</v>
      </c>
      <c r="M812">
        <f>IF(Table1[[#This Row],[ألغى الاشتراك]]="نعم",1,0)</f>
        <v>0</v>
      </c>
      <c r="N812">
        <f>IF(Table1[[#This Row],[وسيلة الدفع]]="بطاقة",1,0)</f>
        <v>0</v>
      </c>
      <c r="O812">
        <f>IF(Table1[[#This Row],[وسيلة الدفع]]="محفظة",1,0)</f>
        <v>1</v>
      </c>
      <c r="P812">
        <f>IF(Table1[[#This Row],[وسيلة الدفع]]="تحويل",1,0)</f>
        <v>0</v>
      </c>
      <c r="Q812">
        <f>IF(Table1[[#This Row],[حضر التهيئة]]="نعم",1,0)</f>
        <v>1</v>
      </c>
      <c r="R812">
        <f>IF(Table1[[#This Row],[دورة الفوترة]]="شهري",1,0)</f>
        <v>1</v>
      </c>
    </row>
    <row r="813" spans="1:18" x14ac:dyDescent="0.25">
      <c r="A813" t="s">
        <v>833</v>
      </c>
      <c r="B813" s="1">
        <v>45728</v>
      </c>
      <c r="C813" t="s">
        <v>19</v>
      </c>
      <c r="D813">
        <v>189</v>
      </c>
      <c r="E813" t="s">
        <v>14</v>
      </c>
      <c r="F813">
        <v>19</v>
      </c>
      <c r="G813" t="s">
        <v>21</v>
      </c>
      <c r="H813">
        <v>2</v>
      </c>
      <c r="I813">
        <v>25</v>
      </c>
      <c r="J813">
        <v>0</v>
      </c>
      <c r="K813" t="s">
        <v>16</v>
      </c>
      <c r="L813" t="s">
        <v>17</v>
      </c>
      <c r="M813">
        <f>IF(Table1[[#This Row],[ألغى الاشتراك]]="نعم",1,0)</f>
        <v>0</v>
      </c>
      <c r="N813">
        <f>IF(Table1[[#This Row],[وسيلة الدفع]]="بطاقة",1,0)</f>
        <v>0</v>
      </c>
      <c r="O813">
        <f>IF(Table1[[#This Row],[وسيلة الدفع]]="محفظة",1,0)</f>
        <v>1</v>
      </c>
      <c r="P813">
        <f>IF(Table1[[#This Row],[وسيلة الدفع]]="تحويل",1,0)</f>
        <v>0</v>
      </c>
      <c r="Q813">
        <f>IF(Table1[[#This Row],[حضر التهيئة]]="نعم",1,0)</f>
        <v>1</v>
      </c>
      <c r="R813">
        <f>IF(Table1[[#This Row],[دورة الفوترة]]="شهري",1,0)</f>
        <v>1</v>
      </c>
    </row>
    <row r="814" spans="1:18" x14ac:dyDescent="0.25">
      <c r="A814" t="s">
        <v>834</v>
      </c>
      <c r="B814" s="1">
        <v>45787</v>
      </c>
      <c r="C814" t="s">
        <v>19</v>
      </c>
      <c r="D814">
        <v>189</v>
      </c>
      <c r="E814" t="s">
        <v>14</v>
      </c>
      <c r="F814">
        <v>16</v>
      </c>
      <c r="G814" t="s">
        <v>15</v>
      </c>
      <c r="H814">
        <v>8</v>
      </c>
      <c r="I814">
        <v>42</v>
      </c>
      <c r="J814">
        <v>5</v>
      </c>
      <c r="K814" t="s">
        <v>17</v>
      </c>
      <c r="L814" t="s">
        <v>17</v>
      </c>
      <c r="M814">
        <f>IF(Table1[[#This Row],[ألغى الاشتراك]]="نعم",1,0)</f>
        <v>0</v>
      </c>
      <c r="N814">
        <f>IF(Table1[[#This Row],[وسيلة الدفع]]="بطاقة",1,0)</f>
        <v>1</v>
      </c>
      <c r="O814">
        <f>IF(Table1[[#This Row],[وسيلة الدفع]]="محفظة",1,0)</f>
        <v>0</v>
      </c>
      <c r="P814">
        <f>IF(Table1[[#This Row],[وسيلة الدفع]]="تحويل",1,0)</f>
        <v>0</v>
      </c>
      <c r="Q814">
        <f>IF(Table1[[#This Row],[حضر التهيئة]]="نعم",1,0)</f>
        <v>0</v>
      </c>
      <c r="R814">
        <f>IF(Table1[[#This Row],[دورة الفوترة]]="شهري",1,0)</f>
        <v>1</v>
      </c>
    </row>
    <row r="815" spans="1:18" x14ac:dyDescent="0.25">
      <c r="A815" t="s">
        <v>835</v>
      </c>
      <c r="B815" s="1">
        <v>45580</v>
      </c>
      <c r="C815" t="s">
        <v>28</v>
      </c>
      <c r="D815">
        <v>39</v>
      </c>
      <c r="E815" t="s">
        <v>14</v>
      </c>
      <c r="F815">
        <v>24</v>
      </c>
      <c r="G815" t="s">
        <v>23</v>
      </c>
      <c r="H815">
        <v>1</v>
      </c>
      <c r="I815">
        <v>2</v>
      </c>
      <c r="J815">
        <v>0</v>
      </c>
      <c r="K815" t="s">
        <v>16</v>
      </c>
      <c r="L815" t="s">
        <v>17</v>
      </c>
      <c r="M815">
        <f>IF(Table1[[#This Row],[ألغى الاشتراك]]="نعم",1,0)</f>
        <v>0</v>
      </c>
      <c r="N815">
        <f>IF(Table1[[#This Row],[وسيلة الدفع]]="بطاقة",1,0)</f>
        <v>0</v>
      </c>
      <c r="O815">
        <f>IF(Table1[[#This Row],[وسيلة الدفع]]="محفظة",1,0)</f>
        <v>0</v>
      </c>
      <c r="P815">
        <f>IF(Table1[[#This Row],[وسيلة الدفع]]="تحويل",1,0)</f>
        <v>1</v>
      </c>
      <c r="Q815">
        <f>IF(Table1[[#This Row],[حضر التهيئة]]="نعم",1,0)</f>
        <v>1</v>
      </c>
      <c r="R815">
        <f>IF(Table1[[#This Row],[دورة الفوترة]]="شهري",1,0)</f>
        <v>1</v>
      </c>
    </row>
    <row r="816" spans="1:18" x14ac:dyDescent="0.25">
      <c r="A816" t="s">
        <v>836</v>
      </c>
      <c r="B816" s="1">
        <v>45866</v>
      </c>
      <c r="C816" t="s">
        <v>19</v>
      </c>
      <c r="D816">
        <v>189</v>
      </c>
      <c r="E816" t="s">
        <v>14</v>
      </c>
      <c r="F816">
        <v>3</v>
      </c>
      <c r="G816" t="s">
        <v>21</v>
      </c>
      <c r="H816">
        <v>0</v>
      </c>
      <c r="I816">
        <v>29</v>
      </c>
      <c r="J816">
        <v>0</v>
      </c>
      <c r="K816" t="s">
        <v>17</v>
      </c>
      <c r="L816" t="s">
        <v>17</v>
      </c>
      <c r="M816">
        <f>IF(Table1[[#This Row],[ألغى الاشتراك]]="نعم",1,0)</f>
        <v>0</v>
      </c>
      <c r="N816">
        <f>IF(Table1[[#This Row],[وسيلة الدفع]]="بطاقة",1,0)</f>
        <v>0</v>
      </c>
      <c r="O816">
        <f>IF(Table1[[#This Row],[وسيلة الدفع]]="محفظة",1,0)</f>
        <v>1</v>
      </c>
      <c r="P816">
        <f>IF(Table1[[#This Row],[وسيلة الدفع]]="تحويل",1,0)</f>
        <v>0</v>
      </c>
      <c r="Q816">
        <f>IF(Table1[[#This Row],[حضر التهيئة]]="نعم",1,0)</f>
        <v>0</v>
      </c>
      <c r="R816">
        <f>IF(Table1[[#This Row],[دورة الفوترة]]="شهري",1,0)</f>
        <v>1</v>
      </c>
    </row>
    <row r="817" spans="1:18" x14ac:dyDescent="0.25">
      <c r="A817" t="s">
        <v>837</v>
      </c>
      <c r="B817" s="1">
        <v>45407</v>
      </c>
      <c r="C817" t="s">
        <v>28</v>
      </c>
      <c r="D817">
        <v>39</v>
      </c>
      <c r="E817" t="s">
        <v>14</v>
      </c>
      <c r="F817">
        <v>18</v>
      </c>
      <c r="G817" t="s">
        <v>21</v>
      </c>
      <c r="H817">
        <v>1</v>
      </c>
      <c r="I817">
        <v>48</v>
      </c>
      <c r="J817">
        <v>0</v>
      </c>
      <c r="K817" t="s">
        <v>17</v>
      </c>
      <c r="L817" t="s">
        <v>17</v>
      </c>
      <c r="M817">
        <f>IF(Table1[[#This Row],[ألغى الاشتراك]]="نعم",1,0)</f>
        <v>0</v>
      </c>
      <c r="N817">
        <f>IF(Table1[[#This Row],[وسيلة الدفع]]="بطاقة",1,0)</f>
        <v>0</v>
      </c>
      <c r="O817">
        <f>IF(Table1[[#This Row],[وسيلة الدفع]]="محفظة",1,0)</f>
        <v>1</v>
      </c>
      <c r="P817">
        <f>IF(Table1[[#This Row],[وسيلة الدفع]]="تحويل",1,0)</f>
        <v>0</v>
      </c>
      <c r="Q817">
        <f>IF(Table1[[#This Row],[حضر التهيئة]]="نعم",1,0)</f>
        <v>0</v>
      </c>
      <c r="R817">
        <f>IF(Table1[[#This Row],[دورة الفوترة]]="شهري",1,0)</f>
        <v>1</v>
      </c>
    </row>
    <row r="818" spans="1:18" x14ac:dyDescent="0.25">
      <c r="A818" t="s">
        <v>838</v>
      </c>
      <c r="B818" s="1">
        <v>45926</v>
      </c>
      <c r="C818" t="s">
        <v>13</v>
      </c>
      <c r="D818">
        <v>89</v>
      </c>
      <c r="E818" t="s">
        <v>20</v>
      </c>
      <c r="F818">
        <v>27</v>
      </c>
      <c r="G818" t="s">
        <v>23</v>
      </c>
      <c r="H818">
        <v>0</v>
      </c>
      <c r="I818">
        <v>41</v>
      </c>
      <c r="J818">
        <v>0</v>
      </c>
      <c r="K818" t="s">
        <v>17</v>
      </c>
      <c r="L818" t="s">
        <v>17</v>
      </c>
      <c r="M818">
        <f>IF(Table1[[#This Row],[ألغى الاشتراك]]="نعم",1,0)</f>
        <v>0</v>
      </c>
      <c r="N818">
        <f>IF(Table1[[#This Row],[وسيلة الدفع]]="بطاقة",1,0)</f>
        <v>0</v>
      </c>
      <c r="O818">
        <f>IF(Table1[[#This Row],[وسيلة الدفع]]="محفظة",1,0)</f>
        <v>0</v>
      </c>
      <c r="P818">
        <f>IF(Table1[[#This Row],[وسيلة الدفع]]="تحويل",1,0)</f>
        <v>1</v>
      </c>
      <c r="Q818">
        <f>IF(Table1[[#This Row],[حضر التهيئة]]="نعم",1,0)</f>
        <v>0</v>
      </c>
      <c r="R818">
        <f>IF(Table1[[#This Row],[دورة الفوترة]]="شهري",1,0)</f>
        <v>0</v>
      </c>
    </row>
    <row r="819" spans="1:18" x14ac:dyDescent="0.25">
      <c r="A819" t="s">
        <v>839</v>
      </c>
      <c r="B819" s="1">
        <v>45450</v>
      </c>
      <c r="C819" t="s">
        <v>13</v>
      </c>
      <c r="D819">
        <v>89</v>
      </c>
      <c r="E819" t="s">
        <v>20</v>
      </c>
      <c r="F819">
        <v>10</v>
      </c>
      <c r="G819" t="s">
        <v>15</v>
      </c>
      <c r="H819">
        <v>3</v>
      </c>
      <c r="I819">
        <v>32</v>
      </c>
      <c r="J819">
        <v>0</v>
      </c>
      <c r="K819" t="s">
        <v>17</v>
      </c>
      <c r="L819" t="s">
        <v>17</v>
      </c>
      <c r="M819">
        <f>IF(Table1[[#This Row],[ألغى الاشتراك]]="نعم",1,0)</f>
        <v>0</v>
      </c>
      <c r="N819">
        <f>IF(Table1[[#This Row],[وسيلة الدفع]]="بطاقة",1,0)</f>
        <v>1</v>
      </c>
      <c r="O819">
        <f>IF(Table1[[#This Row],[وسيلة الدفع]]="محفظة",1,0)</f>
        <v>0</v>
      </c>
      <c r="P819">
        <f>IF(Table1[[#This Row],[وسيلة الدفع]]="تحويل",1,0)</f>
        <v>0</v>
      </c>
      <c r="Q819">
        <f>IF(Table1[[#This Row],[حضر التهيئة]]="نعم",1,0)</f>
        <v>0</v>
      </c>
      <c r="R819">
        <f>IF(Table1[[#This Row],[دورة الفوترة]]="شهري",1,0)</f>
        <v>0</v>
      </c>
    </row>
    <row r="820" spans="1:18" x14ac:dyDescent="0.25">
      <c r="A820" t="s">
        <v>840</v>
      </c>
      <c r="B820" s="1">
        <v>45517</v>
      </c>
      <c r="C820" t="s">
        <v>19</v>
      </c>
      <c r="D820">
        <v>189</v>
      </c>
      <c r="E820" t="s">
        <v>14</v>
      </c>
      <c r="F820">
        <v>21</v>
      </c>
      <c r="G820" t="s">
        <v>15</v>
      </c>
      <c r="H820">
        <v>2</v>
      </c>
      <c r="I820">
        <v>7</v>
      </c>
      <c r="J820">
        <v>25</v>
      </c>
      <c r="K820" t="s">
        <v>16</v>
      </c>
      <c r="L820" t="s">
        <v>17</v>
      </c>
      <c r="M820">
        <f>IF(Table1[[#This Row],[ألغى الاشتراك]]="نعم",1,0)</f>
        <v>0</v>
      </c>
      <c r="N820">
        <f>IF(Table1[[#This Row],[وسيلة الدفع]]="بطاقة",1,0)</f>
        <v>1</v>
      </c>
      <c r="O820">
        <f>IF(Table1[[#This Row],[وسيلة الدفع]]="محفظة",1,0)</f>
        <v>0</v>
      </c>
      <c r="P820">
        <f>IF(Table1[[#This Row],[وسيلة الدفع]]="تحويل",1,0)</f>
        <v>0</v>
      </c>
      <c r="Q820">
        <f>IF(Table1[[#This Row],[حضر التهيئة]]="نعم",1,0)</f>
        <v>1</v>
      </c>
      <c r="R820">
        <f>IF(Table1[[#This Row],[دورة الفوترة]]="شهري",1,0)</f>
        <v>1</v>
      </c>
    </row>
    <row r="821" spans="1:18" x14ac:dyDescent="0.25">
      <c r="A821" t="s">
        <v>841</v>
      </c>
      <c r="B821" s="1">
        <v>45592</v>
      </c>
      <c r="C821" t="s">
        <v>28</v>
      </c>
      <c r="D821">
        <v>39</v>
      </c>
      <c r="E821" t="s">
        <v>14</v>
      </c>
      <c r="F821">
        <v>1</v>
      </c>
      <c r="G821" t="s">
        <v>15</v>
      </c>
      <c r="H821">
        <v>0</v>
      </c>
      <c r="I821">
        <v>39</v>
      </c>
      <c r="J821">
        <v>10</v>
      </c>
      <c r="K821" t="s">
        <v>17</v>
      </c>
      <c r="L821" t="s">
        <v>17</v>
      </c>
      <c r="M821">
        <f>IF(Table1[[#This Row],[ألغى الاشتراك]]="نعم",1,0)</f>
        <v>0</v>
      </c>
      <c r="N821">
        <f>IF(Table1[[#This Row],[وسيلة الدفع]]="بطاقة",1,0)</f>
        <v>1</v>
      </c>
      <c r="O821">
        <f>IF(Table1[[#This Row],[وسيلة الدفع]]="محفظة",1,0)</f>
        <v>0</v>
      </c>
      <c r="P821">
        <f>IF(Table1[[#This Row],[وسيلة الدفع]]="تحويل",1,0)</f>
        <v>0</v>
      </c>
      <c r="Q821">
        <f>IF(Table1[[#This Row],[حضر التهيئة]]="نعم",1,0)</f>
        <v>0</v>
      </c>
      <c r="R821">
        <f>IF(Table1[[#This Row],[دورة الفوترة]]="شهري",1,0)</f>
        <v>1</v>
      </c>
    </row>
    <row r="822" spans="1:18" x14ac:dyDescent="0.25">
      <c r="A822" t="s">
        <v>842</v>
      </c>
      <c r="B822" s="1">
        <v>45744</v>
      </c>
      <c r="C822" t="s">
        <v>28</v>
      </c>
      <c r="D822">
        <v>39</v>
      </c>
      <c r="E822" t="s">
        <v>20</v>
      </c>
      <c r="F822">
        <v>23</v>
      </c>
      <c r="G822" t="s">
        <v>21</v>
      </c>
      <c r="H822">
        <v>8</v>
      </c>
      <c r="I822">
        <v>45</v>
      </c>
      <c r="J822">
        <v>0</v>
      </c>
      <c r="K822" t="s">
        <v>16</v>
      </c>
      <c r="L822" t="s">
        <v>16</v>
      </c>
      <c r="M822">
        <f>IF(Table1[[#This Row],[ألغى الاشتراك]]="نعم",1,0)</f>
        <v>1</v>
      </c>
      <c r="N822">
        <f>IF(Table1[[#This Row],[وسيلة الدفع]]="بطاقة",1,0)</f>
        <v>0</v>
      </c>
      <c r="O822">
        <f>IF(Table1[[#This Row],[وسيلة الدفع]]="محفظة",1,0)</f>
        <v>1</v>
      </c>
      <c r="P822">
        <f>IF(Table1[[#This Row],[وسيلة الدفع]]="تحويل",1,0)</f>
        <v>0</v>
      </c>
      <c r="Q822">
        <f>IF(Table1[[#This Row],[حضر التهيئة]]="نعم",1,0)</f>
        <v>1</v>
      </c>
      <c r="R822">
        <f>IF(Table1[[#This Row],[دورة الفوترة]]="شهري",1,0)</f>
        <v>0</v>
      </c>
    </row>
    <row r="823" spans="1:18" x14ac:dyDescent="0.25">
      <c r="A823" t="s">
        <v>843</v>
      </c>
      <c r="B823" s="1">
        <v>45635</v>
      </c>
      <c r="C823" t="s">
        <v>28</v>
      </c>
      <c r="D823">
        <v>39</v>
      </c>
      <c r="E823" t="s">
        <v>20</v>
      </c>
      <c r="F823">
        <v>10</v>
      </c>
      <c r="G823" t="s">
        <v>15</v>
      </c>
      <c r="H823">
        <v>1</v>
      </c>
      <c r="I823">
        <v>50</v>
      </c>
      <c r="J823">
        <v>0</v>
      </c>
      <c r="K823" t="s">
        <v>17</v>
      </c>
      <c r="L823" t="s">
        <v>17</v>
      </c>
      <c r="M823">
        <f>IF(Table1[[#This Row],[ألغى الاشتراك]]="نعم",1,0)</f>
        <v>0</v>
      </c>
      <c r="N823">
        <f>IF(Table1[[#This Row],[وسيلة الدفع]]="بطاقة",1,0)</f>
        <v>1</v>
      </c>
      <c r="O823">
        <f>IF(Table1[[#This Row],[وسيلة الدفع]]="محفظة",1,0)</f>
        <v>0</v>
      </c>
      <c r="P823">
        <f>IF(Table1[[#This Row],[وسيلة الدفع]]="تحويل",1,0)</f>
        <v>0</v>
      </c>
      <c r="Q823">
        <f>IF(Table1[[#This Row],[حضر التهيئة]]="نعم",1,0)</f>
        <v>0</v>
      </c>
      <c r="R823">
        <f>IF(Table1[[#This Row],[دورة الفوترة]]="شهري",1,0)</f>
        <v>0</v>
      </c>
    </row>
    <row r="824" spans="1:18" x14ac:dyDescent="0.25">
      <c r="A824" t="s">
        <v>844</v>
      </c>
      <c r="B824" s="1">
        <v>45902</v>
      </c>
      <c r="C824" t="s">
        <v>28</v>
      </c>
      <c r="D824">
        <v>39</v>
      </c>
      <c r="E824" t="s">
        <v>14</v>
      </c>
      <c r="F824">
        <v>29</v>
      </c>
      <c r="G824" t="s">
        <v>23</v>
      </c>
      <c r="H824">
        <v>4</v>
      </c>
      <c r="I824">
        <v>49</v>
      </c>
      <c r="J824">
        <v>0</v>
      </c>
      <c r="K824" t="s">
        <v>17</v>
      </c>
      <c r="L824" t="s">
        <v>17</v>
      </c>
      <c r="M824">
        <f>IF(Table1[[#This Row],[ألغى الاشتراك]]="نعم",1,0)</f>
        <v>0</v>
      </c>
      <c r="N824">
        <f>IF(Table1[[#This Row],[وسيلة الدفع]]="بطاقة",1,0)</f>
        <v>0</v>
      </c>
      <c r="O824">
        <f>IF(Table1[[#This Row],[وسيلة الدفع]]="محفظة",1,0)</f>
        <v>0</v>
      </c>
      <c r="P824">
        <f>IF(Table1[[#This Row],[وسيلة الدفع]]="تحويل",1,0)</f>
        <v>1</v>
      </c>
      <c r="Q824">
        <f>IF(Table1[[#This Row],[حضر التهيئة]]="نعم",1,0)</f>
        <v>0</v>
      </c>
      <c r="R824">
        <f>IF(Table1[[#This Row],[دورة الفوترة]]="شهري",1,0)</f>
        <v>1</v>
      </c>
    </row>
    <row r="825" spans="1:18" x14ac:dyDescent="0.25">
      <c r="A825" t="s">
        <v>845</v>
      </c>
      <c r="B825" s="1">
        <v>45584</v>
      </c>
      <c r="C825" t="s">
        <v>19</v>
      </c>
      <c r="D825">
        <v>189</v>
      </c>
      <c r="E825" t="s">
        <v>14</v>
      </c>
      <c r="F825">
        <v>12</v>
      </c>
      <c r="G825" t="s">
        <v>21</v>
      </c>
      <c r="H825">
        <v>8</v>
      </c>
      <c r="I825">
        <v>44</v>
      </c>
      <c r="J825">
        <v>0</v>
      </c>
      <c r="K825" t="s">
        <v>16</v>
      </c>
      <c r="L825" t="s">
        <v>17</v>
      </c>
      <c r="M825">
        <f>IF(Table1[[#This Row],[ألغى الاشتراك]]="نعم",1,0)</f>
        <v>0</v>
      </c>
      <c r="N825">
        <f>IF(Table1[[#This Row],[وسيلة الدفع]]="بطاقة",1,0)</f>
        <v>0</v>
      </c>
      <c r="O825">
        <f>IF(Table1[[#This Row],[وسيلة الدفع]]="محفظة",1,0)</f>
        <v>1</v>
      </c>
      <c r="P825">
        <f>IF(Table1[[#This Row],[وسيلة الدفع]]="تحويل",1,0)</f>
        <v>0</v>
      </c>
      <c r="Q825">
        <f>IF(Table1[[#This Row],[حضر التهيئة]]="نعم",1,0)</f>
        <v>1</v>
      </c>
      <c r="R825">
        <f>IF(Table1[[#This Row],[دورة الفوترة]]="شهري",1,0)</f>
        <v>1</v>
      </c>
    </row>
    <row r="826" spans="1:18" x14ac:dyDescent="0.25">
      <c r="A826" t="s">
        <v>846</v>
      </c>
      <c r="B826" s="1">
        <v>45862</v>
      </c>
      <c r="C826" t="s">
        <v>13</v>
      </c>
      <c r="D826">
        <v>89</v>
      </c>
      <c r="E826" t="s">
        <v>20</v>
      </c>
      <c r="F826">
        <v>23</v>
      </c>
      <c r="G826" t="s">
        <v>15</v>
      </c>
      <c r="H826">
        <v>0</v>
      </c>
      <c r="I826">
        <v>25</v>
      </c>
      <c r="J826">
        <v>0</v>
      </c>
      <c r="K826" t="s">
        <v>17</v>
      </c>
      <c r="L826" t="s">
        <v>17</v>
      </c>
      <c r="M826">
        <f>IF(Table1[[#This Row],[ألغى الاشتراك]]="نعم",1,0)</f>
        <v>0</v>
      </c>
      <c r="N826">
        <f>IF(Table1[[#This Row],[وسيلة الدفع]]="بطاقة",1,0)</f>
        <v>1</v>
      </c>
      <c r="O826">
        <f>IF(Table1[[#This Row],[وسيلة الدفع]]="محفظة",1,0)</f>
        <v>0</v>
      </c>
      <c r="P826">
        <f>IF(Table1[[#This Row],[وسيلة الدفع]]="تحويل",1,0)</f>
        <v>0</v>
      </c>
      <c r="Q826">
        <f>IF(Table1[[#This Row],[حضر التهيئة]]="نعم",1,0)</f>
        <v>0</v>
      </c>
      <c r="R826">
        <f>IF(Table1[[#This Row],[دورة الفوترة]]="شهري",1,0)</f>
        <v>0</v>
      </c>
    </row>
    <row r="827" spans="1:18" x14ac:dyDescent="0.25">
      <c r="A827" t="s">
        <v>847</v>
      </c>
      <c r="B827" s="1">
        <v>45910</v>
      </c>
      <c r="C827" t="s">
        <v>28</v>
      </c>
      <c r="D827">
        <v>39</v>
      </c>
      <c r="E827" t="s">
        <v>20</v>
      </c>
      <c r="F827">
        <v>16</v>
      </c>
      <c r="G827" t="s">
        <v>15</v>
      </c>
      <c r="H827">
        <v>8</v>
      </c>
      <c r="I827">
        <v>34</v>
      </c>
      <c r="J827">
        <v>5</v>
      </c>
      <c r="K827" t="s">
        <v>17</v>
      </c>
      <c r="L827" t="s">
        <v>17</v>
      </c>
      <c r="M827">
        <f>IF(Table1[[#This Row],[ألغى الاشتراك]]="نعم",1,0)</f>
        <v>0</v>
      </c>
      <c r="N827">
        <f>IF(Table1[[#This Row],[وسيلة الدفع]]="بطاقة",1,0)</f>
        <v>1</v>
      </c>
      <c r="O827">
        <f>IF(Table1[[#This Row],[وسيلة الدفع]]="محفظة",1,0)</f>
        <v>0</v>
      </c>
      <c r="P827">
        <f>IF(Table1[[#This Row],[وسيلة الدفع]]="تحويل",1,0)</f>
        <v>0</v>
      </c>
      <c r="Q827">
        <f>IF(Table1[[#This Row],[حضر التهيئة]]="نعم",1,0)</f>
        <v>0</v>
      </c>
      <c r="R827">
        <f>IF(Table1[[#This Row],[دورة الفوترة]]="شهري",1,0)</f>
        <v>0</v>
      </c>
    </row>
    <row r="828" spans="1:18" x14ac:dyDescent="0.25">
      <c r="A828" t="s">
        <v>848</v>
      </c>
      <c r="B828" s="1">
        <v>45850</v>
      </c>
      <c r="C828" t="s">
        <v>28</v>
      </c>
      <c r="D828">
        <v>39</v>
      </c>
      <c r="E828" t="s">
        <v>14</v>
      </c>
      <c r="F828">
        <v>10</v>
      </c>
      <c r="G828" t="s">
        <v>15</v>
      </c>
      <c r="H828">
        <v>3</v>
      </c>
      <c r="I828">
        <v>52</v>
      </c>
      <c r="J828">
        <v>15</v>
      </c>
      <c r="K828" t="s">
        <v>16</v>
      </c>
      <c r="L828" t="s">
        <v>17</v>
      </c>
      <c r="M828">
        <f>IF(Table1[[#This Row],[ألغى الاشتراك]]="نعم",1,0)</f>
        <v>0</v>
      </c>
      <c r="N828">
        <f>IF(Table1[[#This Row],[وسيلة الدفع]]="بطاقة",1,0)</f>
        <v>1</v>
      </c>
      <c r="O828">
        <f>IF(Table1[[#This Row],[وسيلة الدفع]]="محفظة",1,0)</f>
        <v>0</v>
      </c>
      <c r="P828">
        <f>IF(Table1[[#This Row],[وسيلة الدفع]]="تحويل",1,0)</f>
        <v>0</v>
      </c>
      <c r="Q828">
        <f>IF(Table1[[#This Row],[حضر التهيئة]]="نعم",1,0)</f>
        <v>1</v>
      </c>
      <c r="R828">
        <f>IF(Table1[[#This Row],[دورة الفوترة]]="شهري",1,0)</f>
        <v>1</v>
      </c>
    </row>
    <row r="829" spans="1:18" x14ac:dyDescent="0.25">
      <c r="A829" t="s">
        <v>849</v>
      </c>
      <c r="B829" s="1">
        <v>45651</v>
      </c>
      <c r="C829" t="s">
        <v>28</v>
      </c>
      <c r="D829">
        <v>39</v>
      </c>
      <c r="E829" t="s">
        <v>14</v>
      </c>
      <c r="F829">
        <v>6</v>
      </c>
      <c r="G829" t="s">
        <v>15</v>
      </c>
      <c r="H829">
        <v>1</v>
      </c>
      <c r="I829">
        <v>2</v>
      </c>
      <c r="J829">
        <v>0</v>
      </c>
      <c r="K829" t="s">
        <v>17</v>
      </c>
      <c r="L829" t="s">
        <v>17</v>
      </c>
      <c r="M829">
        <f>IF(Table1[[#This Row],[ألغى الاشتراك]]="نعم",1,0)</f>
        <v>0</v>
      </c>
      <c r="N829">
        <f>IF(Table1[[#This Row],[وسيلة الدفع]]="بطاقة",1,0)</f>
        <v>1</v>
      </c>
      <c r="O829">
        <f>IF(Table1[[#This Row],[وسيلة الدفع]]="محفظة",1,0)</f>
        <v>0</v>
      </c>
      <c r="P829">
        <f>IF(Table1[[#This Row],[وسيلة الدفع]]="تحويل",1,0)</f>
        <v>0</v>
      </c>
      <c r="Q829">
        <f>IF(Table1[[#This Row],[حضر التهيئة]]="نعم",1,0)</f>
        <v>0</v>
      </c>
      <c r="R829">
        <f>IF(Table1[[#This Row],[دورة الفوترة]]="شهري",1,0)</f>
        <v>1</v>
      </c>
    </row>
    <row r="830" spans="1:18" x14ac:dyDescent="0.25">
      <c r="A830" t="s">
        <v>850</v>
      </c>
      <c r="B830" s="1">
        <v>45667</v>
      </c>
      <c r="C830" t="s">
        <v>28</v>
      </c>
      <c r="D830">
        <v>39</v>
      </c>
      <c r="E830" t="s">
        <v>14</v>
      </c>
      <c r="F830">
        <v>27</v>
      </c>
      <c r="G830" t="s">
        <v>15</v>
      </c>
      <c r="H830">
        <v>2</v>
      </c>
      <c r="I830">
        <v>7</v>
      </c>
      <c r="J830">
        <v>0</v>
      </c>
      <c r="K830" t="s">
        <v>16</v>
      </c>
      <c r="L830" t="s">
        <v>16</v>
      </c>
      <c r="M830">
        <f>IF(Table1[[#This Row],[ألغى الاشتراك]]="نعم",1,0)</f>
        <v>1</v>
      </c>
      <c r="N830">
        <f>IF(Table1[[#This Row],[وسيلة الدفع]]="بطاقة",1,0)</f>
        <v>1</v>
      </c>
      <c r="O830">
        <f>IF(Table1[[#This Row],[وسيلة الدفع]]="محفظة",1,0)</f>
        <v>0</v>
      </c>
      <c r="P830">
        <f>IF(Table1[[#This Row],[وسيلة الدفع]]="تحويل",1,0)</f>
        <v>0</v>
      </c>
      <c r="Q830">
        <f>IF(Table1[[#This Row],[حضر التهيئة]]="نعم",1,0)</f>
        <v>1</v>
      </c>
      <c r="R830">
        <f>IF(Table1[[#This Row],[دورة الفوترة]]="شهري",1,0)</f>
        <v>1</v>
      </c>
    </row>
    <row r="831" spans="1:18" x14ac:dyDescent="0.25">
      <c r="A831" t="s">
        <v>851</v>
      </c>
      <c r="B831" s="1">
        <v>45989</v>
      </c>
      <c r="C831" t="s">
        <v>13</v>
      </c>
      <c r="D831">
        <v>89</v>
      </c>
      <c r="E831" t="s">
        <v>14</v>
      </c>
      <c r="F831">
        <v>8</v>
      </c>
      <c r="G831" t="s">
        <v>21</v>
      </c>
      <c r="H831">
        <v>0</v>
      </c>
      <c r="I831">
        <v>44</v>
      </c>
      <c r="J831">
        <v>15</v>
      </c>
      <c r="K831" t="s">
        <v>16</v>
      </c>
      <c r="L831" t="s">
        <v>17</v>
      </c>
      <c r="M831">
        <f>IF(Table1[[#This Row],[ألغى الاشتراك]]="نعم",1,0)</f>
        <v>0</v>
      </c>
      <c r="N831">
        <f>IF(Table1[[#This Row],[وسيلة الدفع]]="بطاقة",1,0)</f>
        <v>0</v>
      </c>
      <c r="O831">
        <f>IF(Table1[[#This Row],[وسيلة الدفع]]="محفظة",1,0)</f>
        <v>1</v>
      </c>
      <c r="P831">
        <f>IF(Table1[[#This Row],[وسيلة الدفع]]="تحويل",1,0)</f>
        <v>0</v>
      </c>
      <c r="Q831">
        <f>IF(Table1[[#This Row],[حضر التهيئة]]="نعم",1,0)</f>
        <v>1</v>
      </c>
      <c r="R831">
        <f>IF(Table1[[#This Row],[دورة الفوترة]]="شهري",1,0)</f>
        <v>1</v>
      </c>
    </row>
    <row r="832" spans="1:18" x14ac:dyDescent="0.25">
      <c r="A832" t="s">
        <v>852</v>
      </c>
      <c r="B832" s="1">
        <v>45631</v>
      </c>
      <c r="C832" t="s">
        <v>19</v>
      </c>
      <c r="D832">
        <v>189</v>
      </c>
      <c r="E832" t="s">
        <v>20</v>
      </c>
      <c r="F832">
        <v>2</v>
      </c>
      <c r="G832" t="s">
        <v>23</v>
      </c>
      <c r="H832">
        <v>1</v>
      </c>
      <c r="I832">
        <v>4</v>
      </c>
      <c r="J832">
        <v>0</v>
      </c>
      <c r="K832" t="s">
        <v>17</v>
      </c>
      <c r="L832" t="s">
        <v>17</v>
      </c>
      <c r="M832">
        <f>IF(Table1[[#This Row],[ألغى الاشتراك]]="نعم",1,0)</f>
        <v>0</v>
      </c>
      <c r="N832">
        <f>IF(Table1[[#This Row],[وسيلة الدفع]]="بطاقة",1,0)</f>
        <v>0</v>
      </c>
      <c r="O832">
        <f>IF(Table1[[#This Row],[وسيلة الدفع]]="محفظة",1,0)</f>
        <v>0</v>
      </c>
      <c r="P832">
        <f>IF(Table1[[#This Row],[وسيلة الدفع]]="تحويل",1,0)</f>
        <v>1</v>
      </c>
      <c r="Q832">
        <f>IF(Table1[[#This Row],[حضر التهيئة]]="نعم",1,0)</f>
        <v>0</v>
      </c>
      <c r="R832">
        <f>IF(Table1[[#This Row],[دورة الفوترة]]="شهري",1,0)</f>
        <v>0</v>
      </c>
    </row>
    <row r="833" spans="1:18" x14ac:dyDescent="0.25">
      <c r="A833" t="s">
        <v>853</v>
      </c>
      <c r="B833" s="1">
        <v>45572</v>
      </c>
      <c r="C833" t="s">
        <v>19</v>
      </c>
      <c r="D833">
        <v>189</v>
      </c>
      <c r="E833" t="s">
        <v>14</v>
      </c>
      <c r="F833">
        <v>5</v>
      </c>
      <c r="G833" t="s">
        <v>23</v>
      </c>
      <c r="H833">
        <v>0</v>
      </c>
      <c r="I833">
        <v>41</v>
      </c>
      <c r="J833">
        <v>10</v>
      </c>
      <c r="K833" t="s">
        <v>17</v>
      </c>
      <c r="L833" t="s">
        <v>17</v>
      </c>
      <c r="M833">
        <f>IF(Table1[[#This Row],[ألغى الاشتراك]]="نعم",1,0)</f>
        <v>0</v>
      </c>
      <c r="N833">
        <f>IF(Table1[[#This Row],[وسيلة الدفع]]="بطاقة",1,0)</f>
        <v>0</v>
      </c>
      <c r="O833">
        <f>IF(Table1[[#This Row],[وسيلة الدفع]]="محفظة",1,0)</f>
        <v>0</v>
      </c>
      <c r="P833">
        <f>IF(Table1[[#This Row],[وسيلة الدفع]]="تحويل",1,0)</f>
        <v>1</v>
      </c>
      <c r="Q833">
        <f>IF(Table1[[#This Row],[حضر التهيئة]]="نعم",1,0)</f>
        <v>0</v>
      </c>
      <c r="R833">
        <f>IF(Table1[[#This Row],[دورة الفوترة]]="شهري",1,0)</f>
        <v>1</v>
      </c>
    </row>
    <row r="834" spans="1:18" x14ac:dyDescent="0.25">
      <c r="A834" t="s">
        <v>854</v>
      </c>
      <c r="B834" s="1">
        <v>45383</v>
      </c>
      <c r="C834" t="s">
        <v>28</v>
      </c>
      <c r="D834">
        <v>39</v>
      </c>
      <c r="E834" t="s">
        <v>20</v>
      </c>
      <c r="F834">
        <v>17</v>
      </c>
      <c r="G834" t="s">
        <v>23</v>
      </c>
      <c r="H834">
        <v>1</v>
      </c>
      <c r="I834">
        <v>17</v>
      </c>
      <c r="J834">
        <v>25</v>
      </c>
      <c r="K834" t="s">
        <v>17</v>
      </c>
      <c r="L834" t="s">
        <v>17</v>
      </c>
      <c r="M834">
        <f>IF(Table1[[#This Row],[ألغى الاشتراك]]="نعم",1,0)</f>
        <v>0</v>
      </c>
      <c r="N834">
        <f>IF(Table1[[#This Row],[وسيلة الدفع]]="بطاقة",1,0)</f>
        <v>0</v>
      </c>
      <c r="O834">
        <f>IF(Table1[[#This Row],[وسيلة الدفع]]="محفظة",1,0)</f>
        <v>0</v>
      </c>
      <c r="P834">
        <f>IF(Table1[[#This Row],[وسيلة الدفع]]="تحويل",1,0)</f>
        <v>1</v>
      </c>
      <c r="Q834">
        <f>IF(Table1[[#This Row],[حضر التهيئة]]="نعم",1,0)</f>
        <v>0</v>
      </c>
      <c r="R834">
        <f>IF(Table1[[#This Row],[دورة الفوترة]]="شهري",1,0)</f>
        <v>0</v>
      </c>
    </row>
    <row r="835" spans="1:18" x14ac:dyDescent="0.25">
      <c r="A835" t="s">
        <v>855</v>
      </c>
      <c r="B835" s="1">
        <v>45325</v>
      </c>
      <c r="C835" t="s">
        <v>13</v>
      </c>
      <c r="D835">
        <v>89</v>
      </c>
      <c r="E835" t="s">
        <v>20</v>
      </c>
      <c r="F835">
        <v>29</v>
      </c>
      <c r="G835" t="s">
        <v>15</v>
      </c>
      <c r="H835">
        <v>1</v>
      </c>
      <c r="I835">
        <v>9</v>
      </c>
      <c r="J835">
        <v>10</v>
      </c>
      <c r="K835" t="s">
        <v>16</v>
      </c>
      <c r="L835" t="s">
        <v>17</v>
      </c>
      <c r="M835">
        <f>IF(Table1[[#This Row],[ألغى الاشتراك]]="نعم",1,0)</f>
        <v>0</v>
      </c>
      <c r="N835">
        <f>IF(Table1[[#This Row],[وسيلة الدفع]]="بطاقة",1,0)</f>
        <v>1</v>
      </c>
      <c r="O835">
        <f>IF(Table1[[#This Row],[وسيلة الدفع]]="محفظة",1,0)</f>
        <v>0</v>
      </c>
      <c r="P835">
        <f>IF(Table1[[#This Row],[وسيلة الدفع]]="تحويل",1,0)</f>
        <v>0</v>
      </c>
      <c r="Q835">
        <f>IF(Table1[[#This Row],[حضر التهيئة]]="نعم",1,0)</f>
        <v>1</v>
      </c>
      <c r="R835">
        <f>IF(Table1[[#This Row],[دورة الفوترة]]="شهري",1,0)</f>
        <v>0</v>
      </c>
    </row>
    <row r="836" spans="1:18" x14ac:dyDescent="0.25">
      <c r="A836" t="s">
        <v>856</v>
      </c>
      <c r="B836" s="1">
        <v>45965</v>
      </c>
      <c r="C836" t="s">
        <v>28</v>
      </c>
      <c r="D836">
        <v>39</v>
      </c>
      <c r="E836" t="s">
        <v>20</v>
      </c>
      <c r="F836">
        <v>3</v>
      </c>
      <c r="G836" t="s">
        <v>23</v>
      </c>
      <c r="H836">
        <v>3</v>
      </c>
      <c r="I836">
        <v>55</v>
      </c>
      <c r="J836">
        <v>0</v>
      </c>
      <c r="K836" t="s">
        <v>17</v>
      </c>
      <c r="L836" t="s">
        <v>17</v>
      </c>
      <c r="M836">
        <f>IF(Table1[[#This Row],[ألغى الاشتراك]]="نعم",1,0)</f>
        <v>0</v>
      </c>
      <c r="N836">
        <f>IF(Table1[[#This Row],[وسيلة الدفع]]="بطاقة",1,0)</f>
        <v>0</v>
      </c>
      <c r="O836">
        <f>IF(Table1[[#This Row],[وسيلة الدفع]]="محفظة",1,0)</f>
        <v>0</v>
      </c>
      <c r="P836">
        <f>IF(Table1[[#This Row],[وسيلة الدفع]]="تحويل",1,0)</f>
        <v>1</v>
      </c>
      <c r="Q836">
        <f>IF(Table1[[#This Row],[حضر التهيئة]]="نعم",1,0)</f>
        <v>0</v>
      </c>
      <c r="R836">
        <f>IF(Table1[[#This Row],[دورة الفوترة]]="شهري",1,0)</f>
        <v>0</v>
      </c>
    </row>
    <row r="837" spans="1:18" x14ac:dyDescent="0.25">
      <c r="A837" t="s">
        <v>857</v>
      </c>
      <c r="B837" s="1">
        <v>45387</v>
      </c>
      <c r="C837" t="s">
        <v>28</v>
      </c>
      <c r="D837">
        <v>39</v>
      </c>
      <c r="E837" t="s">
        <v>14</v>
      </c>
      <c r="F837">
        <v>8</v>
      </c>
      <c r="G837" t="s">
        <v>21</v>
      </c>
      <c r="H837">
        <v>6</v>
      </c>
      <c r="I837">
        <v>44</v>
      </c>
      <c r="J837">
        <v>0</v>
      </c>
      <c r="K837" t="s">
        <v>16</v>
      </c>
      <c r="L837" t="s">
        <v>16</v>
      </c>
      <c r="M837">
        <f>IF(Table1[[#This Row],[ألغى الاشتراك]]="نعم",1,0)</f>
        <v>1</v>
      </c>
      <c r="N837">
        <f>IF(Table1[[#This Row],[وسيلة الدفع]]="بطاقة",1,0)</f>
        <v>0</v>
      </c>
      <c r="O837">
        <f>IF(Table1[[#This Row],[وسيلة الدفع]]="محفظة",1,0)</f>
        <v>1</v>
      </c>
      <c r="P837">
        <f>IF(Table1[[#This Row],[وسيلة الدفع]]="تحويل",1,0)</f>
        <v>0</v>
      </c>
      <c r="Q837">
        <f>IF(Table1[[#This Row],[حضر التهيئة]]="نعم",1,0)</f>
        <v>1</v>
      </c>
      <c r="R837">
        <f>IF(Table1[[#This Row],[دورة الفوترة]]="شهري",1,0)</f>
        <v>1</v>
      </c>
    </row>
    <row r="838" spans="1:18" x14ac:dyDescent="0.25">
      <c r="A838" t="s">
        <v>858</v>
      </c>
      <c r="B838" s="1">
        <v>45914</v>
      </c>
      <c r="C838" t="s">
        <v>19</v>
      </c>
      <c r="D838">
        <v>189</v>
      </c>
      <c r="E838" t="s">
        <v>14</v>
      </c>
      <c r="F838">
        <v>25</v>
      </c>
      <c r="G838" t="s">
        <v>15</v>
      </c>
      <c r="H838">
        <v>0</v>
      </c>
      <c r="I838">
        <v>25</v>
      </c>
      <c r="J838">
        <v>0</v>
      </c>
      <c r="K838" t="s">
        <v>17</v>
      </c>
      <c r="L838" t="s">
        <v>17</v>
      </c>
      <c r="M838">
        <f>IF(Table1[[#This Row],[ألغى الاشتراك]]="نعم",1,0)</f>
        <v>0</v>
      </c>
      <c r="N838">
        <f>IF(Table1[[#This Row],[وسيلة الدفع]]="بطاقة",1,0)</f>
        <v>1</v>
      </c>
      <c r="O838">
        <f>IF(Table1[[#This Row],[وسيلة الدفع]]="محفظة",1,0)</f>
        <v>0</v>
      </c>
      <c r="P838">
        <f>IF(Table1[[#This Row],[وسيلة الدفع]]="تحويل",1,0)</f>
        <v>0</v>
      </c>
      <c r="Q838">
        <f>IF(Table1[[#This Row],[حضر التهيئة]]="نعم",1,0)</f>
        <v>0</v>
      </c>
      <c r="R838">
        <f>IF(Table1[[#This Row],[دورة الفوترة]]="شهري",1,0)</f>
        <v>1</v>
      </c>
    </row>
    <row r="839" spans="1:18" x14ac:dyDescent="0.25">
      <c r="A839" t="s">
        <v>859</v>
      </c>
      <c r="B839" s="1">
        <v>45345</v>
      </c>
      <c r="C839" t="s">
        <v>13</v>
      </c>
      <c r="D839">
        <v>89</v>
      </c>
      <c r="E839" t="s">
        <v>20</v>
      </c>
      <c r="F839">
        <v>10</v>
      </c>
      <c r="G839" t="s">
        <v>15</v>
      </c>
      <c r="H839">
        <v>4</v>
      </c>
      <c r="I839">
        <v>2</v>
      </c>
      <c r="J839">
        <v>0</v>
      </c>
      <c r="K839" t="s">
        <v>16</v>
      </c>
      <c r="L839" t="s">
        <v>17</v>
      </c>
      <c r="M839">
        <f>IF(Table1[[#This Row],[ألغى الاشتراك]]="نعم",1,0)</f>
        <v>0</v>
      </c>
      <c r="N839">
        <f>IF(Table1[[#This Row],[وسيلة الدفع]]="بطاقة",1,0)</f>
        <v>1</v>
      </c>
      <c r="O839">
        <f>IF(Table1[[#This Row],[وسيلة الدفع]]="محفظة",1,0)</f>
        <v>0</v>
      </c>
      <c r="P839">
        <f>IF(Table1[[#This Row],[وسيلة الدفع]]="تحويل",1,0)</f>
        <v>0</v>
      </c>
      <c r="Q839">
        <f>IF(Table1[[#This Row],[حضر التهيئة]]="نعم",1,0)</f>
        <v>1</v>
      </c>
      <c r="R839">
        <f>IF(Table1[[#This Row],[دورة الفوترة]]="شهري",1,0)</f>
        <v>0</v>
      </c>
    </row>
    <row r="840" spans="1:18" x14ac:dyDescent="0.25">
      <c r="A840" t="s">
        <v>860</v>
      </c>
      <c r="B840" s="1">
        <v>45744</v>
      </c>
      <c r="C840" t="s">
        <v>28</v>
      </c>
      <c r="D840">
        <v>39</v>
      </c>
      <c r="E840" t="s">
        <v>14</v>
      </c>
      <c r="F840">
        <v>19</v>
      </c>
      <c r="G840" t="s">
        <v>15</v>
      </c>
      <c r="H840">
        <v>2</v>
      </c>
      <c r="I840">
        <v>41</v>
      </c>
      <c r="J840">
        <v>0</v>
      </c>
      <c r="K840" t="s">
        <v>17</v>
      </c>
      <c r="L840" t="s">
        <v>17</v>
      </c>
      <c r="M840">
        <f>IF(Table1[[#This Row],[ألغى الاشتراك]]="نعم",1,0)</f>
        <v>0</v>
      </c>
      <c r="N840">
        <f>IF(Table1[[#This Row],[وسيلة الدفع]]="بطاقة",1,0)</f>
        <v>1</v>
      </c>
      <c r="O840">
        <f>IF(Table1[[#This Row],[وسيلة الدفع]]="محفظة",1,0)</f>
        <v>0</v>
      </c>
      <c r="P840">
        <f>IF(Table1[[#This Row],[وسيلة الدفع]]="تحويل",1,0)</f>
        <v>0</v>
      </c>
      <c r="Q840">
        <f>IF(Table1[[#This Row],[حضر التهيئة]]="نعم",1,0)</f>
        <v>0</v>
      </c>
      <c r="R840">
        <f>IF(Table1[[#This Row],[دورة الفوترة]]="شهري",1,0)</f>
        <v>1</v>
      </c>
    </row>
    <row r="841" spans="1:18" x14ac:dyDescent="0.25">
      <c r="A841" t="s">
        <v>861</v>
      </c>
      <c r="B841" s="1">
        <v>45517</v>
      </c>
      <c r="C841" t="s">
        <v>13</v>
      </c>
      <c r="D841">
        <v>89</v>
      </c>
      <c r="E841" t="s">
        <v>14</v>
      </c>
      <c r="F841">
        <v>24</v>
      </c>
      <c r="G841" t="s">
        <v>21</v>
      </c>
      <c r="H841">
        <v>4</v>
      </c>
      <c r="I841">
        <v>30</v>
      </c>
      <c r="J841">
        <v>0</v>
      </c>
      <c r="K841" t="s">
        <v>16</v>
      </c>
      <c r="L841" t="s">
        <v>17</v>
      </c>
      <c r="M841">
        <f>IF(Table1[[#This Row],[ألغى الاشتراك]]="نعم",1,0)</f>
        <v>0</v>
      </c>
      <c r="N841">
        <f>IF(Table1[[#This Row],[وسيلة الدفع]]="بطاقة",1,0)</f>
        <v>0</v>
      </c>
      <c r="O841">
        <f>IF(Table1[[#This Row],[وسيلة الدفع]]="محفظة",1,0)</f>
        <v>1</v>
      </c>
      <c r="P841">
        <f>IF(Table1[[#This Row],[وسيلة الدفع]]="تحويل",1,0)</f>
        <v>0</v>
      </c>
      <c r="Q841">
        <f>IF(Table1[[#This Row],[حضر التهيئة]]="نعم",1,0)</f>
        <v>1</v>
      </c>
      <c r="R841">
        <f>IF(Table1[[#This Row],[دورة الفوترة]]="شهري",1,0)</f>
        <v>1</v>
      </c>
    </row>
    <row r="842" spans="1:18" x14ac:dyDescent="0.25">
      <c r="A842" t="s">
        <v>862</v>
      </c>
      <c r="B842" s="1">
        <v>45450</v>
      </c>
      <c r="C842" t="s">
        <v>19</v>
      </c>
      <c r="D842">
        <v>189</v>
      </c>
      <c r="E842" t="s">
        <v>14</v>
      </c>
      <c r="F842">
        <v>5</v>
      </c>
      <c r="G842" t="s">
        <v>23</v>
      </c>
      <c r="H842">
        <v>0</v>
      </c>
      <c r="I842">
        <v>9</v>
      </c>
      <c r="J842">
        <v>10</v>
      </c>
      <c r="K842" t="s">
        <v>17</v>
      </c>
      <c r="L842" t="s">
        <v>17</v>
      </c>
      <c r="M842">
        <f>IF(Table1[[#This Row],[ألغى الاشتراك]]="نعم",1,0)</f>
        <v>0</v>
      </c>
      <c r="N842">
        <f>IF(Table1[[#This Row],[وسيلة الدفع]]="بطاقة",1,0)</f>
        <v>0</v>
      </c>
      <c r="O842">
        <f>IF(Table1[[#This Row],[وسيلة الدفع]]="محفظة",1,0)</f>
        <v>0</v>
      </c>
      <c r="P842">
        <f>IF(Table1[[#This Row],[وسيلة الدفع]]="تحويل",1,0)</f>
        <v>1</v>
      </c>
      <c r="Q842">
        <f>IF(Table1[[#This Row],[حضر التهيئة]]="نعم",1,0)</f>
        <v>0</v>
      </c>
      <c r="R842">
        <f>IF(Table1[[#This Row],[دورة الفوترة]]="شهري",1,0)</f>
        <v>1</v>
      </c>
    </row>
    <row r="843" spans="1:18" x14ac:dyDescent="0.25">
      <c r="A843" t="s">
        <v>863</v>
      </c>
      <c r="B843" s="1">
        <v>45724</v>
      </c>
      <c r="C843" t="s">
        <v>28</v>
      </c>
      <c r="D843">
        <v>39</v>
      </c>
      <c r="E843" t="s">
        <v>14</v>
      </c>
      <c r="F843">
        <v>11</v>
      </c>
      <c r="G843" t="s">
        <v>21</v>
      </c>
      <c r="H843">
        <v>7</v>
      </c>
      <c r="I843">
        <v>5</v>
      </c>
      <c r="J843">
        <v>0</v>
      </c>
      <c r="K843" t="s">
        <v>17</v>
      </c>
      <c r="L843" t="s">
        <v>16</v>
      </c>
      <c r="M843">
        <f>IF(Table1[[#This Row],[ألغى الاشتراك]]="نعم",1,0)</f>
        <v>1</v>
      </c>
      <c r="N843">
        <f>IF(Table1[[#This Row],[وسيلة الدفع]]="بطاقة",1,0)</f>
        <v>0</v>
      </c>
      <c r="O843">
        <f>IF(Table1[[#This Row],[وسيلة الدفع]]="محفظة",1,0)</f>
        <v>1</v>
      </c>
      <c r="P843">
        <f>IF(Table1[[#This Row],[وسيلة الدفع]]="تحويل",1,0)</f>
        <v>0</v>
      </c>
      <c r="Q843">
        <f>IF(Table1[[#This Row],[حضر التهيئة]]="نعم",1,0)</f>
        <v>0</v>
      </c>
      <c r="R843">
        <f>IF(Table1[[#This Row],[دورة الفوترة]]="شهري",1,0)</f>
        <v>1</v>
      </c>
    </row>
    <row r="844" spans="1:18" x14ac:dyDescent="0.25">
      <c r="A844" t="s">
        <v>864</v>
      </c>
      <c r="B844" s="1">
        <v>45910</v>
      </c>
      <c r="C844" t="s">
        <v>19</v>
      </c>
      <c r="D844">
        <v>189</v>
      </c>
      <c r="E844" t="s">
        <v>20</v>
      </c>
      <c r="F844">
        <v>16</v>
      </c>
      <c r="G844" t="s">
        <v>21</v>
      </c>
      <c r="H844">
        <v>1</v>
      </c>
      <c r="I844">
        <v>44</v>
      </c>
      <c r="J844">
        <v>5</v>
      </c>
      <c r="K844" t="s">
        <v>16</v>
      </c>
      <c r="L844" t="s">
        <v>17</v>
      </c>
      <c r="M844">
        <f>IF(Table1[[#This Row],[ألغى الاشتراك]]="نعم",1,0)</f>
        <v>0</v>
      </c>
      <c r="N844">
        <f>IF(Table1[[#This Row],[وسيلة الدفع]]="بطاقة",1,0)</f>
        <v>0</v>
      </c>
      <c r="O844">
        <f>IF(Table1[[#This Row],[وسيلة الدفع]]="محفظة",1,0)</f>
        <v>1</v>
      </c>
      <c r="P844">
        <f>IF(Table1[[#This Row],[وسيلة الدفع]]="تحويل",1,0)</f>
        <v>0</v>
      </c>
      <c r="Q844">
        <f>IF(Table1[[#This Row],[حضر التهيئة]]="نعم",1,0)</f>
        <v>1</v>
      </c>
      <c r="R844">
        <f>IF(Table1[[#This Row],[دورة الفوترة]]="شهري",1,0)</f>
        <v>0</v>
      </c>
    </row>
    <row r="845" spans="1:18" x14ac:dyDescent="0.25">
      <c r="A845" t="s">
        <v>865</v>
      </c>
      <c r="B845" s="1">
        <v>45333</v>
      </c>
      <c r="C845" t="s">
        <v>13</v>
      </c>
      <c r="D845">
        <v>89</v>
      </c>
      <c r="E845" t="s">
        <v>14</v>
      </c>
      <c r="F845">
        <v>26</v>
      </c>
      <c r="G845" t="s">
        <v>15</v>
      </c>
      <c r="H845">
        <v>0</v>
      </c>
      <c r="I845">
        <v>40</v>
      </c>
      <c r="J845">
        <v>0</v>
      </c>
      <c r="K845" t="s">
        <v>16</v>
      </c>
      <c r="L845" t="s">
        <v>17</v>
      </c>
      <c r="M845">
        <f>IF(Table1[[#This Row],[ألغى الاشتراك]]="نعم",1,0)</f>
        <v>0</v>
      </c>
      <c r="N845">
        <f>IF(Table1[[#This Row],[وسيلة الدفع]]="بطاقة",1,0)</f>
        <v>1</v>
      </c>
      <c r="O845">
        <f>IF(Table1[[#This Row],[وسيلة الدفع]]="محفظة",1,0)</f>
        <v>0</v>
      </c>
      <c r="P845">
        <f>IF(Table1[[#This Row],[وسيلة الدفع]]="تحويل",1,0)</f>
        <v>0</v>
      </c>
      <c r="Q845">
        <f>IF(Table1[[#This Row],[حضر التهيئة]]="نعم",1,0)</f>
        <v>1</v>
      </c>
      <c r="R845">
        <f>IF(Table1[[#This Row],[دورة الفوترة]]="شهري",1,0)</f>
        <v>1</v>
      </c>
    </row>
    <row r="846" spans="1:18" x14ac:dyDescent="0.25">
      <c r="A846" t="s">
        <v>866</v>
      </c>
      <c r="B846" s="1">
        <v>45866</v>
      </c>
      <c r="C846" t="s">
        <v>28</v>
      </c>
      <c r="D846">
        <v>39</v>
      </c>
      <c r="E846" t="s">
        <v>14</v>
      </c>
      <c r="F846">
        <v>3</v>
      </c>
      <c r="G846" t="s">
        <v>15</v>
      </c>
      <c r="H846">
        <v>1</v>
      </c>
      <c r="I846">
        <v>3</v>
      </c>
      <c r="J846">
        <v>0</v>
      </c>
      <c r="K846" t="s">
        <v>17</v>
      </c>
      <c r="L846" t="s">
        <v>17</v>
      </c>
      <c r="M846">
        <f>IF(Table1[[#This Row],[ألغى الاشتراك]]="نعم",1,0)</f>
        <v>0</v>
      </c>
      <c r="N846">
        <f>IF(Table1[[#This Row],[وسيلة الدفع]]="بطاقة",1,0)</f>
        <v>1</v>
      </c>
      <c r="O846">
        <f>IF(Table1[[#This Row],[وسيلة الدفع]]="محفظة",1,0)</f>
        <v>0</v>
      </c>
      <c r="P846">
        <f>IF(Table1[[#This Row],[وسيلة الدفع]]="تحويل",1,0)</f>
        <v>0</v>
      </c>
      <c r="Q846">
        <f>IF(Table1[[#This Row],[حضر التهيئة]]="نعم",1,0)</f>
        <v>0</v>
      </c>
      <c r="R846">
        <f>IF(Table1[[#This Row],[دورة الفوترة]]="شهري",1,0)</f>
        <v>1</v>
      </c>
    </row>
    <row r="847" spans="1:18" x14ac:dyDescent="0.25">
      <c r="A847" t="s">
        <v>867</v>
      </c>
      <c r="B847" s="1">
        <v>45635</v>
      </c>
      <c r="C847" t="s">
        <v>13</v>
      </c>
      <c r="D847">
        <v>89</v>
      </c>
      <c r="E847" t="s">
        <v>14</v>
      </c>
      <c r="F847">
        <v>6</v>
      </c>
      <c r="G847" t="s">
        <v>15</v>
      </c>
      <c r="H847">
        <v>1</v>
      </c>
      <c r="I847">
        <v>50</v>
      </c>
      <c r="J847">
        <v>0</v>
      </c>
      <c r="K847" t="s">
        <v>17</v>
      </c>
      <c r="L847" t="s">
        <v>17</v>
      </c>
      <c r="M847">
        <f>IF(Table1[[#This Row],[ألغى الاشتراك]]="نعم",1,0)</f>
        <v>0</v>
      </c>
      <c r="N847">
        <f>IF(Table1[[#This Row],[وسيلة الدفع]]="بطاقة",1,0)</f>
        <v>1</v>
      </c>
      <c r="O847">
        <f>IF(Table1[[#This Row],[وسيلة الدفع]]="محفظة",1,0)</f>
        <v>0</v>
      </c>
      <c r="P847">
        <f>IF(Table1[[#This Row],[وسيلة الدفع]]="تحويل",1,0)</f>
        <v>0</v>
      </c>
      <c r="Q847">
        <f>IF(Table1[[#This Row],[حضر التهيئة]]="نعم",1,0)</f>
        <v>0</v>
      </c>
      <c r="R847">
        <f>IF(Table1[[#This Row],[دورة الفوترة]]="شهري",1,0)</f>
        <v>1</v>
      </c>
    </row>
    <row r="848" spans="1:18" x14ac:dyDescent="0.25">
      <c r="A848" t="s">
        <v>868</v>
      </c>
      <c r="B848" s="1">
        <v>45787</v>
      </c>
      <c r="C848" t="s">
        <v>13</v>
      </c>
      <c r="D848">
        <v>89</v>
      </c>
      <c r="E848" t="s">
        <v>14</v>
      </c>
      <c r="F848">
        <v>11</v>
      </c>
      <c r="G848" t="s">
        <v>23</v>
      </c>
      <c r="H848">
        <v>2</v>
      </c>
      <c r="I848">
        <v>21</v>
      </c>
      <c r="J848">
        <v>0</v>
      </c>
      <c r="K848" t="s">
        <v>17</v>
      </c>
      <c r="L848" t="s">
        <v>16</v>
      </c>
      <c r="M848">
        <f>IF(Table1[[#This Row],[ألغى الاشتراك]]="نعم",1,0)</f>
        <v>1</v>
      </c>
      <c r="N848">
        <f>IF(Table1[[#This Row],[وسيلة الدفع]]="بطاقة",1,0)</f>
        <v>0</v>
      </c>
      <c r="O848">
        <f>IF(Table1[[#This Row],[وسيلة الدفع]]="محفظة",1,0)</f>
        <v>0</v>
      </c>
      <c r="P848">
        <f>IF(Table1[[#This Row],[وسيلة الدفع]]="تحويل",1,0)</f>
        <v>1</v>
      </c>
      <c r="Q848">
        <f>IF(Table1[[#This Row],[حضر التهيئة]]="نعم",1,0)</f>
        <v>0</v>
      </c>
      <c r="R848">
        <f>IF(Table1[[#This Row],[دورة الفوترة]]="شهري",1,0)</f>
        <v>1</v>
      </c>
    </row>
    <row r="849" spans="1:18" x14ac:dyDescent="0.25">
      <c r="A849" t="s">
        <v>869</v>
      </c>
      <c r="B849" s="1">
        <v>45333</v>
      </c>
      <c r="C849" t="s">
        <v>19</v>
      </c>
      <c r="D849">
        <v>189</v>
      </c>
      <c r="E849" t="s">
        <v>14</v>
      </c>
      <c r="F849">
        <v>14</v>
      </c>
      <c r="G849" t="s">
        <v>15</v>
      </c>
      <c r="H849">
        <v>0</v>
      </c>
      <c r="I849">
        <v>16</v>
      </c>
      <c r="J849">
        <v>0</v>
      </c>
      <c r="K849" t="s">
        <v>17</v>
      </c>
      <c r="L849" t="s">
        <v>17</v>
      </c>
      <c r="M849">
        <f>IF(Table1[[#This Row],[ألغى الاشتراك]]="نعم",1,0)</f>
        <v>0</v>
      </c>
      <c r="N849">
        <f>IF(Table1[[#This Row],[وسيلة الدفع]]="بطاقة",1,0)</f>
        <v>1</v>
      </c>
      <c r="O849">
        <f>IF(Table1[[#This Row],[وسيلة الدفع]]="محفظة",1,0)</f>
        <v>0</v>
      </c>
      <c r="P849">
        <f>IF(Table1[[#This Row],[وسيلة الدفع]]="تحويل",1,0)</f>
        <v>0</v>
      </c>
      <c r="Q849">
        <f>IF(Table1[[#This Row],[حضر التهيئة]]="نعم",1,0)</f>
        <v>0</v>
      </c>
      <c r="R849">
        <f>IF(Table1[[#This Row],[دورة الفوترة]]="شهري",1,0)</f>
        <v>1</v>
      </c>
    </row>
    <row r="850" spans="1:18" x14ac:dyDescent="0.25">
      <c r="A850" t="s">
        <v>870</v>
      </c>
      <c r="B850" s="1">
        <v>45981</v>
      </c>
      <c r="C850" t="s">
        <v>19</v>
      </c>
      <c r="D850">
        <v>189</v>
      </c>
      <c r="E850" t="s">
        <v>14</v>
      </c>
      <c r="F850">
        <v>25</v>
      </c>
      <c r="G850" t="s">
        <v>23</v>
      </c>
      <c r="H850">
        <v>1</v>
      </c>
      <c r="I850">
        <v>11</v>
      </c>
      <c r="J850">
        <v>0</v>
      </c>
      <c r="K850" t="s">
        <v>17</v>
      </c>
      <c r="L850" t="s">
        <v>17</v>
      </c>
      <c r="M850">
        <f>IF(Table1[[#This Row],[ألغى الاشتراك]]="نعم",1,0)</f>
        <v>0</v>
      </c>
      <c r="N850">
        <f>IF(Table1[[#This Row],[وسيلة الدفع]]="بطاقة",1,0)</f>
        <v>0</v>
      </c>
      <c r="O850">
        <f>IF(Table1[[#This Row],[وسيلة الدفع]]="محفظة",1,0)</f>
        <v>0</v>
      </c>
      <c r="P850">
        <f>IF(Table1[[#This Row],[وسيلة الدفع]]="تحويل",1,0)</f>
        <v>1</v>
      </c>
      <c r="Q850">
        <f>IF(Table1[[#This Row],[حضر التهيئة]]="نعم",1,0)</f>
        <v>0</v>
      </c>
      <c r="R850">
        <f>IF(Table1[[#This Row],[دورة الفوترة]]="شهري",1,0)</f>
        <v>1</v>
      </c>
    </row>
    <row r="851" spans="1:18" x14ac:dyDescent="0.25">
      <c r="A851" t="s">
        <v>871</v>
      </c>
      <c r="B851" s="1">
        <v>45525</v>
      </c>
      <c r="C851" t="s">
        <v>19</v>
      </c>
      <c r="D851">
        <v>189</v>
      </c>
      <c r="E851" t="s">
        <v>20</v>
      </c>
      <c r="F851">
        <v>28</v>
      </c>
      <c r="G851" t="s">
        <v>15</v>
      </c>
      <c r="H851">
        <v>1</v>
      </c>
      <c r="I851">
        <v>10</v>
      </c>
      <c r="J851">
        <v>0</v>
      </c>
      <c r="K851" t="s">
        <v>16</v>
      </c>
      <c r="L851" t="s">
        <v>17</v>
      </c>
      <c r="M851">
        <f>IF(Table1[[#This Row],[ألغى الاشتراك]]="نعم",1,0)</f>
        <v>0</v>
      </c>
      <c r="N851">
        <f>IF(Table1[[#This Row],[وسيلة الدفع]]="بطاقة",1,0)</f>
        <v>1</v>
      </c>
      <c r="O851">
        <f>IF(Table1[[#This Row],[وسيلة الدفع]]="محفظة",1,0)</f>
        <v>0</v>
      </c>
      <c r="P851">
        <f>IF(Table1[[#This Row],[وسيلة الدفع]]="تحويل",1,0)</f>
        <v>0</v>
      </c>
      <c r="Q851">
        <f>IF(Table1[[#This Row],[حضر التهيئة]]="نعم",1,0)</f>
        <v>1</v>
      </c>
      <c r="R851">
        <f>IF(Table1[[#This Row],[دورة الفوترة]]="شهري",1,0)</f>
        <v>0</v>
      </c>
    </row>
    <row r="852" spans="1:18" x14ac:dyDescent="0.25">
      <c r="A852" t="s">
        <v>872</v>
      </c>
      <c r="B852" s="1">
        <v>45922</v>
      </c>
      <c r="C852" t="s">
        <v>28</v>
      </c>
      <c r="D852">
        <v>39</v>
      </c>
      <c r="E852" t="s">
        <v>14</v>
      </c>
      <c r="F852">
        <v>23</v>
      </c>
      <c r="G852" t="s">
        <v>21</v>
      </c>
      <c r="H852">
        <v>0</v>
      </c>
      <c r="I852">
        <v>51</v>
      </c>
      <c r="J852">
        <v>0</v>
      </c>
      <c r="K852" t="s">
        <v>17</v>
      </c>
      <c r="L852" t="s">
        <v>17</v>
      </c>
      <c r="M852">
        <f>IF(Table1[[#This Row],[ألغى الاشتراك]]="نعم",1,0)</f>
        <v>0</v>
      </c>
      <c r="N852">
        <f>IF(Table1[[#This Row],[وسيلة الدفع]]="بطاقة",1,0)</f>
        <v>0</v>
      </c>
      <c r="O852">
        <f>IF(Table1[[#This Row],[وسيلة الدفع]]="محفظة",1,0)</f>
        <v>1</v>
      </c>
      <c r="P852">
        <f>IF(Table1[[#This Row],[وسيلة الدفع]]="تحويل",1,0)</f>
        <v>0</v>
      </c>
      <c r="Q852">
        <f>IF(Table1[[#This Row],[حضر التهيئة]]="نعم",1,0)</f>
        <v>0</v>
      </c>
      <c r="R852">
        <f>IF(Table1[[#This Row],[دورة الفوترة]]="شهري",1,0)</f>
        <v>1</v>
      </c>
    </row>
    <row r="853" spans="1:18" x14ac:dyDescent="0.25">
      <c r="A853" t="s">
        <v>873</v>
      </c>
      <c r="B853" s="1">
        <v>45333</v>
      </c>
      <c r="C853" t="s">
        <v>19</v>
      </c>
      <c r="D853">
        <v>189</v>
      </c>
      <c r="E853" t="s">
        <v>20</v>
      </c>
      <c r="F853">
        <v>26</v>
      </c>
      <c r="G853" t="s">
        <v>23</v>
      </c>
      <c r="H853">
        <v>2</v>
      </c>
      <c r="I853">
        <v>20</v>
      </c>
      <c r="J853">
        <v>0</v>
      </c>
      <c r="K853" t="s">
        <v>16</v>
      </c>
      <c r="L853" t="s">
        <v>17</v>
      </c>
      <c r="M853">
        <f>IF(Table1[[#This Row],[ألغى الاشتراك]]="نعم",1,0)</f>
        <v>0</v>
      </c>
      <c r="N853">
        <f>IF(Table1[[#This Row],[وسيلة الدفع]]="بطاقة",1,0)</f>
        <v>0</v>
      </c>
      <c r="O853">
        <f>IF(Table1[[#This Row],[وسيلة الدفع]]="محفظة",1,0)</f>
        <v>0</v>
      </c>
      <c r="P853">
        <f>IF(Table1[[#This Row],[وسيلة الدفع]]="تحويل",1,0)</f>
        <v>1</v>
      </c>
      <c r="Q853">
        <f>IF(Table1[[#This Row],[حضر التهيئة]]="نعم",1,0)</f>
        <v>1</v>
      </c>
      <c r="R853">
        <f>IF(Table1[[#This Row],[دورة الفوترة]]="شهري",1,0)</f>
        <v>0</v>
      </c>
    </row>
    <row r="854" spans="1:18" x14ac:dyDescent="0.25">
      <c r="A854" t="s">
        <v>874</v>
      </c>
      <c r="B854" s="1">
        <v>45981</v>
      </c>
      <c r="C854" t="s">
        <v>19</v>
      </c>
      <c r="D854">
        <v>189</v>
      </c>
      <c r="E854" t="s">
        <v>14</v>
      </c>
      <c r="F854">
        <v>5</v>
      </c>
      <c r="G854" t="s">
        <v>23</v>
      </c>
      <c r="H854">
        <v>1</v>
      </c>
      <c r="I854">
        <v>51</v>
      </c>
      <c r="J854">
        <v>0</v>
      </c>
      <c r="K854" t="s">
        <v>17</v>
      </c>
      <c r="L854" t="s">
        <v>17</v>
      </c>
      <c r="M854">
        <f>IF(Table1[[#This Row],[ألغى الاشتراك]]="نعم",1,0)</f>
        <v>0</v>
      </c>
      <c r="N854">
        <f>IF(Table1[[#This Row],[وسيلة الدفع]]="بطاقة",1,0)</f>
        <v>0</v>
      </c>
      <c r="O854">
        <f>IF(Table1[[#This Row],[وسيلة الدفع]]="محفظة",1,0)</f>
        <v>0</v>
      </c>
      <c r="P854">
        <f>IF(Table1[[#This Row],[وسيلة الدفع]]="تحويل",1,0)</f>
        <v>1</v>
      </c>
      <c r="Q854">
        <f>IF(Table1[[#This Row],[حضر التهيئة]]="نعم",1,0)</f>
        <v>0</v>
      </c>
      <c r="R854">
        <f>IF(Table1[[#This Row],[دورة الفوترة]]="شهري",1,0)</f>
        <v>1</v>
      </c>
    </row>
    <row r="855" spans="1:18" x14ac:dyDescent="0.25">
      <c r="A855" t="s">
        <v>875</v>
      </c>
      <c r="B855" s="1">
        <v>45387</v>
      </c>
      <c r="C855" t="s">
        <v>28</v>
      </c>
      <c r="D855">
        <v>39</v>
      </c>
      <c r="E855" t="s">
        <v>14</v>
      </c>
      <c r="F855">
        <v>26</v>
      </c>
      <c r="G855" t="s">
        <v>21</v>
      </c>
      <c r="H855">
        <v>5</v>
      </c>
      <c r="I855">
        <v>12</v>
      </c>
      <c r="J855">
        <v>0</v>
      </c>
      <c r="K855" t="s">
        <v>16</v>
      </c>
      <c r="L855" t="s">
        <v>16</v>
      </c>
      <c r="M855">
        <f>IF(Table1[[#This Row],[ألغى الاشتراك]]="نعم",1,0)</f>
        <v>1</v>
      </c>
      <c r="N855">
        <f>IF(Table1[[#This Row],[وسيلة الدفع]]="بطاقة",1,0)</f>
        <v>0</v>
      </c>
      <c r="O855">
        <f>IF(Table1[[#This Row],[وسيلة الدفع]]="محفظة",1,0)</f>
        <v>1</v>
      </c>
      <c r="P855">
        <f>IF(Table1[[#This Row],[وسيلة الدفع]]="تحويل",1,0)</f>
        <v>0</v>
      </c>
      <c r="Q855">
        <f>IF(Table1[[#This Row],[حضر التهيئة]]="نعم",1,0)</f>
        <v>1</v>
      </c>
      <c r="R855">
        <f>IF(Table1[[#This Row],[دورة الفوترة]]="شهري",1,0)</f>
        <v>1</v>
      </c>
    </row>
    <row r="856" spans="1:18" x14ac:dyDescent="0.25">
      <c r="A856" t="s">
        <v>876</v>
      </c>
      <c r="B856" s="1">
        <v>45667</v>
      </c>
      <c r="C856" t="s">
        <v>19</v>
      </c>
      <c r="D856">
        <v>189</v>
      </c>
      <c r="E856" t="s">
        <v>14</v>
      </c>
      <c r="F856">
        <v>17</v>
      </c>
      <c r="G856" t="s">
        <v>15</v>
      </c>
      <c r="H856">
        <v>1</v>
      </c>
      <c r="I856">
        <v>57</v>
      </c>
      <c r="J856">
        <v>0</v>
      </c>
      <c r="K856" t="s">
        <v>16</v>
      </c>
      <c r="L856" t="s">
        <v>17</v>
      </c>
      <c r="M856">
        <f>IF(Table1[[#This Row],[ألغى الاشتراك]]="نعم",1,0)</f>
        <v>0</v>
      </c>
      <c r="N856">
        <f>IF(Table1[[#This Row],[وسيلة الدفع]]="بطاقة",1,0)</f>
        <v>1</v>
      </c>
      <c r="O856">
        <f>IF(Table1[[#This Row],[وسيلة الدفع]]="محفظة",1,0)</f>
        <v>0</v>
      </c>
      <c r="P856">
        <f>IF(Table1[[#This Row],[وسيلة الدفع]]="تحويل",1,0)</f>
        <v>0</v>
      </c>
      <c r="Q856">
        <f>IF(Table1[[#This Row],[حضر التهيئة]]="نعم",1,0)</f>
        <v>1</v>
      </c>
      <c r="R856">
        <f>IF(Table1[[#This Row],[دورة الفوترة]]="شهري",1,0)</f>
        <v>1</v>
      </c>
    </row>
    <row r="857" spans="1:18" x14ac:dyDescent="0.25">
      <c r="A857" t="s">
        <v>877</v>
      </c>
      <c r="B857" s="1">
        <v>45341</v>
      </c>
      <c r="C857" t="s">
        <v>19</v>
      </c>
      <c r="D857">
        <v>189</v>
      </c>
      <c r="E857" t="s">
        <v>14</v>
      </c>
      <c r="F857">
        <v>10</v>
      </c>
      <c r="G857" t="s">
        <v>23</v>
      </c>
      <c r="H857">
        <v>1</v>
      </c>
      <c r="I857">
        <v>8</v>
      </c>
      <c r="J857">
        <v>0</v>
      </c>
      <c r="K857" t="s">
        <v>17</v>
      </c>
      <c r="L857" t="s">
        <v>17</v>
      </c>
      <c r="M857">
        <f>IF(Table1[[#This Row],[ألغى الاشتراك]]="نعم",1,0)</f>
        <v>0</v>
      </c>
      <c r="N857">
        <f>IF(Table1[[#This Row],[وسيلة الدفع]]="بطاقة",1,0)</f>
        <v>0</v>
      </c>
      <c r="O857">
        <f>IF(Table1[[#This Row],[وسيلة الدفع]]="محفظة",1,0)</f>
        <v>0</v>
      </c>
      <c r="P857">
        <f>IF(Table1[[#This Row],[وسيلة الدفع]]="تحويل",1,0)</f>
        <v>1</v>
      </c>
      <c r="Q857">
        <f>IF(Table1[[#This Row],[حضر التهيئة]]="نعم",1,0)</f>
        <v>0</v>
      </c>
      <c r="R857">
        <f>IF(Table1[[#This Row],[دورة الفوترة]]="شهري",1,0)</f>
        <v>1</v>
      </c>
    </row>
    <row r="858" spans="1:18" x14ac:dyDescent="0.25">
      <c r="A858" t="s">
        <v>878</v>
      </c>
      <c r="B858" s="1">
        <v>45728</v>
      </c>
      <c r="C858" t="s">
        <v>13</v>
      </c>
      <c r="D858">
        <v>89</v>
      </c>
      <c r="E858" t="s">
        <v>14</v>
      </c>
      <c r="F858">
        <v>27</v>
      </c>
      <c r="G858" t="s">
        <v>21</v>
      </c>
      <c r="H858">
        <v>0</v>
      </c>
      <c r="I858">
        <v>29</v>
      </c>
      <c r="J858">
        <v>0</v>
      </c>
      <c r="K858" t="s">
        <v>16</v>
      </c>
      <c r="L858" t="s">
        <v>17</v>
      </c>
      <c r="M858">
        <f>IF(Table1[[#This Row],[ألغى الاشتراك]]="نعم",1,0)</f>
        <v>0</v>
      </c>
      <c r="N858">
        <f>IF(Table1[[#This Row],[وسيلة الدفع]]="بطاقة",1,0)</f>
        <v>0</v>
      </c>
      <c r="O858">
        <f>IF(Table1[[#This Row],[وسيلة الدفع]]="محفظة",1,0)</f>
        <v>1</v>
      </c>
      <c r="P858">
        <f>IF(Table1[[#This Row],[وسيلة الدفع]]="تحويل",1,0)</f>
        <v>0</v>
      </c>
      <c r="Q858">
        <f>IF(Table1[[#This Row],[حضر التهيئة]]="نعم",1,0)</f>
        <v>1</v>
      </c>
      <c r="R858">
        <f>IF(Table1[[#This Row],[دورة الفوترة]]="شهري",1,0)</f>
        <v>1</v>
      </c>
    </row>
    <row r="859" spans="1:18" x14ac:dyDescent="0.25">
      <c r="A859" t="s">
        <v>879</v>
      </c>
      <c r="B859" s="1">
        <v>45403</v>
      </c>
      <c r="C859" t="s">
        <v>28</v>
      </c>
      <c r="D859">
        <v>39</v>
      </c>
      <c r="E859" t="s">
        <v>14</v>
      </c>
      <c r="F859">
        <v>12</v>
      </c>
      <c r="G859" t="s">
        <v>21</v>
      </c>
      <c r="H859">
        <v>2</v>
      </c>
      <c r="I859">
        <v>54</v>
      </c>
      <c r="J859">
        <v>0</v>
      </c>
      <c r="K859" t="s">
        <v>16</v>
      </c>
      <c r="L859" t="s">
        <v>17</v>
      </c>
      <c r="M859">
        <f>IF(Table1[[#This Row],[ألغى الاشتراك]]="نعم",1,0)</f>
        <v>0</v>
      </c>
      <c r="N859">
        <f>IF(Table1[[#This Row],[وسيلة الدفع]]="بطاقة",1,0)</f>
        <v>0</v>
      </c>
      <c r="O859">
        <f>IF(Table1[[#This Row],[وسيلة الدفع]]="محفظة",1,0)</f>
        <v>1</v>
      </c>
      <c r="P859">
        <f>IF(Table1[[#This Row],[وسيلة الدفع]]="تحويل",1,0)</f>
        <v>0</v>
      </c>
      <c r="Q859">
        <f>IF(Table1[[#This Row],[حضر التهيئة]]="نعم",1,0)</f>
        <v>1</v>
      </c>
      <c r="R859">
        <f>IF(Table1[[#This Row],[دورة الفوترة]]="شهري",1,0)</f>
        <v>1</v>
      </c>
    </row>
    <row r="860" spans="1:18" x14ac:dyDescent="0.25">
      <c r="A860" t="s">
        <v>880</v>
      </c>
      <c r="B860" s="1">
        <v>45329</v>
      </c>
      <c r="C860" t="s">
        <v>19</v>
      </c>
      <c r="D860">
        <v>189</v>
      </c>
      <c r="E860" t="s">
        <v>14</v>
      </c>
      <c r="F860">
        <v>19</v>
      </c>
      <c r="G860" t="s">
        <v>15</v>
      </c>
      <c r="H860">
        <v>1</v>
      </c>
      <c r="I860">
        <v>11</v>
      </c>
      <c r="J860">
        <v>10</v>
      </c>
      <c r="K860" t="s">
        <v>16</v>
      </c>
      <c r="L860" t="s">
        <v>17</v>
      </c>
      <c r="M860">
        <f>IF(Table1[[#This Row],[ألغى الاشتراك]]="نعم",1,0)</f>
        <v>0</v>
      </c>
      <c r="N860">
        <f>IF(Table1[[#This Row],[وسيلة الدفع]]="بطاقة",1,0)</f>
        <v>1</v>
      </c>
      <c r="O860">
        <f>IF(Table1[[#This Row],[وسيلة الدفع]]="محفظة",1,0)</f>
        <v>0</v>
      </c>
      <c r="P860">
        <f>IF(Table1[[#This Row],[وسيلة الدفع]]="تحويل",1,0)</f>
        <v>0</v>
      </c>
      <c r="Q860">
        <f>IF(Table1[[#This Row],[حضر التهيئة]]="نعم",1,0)</f>
        <v>1</v>
      </c>
      <c r="R860">
        <f>IF(Table1[[#This Row],[دورة الفوترة]]="شهري",1,0)</f>
        <v>1</v>
      </c>
    </row>
    <row r="861" spans="1:18" x14ac:dyDescent="0.25">
      <c r="A861" t="s">
        <v>881</v>
      </c>
      <c r="B861" s="1">
        <v>45866</v>
      </c>
      <c r="C861" t="s">
        <v>19</v>
      </c>
      <c r="D861">
        <v>189</v>
      </c>
      <c r="E861" t="s">
        <v>14</v>
      </c>
      <c r="F861">
        <v>7</v>
      </c>
      <c r="G861" t="s">
        <v>15</v>
      </c>
      <c r="H861">
        <v>0</v>
      </c>
      <c r="I861">
        <v>47</v>
      </c>
      <c r="J861">
        <v>0</v>
      </c>
      <c r="K861" t="s">
        <v>16</v>
      </c>
      <c r="L861" t="s">
        <v>16</v>
      </c>
      <c r="M861">
        <f>IF(Table1[[#This Row],[ألغى الاشتراك]]="نعم",1,0)</f>
        <v>1</v>
      </c>
      <c r="N861">
        <f>IF(Table1[[#This Row],[وسيلة الدفع]]="بطاقة",1,0)</f>
        <v>1</v>
      </c>
      <c r="O861">
        <f>IF(Table1[[#This Row],[وسيلة الدفع]]="محفظة",1,0)</f>
        <v>0</v>
      </c>
      <c r="P861">
        <f>IF(Table1[[#This Row],[وسيلة الدفع]]="تحويل",1,0)</f>
        <v>0</v>
      </c>
      <c r="Q861">
        <f>IF(Table1[[#This Row],[حضر التهيئة]]="نعم",1,0)</f>
        <v>1</v>
      </c>
      <c r="R861">
        <f>IF(Table1[[#This Row],[دورة الفوترة]]="شهري",1,0)</f>
        <v>1</v>
      </c>
    </row>
    <row r="862" spans="1:18" x14ac:dyDescent="0.25">
      <c r="A862" t="s">
        <v>882</v>
      </c>
      <c r="B862" s="1">
        <v>45505</v>
      </c>
      <c r="C862" t="s">
        <v>28</v>
      </c>
      <c r="D862">
        <v>39</v>
      </c>
      <c r="E862" t="s">
        <v>14</v>
      </c>
      <c r="F862">
        <v>18</v>
      </c>
      <c r="G862" t="s">
        <v>15</v>
      </c>
      <c r="H862">
        <v>10</v>
      </c>
      <c r="I862">
        <v>8</v>
      </c>
      <c r="J862">
        <v>0</v>
      </c>
      <c r="K862" t="s">
        <v>16</v>
      </c>
      <c r="L862" t="s">
        <v>16</v>
      </c>
      <c r="M862">
        <f>IF(Table1[[#This Row],[ألغى الاشتراك]]="نعم",1,0)</f>
        <v>1</v>
      </c>
      <c r="N862">
        <f>IF(Table1[[#This Row],[وسيلة الدفع]]="بطاقة",1,0)</f>
        <v>1</v>
      </c>
      <c r="O862">
        <f>IF(Table1[[#This Row],[وسيلة الدفع]]="محفظة",1,0)</f>
        <v>0</v>
      </c>
      <c r="P862">
        <f>IF(Table1[[#This Row],[وسيلة الدفع]]="تحويل",1,0)</f>
        <v>0</v>
      </c>
      <c r="Q862">
        <f>IF(Table1[[#This Row],[حضر التهيئة]]="نعم",1,0)</f>
        <v>1</v>
      </c>
      <c r="R862">
        <f>IF(Table1[[#This Row],[دورة الفوترة]]="شهري",1,0)</f>
        <v>1</v>
      </c>
    </row>
    <row r="863" spans="1:18" x14ac:dyDescent="0.25">
      <c r="A863" t="s">
        <v>883</v>
      </c>
      <c r="B863" s="1">
        <v>45914</v>
      </c>
      <c r="C863" t="s">
        <v>13</v>
      </c>
      <c r="D863">
        <v>89</v>
      </c>
      <c r="E863" t="s">
        <v>20</v>
      </c>
      <c r="F863">
        <v>29</v>
      </c>
      <c r="G863" t="s">
        <v>21</v>
      </c>
      <c r="H863">
        <v>2</v>
      </c>
      <c r="I863">
        <v>29</v>
      </c>
      <c r="J863">
        <v>0</v>
      </c>
      <c r="K863" t="s">
        <v>17</v>
      </c>
      <c r="L863" t="s">
        <v>17</v>
      </c>
      <c r="M863">
        <f>IF(Table1[[#This Row],[ألغى الاشتراك]]="نعم",1,0)</f>
        <v>0</v>
      </c>
      <c r="N863">
        <f>IF(Table1[[#This Row],[وسيلة الدفع]]="بطاقة",1,0)</f>
        <v>0</v>
      </c>
      <c r="O863">
        <f>IF(Table1[[#This Row],[وسيلة الدفع]]="محفظة",1,0)</f>
        <v>1</v>
      </c>
      <c r="P863">
        <f>IF(Table1[[#This Row],[وسيلة الدفع]]="تحويل",1,0)</f>
        <v>0</v>
      </c>
      <c r="Q863">
        <f>IF(Table1[[#This Row],[حضر التهيئة]]="نعم",1,0)</f>
        <v>0</v>
      </c>
      <c r="R863">
        <f>IF(Table1[[#This Row],[دورة الفوترة]]="شهري",1,0)</f>
        <v>0</v>
      </c>
    </row>
    <row r="864" spans="1:18" x14ac:dyDescent="0.25">
      <c r="A864" t="s">
        <v>884</v>
      </c>
      <c r="B864" s="1">
        <v>45333</v>
      </c>
      <c r="C864" t="s">
        <v>19</v>
      </c>
      <c r="D864">
        <v>189</v>
      </c>
      <c r="E864" t="s">
        <v>14</v>
      </c>
      <c r="F864">
        <v>26</v>
      </c>
      <c r="G864" t="s">
        <v>23</v>
      </c>
      <c r="H864">
        <v>3</v>
      </c>
      <c r="I864">
        <v>8</v>
      </c>
      <c r="J864">
        <v>0</v>
      </c>
      <c r="K864" t="s">
        <v>17</v>
      </c>
      <c r="L864" t="s">
        <v>17</v>
      </c>
      <c r="M864">
        <f>IF(Table1[[#This Row],[ألغى الاشتراك]]="نعم",1,0)</f>
        <v>0</v>
      </c>
      <c r="N864">
        <f>IF(Table1[[#This Row],[وسيلة الدفع]]="بطاقة",1,0)</f>
        <v>0</v>
      </c>
      <c r="O864">
        <f>IF(Table1[[#This Row],[وسيلة الدفع]]="محفظة",1,0)</f>
        <v>0</v>
      </c>
      <c r="P864">
        <f>IF(Table1[[#This Row],[وسيلة الدفع]]="تحويل",1,0)</f>
        <v>1</v>
      </c>
      <c r="Q864">
        <f>IF(Table1[[#This Row],[حضر التهيئة]]="نعم",1,0)</f>
        <v>0</v>
      </c>
      <c r="R864">
        <f>IF(Table1[[#This Row],[دورة الفوترة]]="شهري",1,0)</f>
        <v>1</v>
      </c>
    </row>
    <row r="865" spans="1:18" x14ac:dyDescent="0.25">
      <c r="A865" t="s">
        <v>885</v>
      </c>
      <c r="B865" s="1">
        <v>45858</v>
      </c>
      <c r="C865" t="s">
        <v>19</v>
      </c>
      <c r="D865">
        <v>189</v>
      </c>
      <c r="E865" t="s">
        <v>20</v>
      </c>
      <c r="F865">
        <v>5</v>
      </c>
      <c r="G865" t="s">
        <v>21</v>
      </c>
      <c r="H865">
        <v>1</v>
      </c>
      <c r="I865">
        <v>51</v>
      </c>
      <c r="J865">
        <v>0</v>
      </c>
      <c r="K865" t="s">
        <v>17</v>
      </c>
      <c r="L865" t="s">
        <v>17</v>
      </c>
      <c r="M865">
        <f>IF(Table1[[#This Row],[ألغى الاشتراك]]="نعم",1,0)</f>
        <v>0</v>
      </c>
      <c r="N865">
        <f>IF(Table1[[#This Row],[وسيلة الدفع]]="بطاقة",1,0)</f>
        <v>0</v>
      </c>
      <c r="O865">
        <f>IF(Table1[[#This Row],[وسيلة الدفع]]="محفظة",1,0)</f>
        <v>1</v>
      </c>
      <c r="P865">
        <f>IF(Table1[[#This Row],[وسيلة الدفع]]="تحويل",1,0)</f>
        <v>0</v>
      </c>
      <c r="Q865">
        <f>IF(Table1[[#This Row],[حضر التهيئة]]="نعم",1,0)</f>
        <v>0</v>
      </c>
      <c r="R865">
        <f>IF(Table1[[#This Row],[دورة الفوترة]]="شهري",1,0)</f>
        <v>0</v>
      </c>
    </row>
    <row r="866" spans="1:18" x14ac:dyDescent="0.25">
      <c r="A866" t="s">
        <v>886</v>
      </c>
      <c r="B866" s="1">
        <v>45651</v>
      </c>
      <c r="C866" t="s">
        <v>28</v>
      </c>
      <c r="D866">
        <v>39</v>
      </c>
      <c r="E866" t="s">
        <v>14</v>
      </c>
      <c r="F866">
        <v>12</v>
      </c>
      <c r="G866" t="s">
        <v>21</v>
      </c>
      <c r="H866">
        <v>2</v>
      </c>
      <c r="I866">
        <v>38</v>
      </c>
      <c r="J866">
        <v>0</v>
      </c>
      <c r="K866" t="s">
        <v>16</v>
      </c>
      <c r="L866" t="s">
        <v>17</v>
      </c>
      <c r="M866">
        <f>IF(Table1[[#This Row],[ألغى الاشتراك]]="نعم",1,0)</f>
        <v>0</v>
      </c>
      <c r="N866">
        <f>IF(Table1[[#This Row],[وسيلة الدفع]]="بطاقة",1,0)</f>
        <v>0</v>
      </c>
      <c r="O866">
        <f>IF(Table1[[#This Row],[وسيلة الدفع]]="محفظة",1,0)</f>
        <v>1</v>
      </c>
      <c r="P866">
        <f>IF(Table1[[#This Row],[وسيلة الدفع]]="تحويل",1,0)</f>
        <v>0</v>
      </c>
      <c r="Q866">
        <f>IF(Table1[[#This Row],[حضر التهيئة]]="نعم",1,0)</f>
        <v>1</v>
      </c>
      <c r="R866">
        <f>IF(Table1[[#This Row],[دورة الفوترة]]="شهري",1,0)</f>
        <v>1</v>
      </c>
    </row>
    <row r="867" spans="1:18" x14ac:dyDescent="0.25">
      <c r="A867" t="s">
        <v>887</v>
      </c>
      <c r="B867" s="1">
        <v>45659</v>
      </c>
      <c r="C867" t="s">
        <v>28</v>
      </c>
      <c r="D867">
        <v>39</v>
      </c>
      <c r="E867" t="s">
        <v>14</v>
      </c>
      <c r="F867">
        <v>15</v>
      </c>
      <c r="G867" t="s">
        <v>21</v>
      </c>
      <c r="H867">
        <v>0</v>
      </c>
      <c r="I867">
        <v>43</v>
      </c>
      <c r="J867">
        <v>0</v>
      </c>
      <c r="K867" t="s">
        <v>17</v>
      </c>
      <c r="L867" t="s">
        <v>17</v>
      </c>
      <c r="M867">
        <f>IF(Table1[[#This Row],[ألغى الاشتراك]]="نعم",1,0)</f>
        <v>0</v>
      </c>
      <c r="N867">
        <f>IF(Table1[[#This Row],[وسيلة الدفع]]="بطاقة",1,0)</f>
        <v>0</v>
      </c>
      <c r="O867">
        <f>IF(Table1[[#This Row],[وسيلة الدفع]]="محفظة",1,0)</f>
        <v>1</v>
      </c>
      <c r="P867">
        <f>IF(Table1[[#This Row],[وسيلة الدفع]]="تحويل",1,0)</f>
        <v>0</v>
      </c>
      <c r="Q867">
        <f>IF(Table1[[#This Row],[حضر التهيئة]]="نعم",1,0)</f>
        <v>0</v>
      </c>
      <c r="R867">
        <f>IF(Table1[[#This Row],[دورة الفوترة]]="شهري",1,0)</f>
        <v>1</v>
      </c>
    </row>
    <row r="868" spans="1:18" x14ac:dyDescent="0.25">
      <c r="A868" t="s">
        <v>888</v>
      </c>
      <c r="B868" s="1">
        <v>45592</v>
      </c>
      <c r="C868" t="s">
        <v>13</v>
      </c>
      <c r="D868">
        <v>89</v>
      </c>
      <c r="E868" t="s">
        <v>14</v>
      </c>
      <c r="F868">
        <v>6</v>
      </c>
      <c r="G868" t="s">
        <v>21</v>
      </c>
      <c r="H868">
        <v>2</v>
      </c>
      <c r="I868">
        <v>4</v>
      </c>
      <c r="J868">
        <v>0</v>
      </c>
      <c r="K868" t="s">
        <v>16</v>
      </c>
      <c r="L868" t="s">
        <v>17</v>
      </c>
      <c r="M868">
        <f>IF(Table1[[#This Row],[ألغى الاشتراك]]="نعم",1,0)</f>
        <v>0</v>
      </c>
      <c r="N868">
        <f>IF(Table1[[#This Row],[وسيلة الدفع]]="بطاقة",1,0)</f>
        <v>0</v>
      </c>
      <c r="O868">
        <f>IF(Table1[[#This Row],[وسيلة الدفع]]="محفظة",1,0)</f>
        <v>1</v>
      </c>
      <c r="P868">
        <f>IF(Table1[[#This Row],[وسيلة الدفع]]="تحويل",1,0)</f>
        <v>0</v>
      </c>
      <c r="Q868">
        <f>IF(Table1[[#This Row],[حضر التهيئة]]="نعم",1,0)</f>
        <v>1</v>
      </c>
      <c r="R868">
        <f>IF(Table1[[#This Row],[دورة الفوترة]]="شهري",1,0)</f>
        <v>1</v>
      </c>
    </row>
    <row r="869" spans="1:18" x14ac:dyDescent="0.25">
      <c r="A869" t="s">
        <v>889</v>
      </c>
      <c r="B869" s="1">
        <v>45989</v>
      </c>
      <c r="C869" t="s">
        <v>19</v>
      </c>
      <c r="D869">
        <v>189</v>
      </c>
      <c r="E869" t="s">
        <v>14</v>
      </c>
      <c r="F869">
        <v>25</v>
      </c>
      <c r="G869" t="s">
        <v>15</v>
      </c>
      <c r="H869">
        <v>1</v>
      </c>
      <c r="I869">
        <v>27</v>
      </c>
      <c r="J869">
        <v>0</v>
      </c>
      <c r="K869" t="s">
        <v>16</v>
      </c>
      <c r="L869" t="s">
        <v>17</v>
      </c>
      <c r="M869">
        <f>IF(Table1[[#This Row],[ألغى الاشتراك]]="نعم",1,0)</f>
        <v>0</v>
      </c>
      <c r="N869">
        <f>IF(Table1[[#This Row],[وسيلة الدفع]]="بطاقة",1,0)</f>
        <v>1</v>
      </c>
      <c r="O869">
        <f>IF(Table1[[#This Row],[وسيلة الدفع]]="محفظة",1,0)</f>
        <v>0</v>
      </c>
      <c r="P869">
        <f>IF(Table1[[#This Row],[وسيلة الدفع]]="تحويل",1,0)</f>
        <v>0</v>
      </c>
      <c r="Q869">
        <f>IF(Table1[[#This Row],[حضر التهيئة]]="نعم",1,0)</f>
        <v>1</v>
      </c>
      <c r="R869">
        <f>IF(Table1[[#This Row],[دورة الفوترة]]="شهري",1,0)</f>
        <v>1</v>
      </c>
    </row>
    <row r="870" spans="1:18" x14ac:dyDescent="0.25">
      <c r="A870" t="s">
        <v>890</v>
      </c>
      <c r="B870" s="1">
        <v>45683</v>
      </c>
      <c r="C870" t="s">
        <v>19</v>
      </c>
      <c r="D870">
        <v>189</v>
      </c>
      <c r="E870" t="s">
        <v>20</v>
      </c>
      <c r="F870">
        <v>8</v>
      </c>
      <c r="G870" t="s">
        <v>23</v>
      </c>
      <c r="H870">
        <v>5</v>
      </c>
      <c r="I870">
        <v>30</v>
      </c>
      <c r="J870">
        <v>5</v>
      </c>
      <c r="K870" t="s">
        <v>17</v>
      </c>
      <c r="L870" t="s">
        <v>17</v>
      </c>
      <c r="M870">
        <f>IF(Table1[[#This Row],[ألغى الاشتراك]]="نعم",1,0)</f>
        <v>0</v>
      </c>
      <c r="N870">
        <f>IF(Table1[[#This Row],[وسيلة الدفع]]="بطاقة",1,0)</f>
        <v>0</v>
      </c>
      <c r="O870">
        <f>IF(Table1[[#This Row],[وسيلة الدفع]]="محفظة",1,0)</f>
        <v>0</v>
      </c>
      <c r="P870">
        <f>IF(Table1[[#This Row],[وسيلة الدفع]]="تحويل",1,0)</f>
        <v>1</v>
      </c>
      <c r="Q870">
        <f>IF(Table1[[#This Row],[حضر التهيئة]]="نعم",1,0)</f>
        <v>0</v>
      </c>
      <c r="R870">
        <f>IF(Table1[[#This Row],[دورة الفوترة]]="شهري",1,0)</f>
        <v>0</v>
      </c>
    </row>
    <row r="871" spans="1:18" x14ac:dyDescent="0.25">
      <c r="A871" t="s">
        <v>891</v>
      </c>
      <c r="B871" s="1">
        <v>45470</v>
      </c>
      <c r="C871" t="s">
        <v>13</v>
      </c>
      <c r="D871">
        <v>89</v>
      </c>
      <c r="E871" t="s">
        <v>20</v>
      </c>
      <c r="F871">
        <v>12</v>
      </c>
      <c r="G871" t="s">
        <v>15</v>
      </c>
      <c r="H871">
        <v>2</v>
      </c>
      <c r="I871">
        <v>22</v>
      </c>
      <c r="J871">
        <v>0</v>
      </c>
      <c r="K871" t="s">
        <v>17</v>
      </c>
      <c r="L871" t="s">
        <v>17</v>
      </c>
      <c r="M871">
        <f>IF(Table1[[#This Row],[ألغى الاشتراك]]="نعم",1,0)</f>
        <v>0</v>
      </c>
      <c r="N871">
        <f>IF(Table1[[#This Row],[وسيلة الدفع]]="بطاقة",1,0)</f>
        <v>1</v>
      </c>
      <c r="O871">
        <f>IF(Table1[[#This Row],[وسيلة الدفع]]="محفظة",1,0)</f>
        <v>0</v>
      </c>
      <c r="P871">
        <f>IF(Table1[[#This Row],[وسيلة الدفع]]="تحويل",1,0)</f>
        <v>0</v>
      </c>
      <c r="Q871">
        <f>IF(Table1[[#This Row],[حضر التهيئة]]="نعم",1,0)</f>
        <v>0</v>
      </c>
      <c r="R871">
        <f>IF(Table1[[#This Row],[دورة الفوترة]]="شهري",1,0)</f>
        <v>0</v>
      </c>
    </row>
    <row r="872" spans="1:18" x14ac:dyDescent="0.25">
      <c r="A872" t="s">
        <v>892</v>
      </c>
      <c r="B872" s="1">
        <v>45639</v>
      </c>
      <c r="C872" t="s">
        <v>28</v>
      </c>
      <c r="D872">
        <v>39</v>
      </c>
      <c r="E872" t="s">
        <v>14</v>
      </c>
      <c r="F872">
        <v>29</v>
      </c>
      <c r="G872" t="s">
        <v>23</v>
      </c>
      <c r="H872">
        <v>2</v>
      </c>
      <c r="I872">
        <v>39</v>
      </c>
      <c r="J872">
        <v>25</v>
      </c>
      <c r="K872" t="s">
        <v>17</v>
      </c>
      <c r="L872" t="s">
        <v>17</v>
      </c>
      <c r="M872">
        <f>IF(Table1[[#This Row],[ألغى الاشتراك]]="نعم",1,0)</f>
        <v>0</v>
      </c>
      <c r="N872">
        <f>IF(Table1[[#This Row],[وسيلة الدفع]]="بطاقة",1,0)</f>
        <v>0</v>
      </c>
      <c r="O872">
        <f>IF(Table1[[#This Row],[وسيلة الدفع]]="محفظة",1,0)</f>
        <v>0</v>
      </c>
      <c r="P872">
        <f>IF(Table1[[#This Row],[وسيلة الدفع]]="تحويل",1,0)</f>
        <v>1</v>
      </c>
      <c r="Q872">
        <f>IF(Table1[[#This Row],[حضر التهيئة]]="نعم",1,0)</f>
        <v>0</v>
      </c>
      <c r="R872">
        <f>IF(Table1[[#This Row],[دورة الفوترة]]="شهري",1,0)</f>
        <v>1</v>
      </c>
    </row>
    <row r="873" spans="1:18" x14ac:dyDescent="0.25">
      <c r="A873" t="s">
        <v>893</v>
      </c>
      <c r="B873" s="1">
        <v>45580</v>
      </c>
      <c r="C873" t="s">
        <v>13</v>
      </c>
      <c r="D873">
        <v>89</v>
      </c>
      <c r="E873" t="s">
        <v>14</v>
      </c>
      <c r="F873">
        <v>3</v>
      </c>
      <c r="G873" t="s">
        <v>23</v>
      </c>
      <c r="H873">
        <v>0</v>
      </c>
      <c r="I873">
        <v>23</v>
      </c>
      <c r="J873">
        <v>10</v>
      </c>
      <c r="K873" t="s">
        <v>16</v>
      </c>
      <c r="L873" t="s">
        <v>17</v>
      </c>
      <c r="M873">
        <f>IF(Table1[[#This Row],[ألغى الاشتراك]]="نعم",1,0)</f>
        <v>0</v>
      </c>
      <c r="N873">
        <f>IF(Table1[[#This Row],[وسيلة الدفع]]="بطاقة",1,0)</f>
        <v>0</v>
      </c>
      <c r="O873">
        <f>IF(Table1[[#This Row],[وسيلة الدفع]]="محفظة",1,0)</f>
        <v>0</v>
      </c>
      <c r="P873">
        <f>IF(Table1[[#This Row],[وسيلة الدفع]]="تحويل",1,0)</f>
        <v>1</v>
      </c>
      <c r="Q873">
        <f>IF(Table1[[#This Row],[حضر التهيئة]]="نعم",1,0)</f>
        <v>1</v>
      </c>
      <c r="R873">
        <f>IF(Table1[[#This Row],[دورة الفوترة]]="شهري",1,0)</f>
        <v>1</v>
      </c>
    </row>
    <row r="874" spans="1:18" x14ac:dyDescent="0.25">
      <c r="A874" t="s">
        <v>894</v>
      </c>
      <c r="B874" s="1">
        <v>45989</v>
      </c>
      <c r="C874" t="s">
        <v>28</v>
      </c>
      <c r="D874">
        <v>39</v>
      </c>
      <c r="E874" t="s">
        <v>14</v>
      </c>
      <c r="F874">
        <v>17</v>
      </c>
      <c r="G874" t="s">
        <v>21</v>
      </c>
      <c r="H874">
        <v>0</v>
      </c>
      <c r="I874">
        <v>59</v>
      </c>
      <c r="J874">
        <v>0</v>
      </c>
      <c r="K874" t="s">
        <v>17</v>
      </c>
      <c r="L874" t="s">
        <v>17</v>
      </c>
      <c r="M874">
        <f>IF(Table1[[#This Row],[ألغى الاشتراك]]="نعم",1,0)</f>
        <v>0</v>
      </c>
      <c r="N874">
        <f>IF(Table1[[#This Row],[وسيلة الدفع]]="بطاقة",1,0)</f>
        <v>0</v>
      </c>
      <c r="O874">
        <f>IF(Table1[[#This Row],[وسيلة الدفع]]="محفظة",1,0)</f>
        <v>1</v>
      </c>
      <c r="P874">
        <f>IF(Table1[[#This Row],[وسيلة الدفع]]="تحويل",1,0)</f>
        <v>0</v>
      </c>
      <c r="Q874">
        <f>IF(Table1[[#This Row],[حضر التهيئة]]="نعم",1,0)</f>
        <v>0</v>
      </c>
      <c r="R874">
        <f>IF(Table1[[#This Row],[دورة الفوترة]]="شهري",1,0)</f>
        <v>1</v>
      </c>
    </row>
    <row r="875" spans="1:18" x14ac:dyDescent="0.25">
      <c r="A875" t="s">
        <v>895</v>
      </c>
      <c r="B875" s="1">
        <v>45791</v>
      </c>
      <c r="C875" t="s">
        <v>28</v>
      </c>
      <c r="D875">
        <v>39</v>
      </c>
      <c r="E875" t="s">
        <v>14</v>
      </c>
      <c r="F875">
        <v>12</v>
      </c>
      <c r="G875" t="s">
        <v>21</v>
      </c>
      <c r="H875">
        <v>3</v>
      </c>
      <c r="I875">
        <v>50</v>
      </c>
      <c r="J875">
        <v>5</v>
      </c>
      <c r="K875" t="s">
        <v>16</v>
      </c>
      <c r="L875" t="s">
        <v>17</v>
      </c>
      <c r="M875">
        <f>IF(Table1[[#This Row],[ألغى الاشتراك]]="نعم",1,0)</f>
        <v>0</v>
      </c>
      <c r="N875">
        <f>IF(Table1[[#This Row],[وسيلة الدفع]]="بطاقة",1,0)</f>
        <v>0</v>
      </c>
      <c r="O875">
        <f>IF(Table1[[#This Row],[وسيلة الدفع]]="محفظة",1,0)</f>
        <v>1</v>
      </c>
      <c r="P875">
        <f>IF(Table1[[#This Row],[وسيلة الدفع]]="تحويل",1,0)</f>
        <v>0</v>
      </c>
      <c r="Q875">
        <f>IF(Table1[[#This Row],[حضر التهيئة]]="نعم",1,0)</f>
        <v>1</v>
      </c>
      <c r="R875">
        <f>IF(Table1[[#This Row],[دورة الفوترة]]="شهري",1,0)</f>
        <v>1</v>
      </c>
    </row>
    <row r="876" spans="1:18" x14ac:dyDescent="0.25">
      <c r="A876" t="s">
        <v>896</v>
      </c>
      <c r="B876" s="1">
        <v>45349</v>
      </c>
      <c r="C876" t="s">
        <v>28</v>
      </c>
      <c r="D876">
        <v>39</v>
      </c>
      <c r="E876" t="s">
        <v>14</v>
      </c>
      <c r="F876">
        <v>6</v>
      </c>
      <c r="G876" t="s">
        <v>21</v>
      </c>
      <c r="H876">
        <v>10</v>
      </c>
      <c r="I876">
        <v>16</v>
      </c>
      <c r="J876">
        <v>0</v>
      </c>
      <c r="K876" t="s">
        <v>17</v>
      </c>
      <c r="L876" t="s">
        <v>17</v>
      </c>
      <c r="M876">
        <f>IF(Table1[[#This Row],[ألغى الاشتراك]]="نعم",1,0)</f>
        <v>0</v>
      </c>
      <c r="N876">
        <f>IF(Table1[[#This Row],[وسيلة الدفع]]="بطاقة",1,0)</f>
        <v>0</v>
      </c>
      <c r="O876">
        <f>IF(Table1[[#This Row],[وسيلة الدفع]]="محفظة",1,0)</f>
        <v>1</v>
      </c>
      <c r="P876">
        <f>IF(Table1[[#This Row],[وسيلة الدفع]]="تحويل",1,0)</f>
        <v>0</v>
      </c>
      <c r="Q876">
        <f>IF(Table1[[#This Row],[حضر التهيئة]]="نعم",1,0)</f>
        <v>0</v>
      </c>
      <c r="R876">
        <f>IF(Table1[[#This Row],[دورة الفوترة]]="شهري",1,0)</f>
        <v>1</v>
      </c>
    </row>
    <row r="877" spans="1:18" x14ac:dyDescent="0.25">
      <c r="A877" t="s">
        <v>897</v>
      </c>
      <c r="B877" s="1">
        <v>45627</v>
      </c>
      <c r="C877" t="s">
        <v>28</v>
      </c>
      <c r="D877">
        <v>39</v>
      </c>
      <c r="E877" t="s">
        <v>20</v>
      </c>
      <c r="F877">
        <v>13</v>
      </c>
      <c r="G877" t="s">
        <v>21</v>
      </c>
      <c r="H877">
        <v>8</v>
      </c>
      <c r="I877">
        <v>19</v>
      </c>
      <c r="J877">
        <v>25</v>
      </c>
      <c r="K877" t="s">
        <v>16</v>
      </c>
      <c r="L877" t="s">
        <v>17</v>
      </c>
      <c r="M877">
        <f>IF(Table1[[#This Row],[ألغى الاشتراك]]="نعم",1,0)</f>
        <v>0</v>
      </c>
      <c r="N877">
        <f>IF(Table1[[#This Row],[وسيلة الدفع]]="بطاقة",1,0)</f>
        <v>0</v>
      </c>
      <c r="O877">
        <f>IF(Table1[[#This Row],[وسيلة الدفع]]="محفظة",1,0)</f>
        <v>1</v>
      </c>
      <c r="P877">
        <f>IF(Table1[[#This Row],[وسيلة الدفع]]="تحويل",1,0)</f>
        <v>0</v>
      </c>
      <c r="Q877">
        <f>IF(Table1[[#This Row],[حضر التهيئة]]="نعم",1,0)</f>
        <v>1</v>
      </c>
      <c r="R877">
        <f>IF(Table1[[#This Row],[دورة الفوترة]]="شهري",1,0)</f>
        <v>0</v>
      </c>
    </row>
    <row r="878" spans="1:18" x14ac:dyDescent="0.25">
      <c r="A878" t="s">
        <v>898</v>
      </c>
      <c r="B878" s="1">
        <v>45325</v>
      </c>
      <c r="C878" t="s">
        <v>19</v>
      </c>
      <c r="D878">
        <v>189</v>
      </c>
      <c r="E878" t="s">
        <v>14</v>
      </c>
      <c r="F878">
        <v>25</v>
      </c>
      <c r="G878" t="s">
        <v>21</v>
      </c>
      <c r="H878">
        <v>2</v>
      </c>
      <c r="I878">
        <v>7</v>
      </c>
      <c r="J878">
        <v>10</v>
      </c>
      <c r="K878" t="s">
        <v>16</v>
      </c>
      <c r="L878" t="s">
        <v>17</v>
      </c>
      <c r="M878">
        <f>IF(Table1[[#This Row],[ألغى الاشتراك]]="نعم",1,0)</f>
        <v>0</v>
      </c>
      <c r="N878">
        <f>IF(Table1[[#This Row],[وسيلة الدفع]]="بطاقة",1,0)</f>
        <v>0</v>
      </c>
      <c r="O878">
        <f>IF(Table1[[#This Row],[وسيلة الدفع]]="محفظة",1,0)</f>
        <v>1</v>
      </c>
      <c r="P878">
        <f>IF(Table1[[#This Row],[وسيلة الدفع]]="تحويل",1,0)</f>
        <v>0</v>
      </c>
      <c r="Q878">
        <f>IF(Table1[[#This Row],[حضر التهيئة]]="نعم",1,0)</f>
        <v>1</v>
      </c>
      <c r="R878">
        <f>IF(Table1[[#This Row],[دورة الفوترة]]="شهري",1,0)</f>
        <v>1</v>
      </c>
    </row>
    <row r="879" spans="1:18" x14ac:dyDescent="0.25">
      <c r="A879" t="s">
        <v>899</v>
      </c>
      <c r="B879" s="1">
        <v>45724</v>
      </c>
      <c r="C879" t="s">
        <v>13</v>
      </c>
      <c r="D879">
        <v>89</v>
      </c>
      <c r="E879" t="s">
        <v>14</v>
      </c>
      <c r="F879">
        <v>27</v>
      </c>
      <c r="G879" t="s">
        <v>23</v>
      </c>
      <c r="H879">
        <v>1</v>
      </c>
      <c r="I879">
        <v>5</v>
      </c>
      <c r="J879">
        <v>0</v>
      </c>
      <c r="K879" t="s">
        <v>16</v>
      </c>
      <c r="L879" t="s">
        <v>17</v>
      </c>
      <c r="M879">
        <f>IF(Table1[[#This Row],[ألغى الاشتراك]]="نعم",1,0)</f>
        <v>0</v>
      </c>
      <c r="N879">
        <f>IF(Table1[[#This Row],[وسيلة الدفع]]="بطاقة",1,0)</f>
        <v>0</v>
      </c>
      <c r="O879">
        <f>IF(Table1[[#This Row],[وسيلة الدفع]]="محفظة",1,0)</f>
        <v>0</v>
      </c>
      <c r="P879">
        <f>IF(Table1[[#This Row],[وسيلة الدفع]]="تحويل",1,0)</f>
        <v>1</v>
      </c>
      <c r="Q879">
        <f>IF(Table1[[#This Row],[حضر التهيئة]]="نعم",1,0)</f>
        <v>1</v>
      </c>
      <c r="R879">
        <f>IF(Table1[[#This Row],[دورة الفوترة]]="شهري",1,0)</f>
        <v>1</v>
      </c>
    </row>
    <row r="880" spans="1:18" x14ac:dyDescent="0.25">
      <c r="A880" t="s">
        <v>900</v>
      </c>
      <c r="B880" s="1">
        <v>45914</v>
      </c>
      <c r="C880" t="s">
        <v>28</v>
      </c>
      <c r="D880">
        <v>39</v>
      </c>
      <c r="E880" t="s">
        <v>14</v>
      </c>
      <c r="F880">
        <v>30</v>
      </c>
      <c r="G880" t="s">
        <v>23</v>
      </c>
      <c r="H880">
        <v>1</v>
      </c>
      <c r="I880">
        <v>56</v>
      </c>
      <c r="J880">
        <v>5</v>
      </c>
      <c r="K880" t="s">
        <v>16</v>
      </c>
      <c r="L880" t="s">
        <v>17</v>
      </c>
      <c r="M880">
        <f>IF(Table1[[#This Row],[ألغى الاشتراك]]="نعم",1,0)</f>
        <v>0</v>
      </c>
      <c r="N880">
        <f>IF(Table1[[#This Row],[وسيلة الدفع]]="بطاقة",1,0)</f>
        <v>0</v>
      </c>
      <c r="O880">
        <f>IF(Table1[[#This Row],[وسيلة الدفع]]="محفظة",1,0)</f>
        <v>0</v>
      </c>
      <c r="P880">
        <f>IF(Table1[[#This Row],[وسيلة الدفع]]="تحويل",1,0)</f>
        <v>1</v>
      </c>
      <c r="Q880">
        <f>IF(Table1[[#This Row],[حضر التهيئة]]="نعم",1,0)</f>
        <v>1</v>
      </c>
      <c r="R880">
        <f>IF(Table1[[#This Row],[دورة الفوترة]]="شهري",1,0)</f>
        <v>1</v>
      </c>
    </row>
    <row r="881" spans="1:18" x14ac:dyDescent="0.25">
      <c r="A881" t="s">
        <v>901</v>
      </c>
      <c r="B881" s="1">
        <v>45446</v>
      </c>
      <c r="C881" t="s">
        <v>19</v>
      </c>
      <c r="D881">
        <v>189</v>
      </c>
      <c r="E881" t="s">
        <v>14</v>
      </c>
      <c r="F881">
        <v>18</v>
      </c>
      <c r="G881" t="s">
        <v>15</v>
      </c>
      <c r="H881">
        <v>3</v>
      </c>
      <c r="I881">
        <v>36</v>
      </c>
      <c r="J881">
        <v>0</v>
      </c>
      <c r="K881" t="s">
        <v>17</v>
      </c>
      <c r="L881" t="s">
        <v>17</v>
      </c>
      <c r="M881">
        <f>IF(Table1[[#This Row],[ألغى الاشتراك]]="نعم",1,0)</f>
        <v>0</v>
      </c>
      <c r="N881">
        <f>IF(Table1[[#This Row],[وسيلة الدفع]]="بطاقة",1,0)</f>
        <v>1</v>
      </c>
      <c r="O881">
        <f>IF(Table1[[#This Row],[وسيلة الدفع]]="محفظة",1,0)</f>
        <v>0</v>
      </c>
      <c r="P881">
        <f>IF(Table1[[#This Row],[وسيلة الدفع]]="تحويل",1,0)</f>
        <v>0</v>
      </c>
      <c r="Q881">
        <f>IF(Table1[[#This Row],[حضر التهيئة]]="نعم",1,0)</f>
        <v>0</v>
      </c>
      <c r="R881">
        <f>IF(Table1[[#This Row],[دورة الفوترة]]="شهري",1,0)</f>
        <v>1</v>
      </c>
    </row>
    <row r="882" spans="1:18" x14ac:dyDescent="0.25">
      <c r="A882" t="s">
        <v>902</v>
      </c>
      <c r="B882" s="1">
        <v>45862</v>
      </c>
      <c r="C882" t="s">
        <v>13</v>
      </c>
      <c r="D882">
        <v>89</v>
      </c>
      <c r="E882" t="s">
        <v>14</v>
      </c>
      <c r="F882">
        <v>27</v>
      </c>
      <c r="G882" t="s">
        <v>15</v>
      </c>
      <c r="H882">
        <v>5</v>
      </c>
      <c r="I882">
        <v>55</v>
      </c>
      <c r="J882">
        <v>0</v>
      </c>
      <c r="K882" t="s">
        <v>17</v>
      </c>
      <c r="L882" t="s">
        <v>16</v>
      </c>
      <c r="M882">
        <f>IF(Table1[[#This Row],[ألغى الاشتراك]]="نعم",1,0)</f>
        <v>1</v>
      </c>
      <c r="N882">
        <f>IF(Table1[[#This Row],[وسيلة الدفع]]="بطاقة",1,0)</f>
        <v>1</v>
      </c>
      <c r="O882">
        <f>IF(Table1[[#This Row],[وسيلة الدفع]]="محفظة",1,0)</f>
        <v>0</v>
      </c>
      <c r="P882">
        <f>IF(Table1[[#This Row],[وسيلة الدفع]]="تحويل",1,0)</f>
        <v>0</v>
      </c>
      <c r="Q882">
        <f>IF(Table1[[#This Row],[حضر التهيئة]]="نعم",1,0)</f>
        <v>0</v>
      </c>
      <c r="R882">
        <f>IF(Table1[[#This Row],[دورة الفوترة]]="شهري",1,0)</f>
        <v>1</v>
      </c>
    </row>
    <row r="883" spans="1:18" x14ac:dyDescent="0.25">
      <c r="A883" t="s">
        <v>903</v>
      </c>
      <c r="B883" s="1">
        <v>45647</v>
      </c>
      <c r="C883" t="s">
        <v>13</v>
      </c>
      <c r="D883">
        <v>89</v>
      </c>
      <c r="E883" t="s">
        <v>14</v>
      </c>
      <c r="F883">
        <v>24</v>
      </c>
      <c r="G883" t="s">
        <v>15</v>
      </c>
      <c r="H883">
        <v>1</v>
      </c>
      <c r="I883">
        <v>24</v>
      </c>
      <c r="J883">
        <v>0</v>
      </c>
      <c r="K883" t="s">
        <v>17</v>
      </c>
      <c r="L883" t="s">
        <v>17</v>
      </c>
      <c r="M883">
        <f>IF(Table1[[#This Row],[ألغى الاشتراك]]="نعم",1,0)</f>
        <v>0</v>
      </c>
      <c r="N883">
        <f>IF(Table1[[#This Row],[وسيلة الدفع]]="بطاقة",1,0)</f>
        <v>1</v>
      </c>
      <c r="O883">
        <f>IF(Table1[[#This Row],[وسيلة الدفع]]="محفظة",1,0)</f>
        <v>0</v>
      </c>
      <c r="P883">
        <f>IF(Table1[[#This Row],[وسيلة الدفع]]="تحويل",1,0)</f>
        <v>0</v>
      </c>
      <c r="Q883">
        <f>IF(Table1[[#This Row],[حضر التهيئة]]="نعم",1,0)</f>
        <v>0</v>
      </c>
      <c r="R883">
        <f>IF(Table1[[#This Row],[دورة الفوترة]]="شهري",1,0)</f>
        <v>1</v>
      </c>
    </row>
    <row r="884" spans="1:18" x14ac:dyDescent="0.25">
      <c r="A884" t="s">
        <v>904</v>
      </c>
      <c r="B884" s="1">
        <v>45470</v>
      </c>
      <c r="C884" t="s">
        <v>13</v>
      </c>
      <c r="D884">
        <v>89</v>
      </c>
      <c r="E884" t="s">
        <v>20</v>
      </c>
      <c r="F884">
        <v>29</v>
      </c>
      <c r="G884" t="s">
        <v>21</v>
      </c>
      <c r="H884">
        <v>8</v>
      </c>
      <c r="I884">
        <v>27</v>
      </c>
      <c r="J884">
        <v>10</v>
      </c>
      <c r="K884" t="s">
        <v>16</v>
      </c>
      <c r="L884" t="s">
        <v>17</v>
      </c>
      <c r="M884">
        <f>IF(Table1[[#This Row],[ألغى الاشتراك]]="نعم",1,0)</f>
        <v>0</v>
      </c>
      <c r="N884">
        <f>IF(Table1[[#This Row],[وسيلة الدفع]]="بطاقة",1,0)</f>
        <v>0</v>
      </c>
      <c r="O884">
        <f>IF(Table1[[#This Row],[وسيلة الدفع]]="محفظة",1,0)</f>
        <v>1</v>
      </c>
      <c r="P884">
        <f>IF(Table1[[#This Row],[وسيلة الدفع]]="تحويل",1,0)</f>
        <v>0</v>
      </c>
      <c r="Q884">
        <f>IF(Table1[[#This Row],[حضر التهيئة]]="نعم",1,0)</f>
        <v>1</v>
      </c>
      <c r="R884">
        <f>IF(Table1[[#This Row],[دورة الفوترة]]="شهري",1,0)</f>
        <v>0</v>
      </c>
    </row>
    <row r="885" spans="1:18" x14ac:dyDescent="0.25">
      <c r="A885" t="s">
        <v>905</v>
      </c>
      <c r="B885" s="1">
        <v>45383</v>
      </c>
      <c r="C885" t="s">
        <v>28</v>
      </c>
      <c r="D885">
        <v>39</v>
      </c>
      <c r="E885" t="s">
        <v>14</v>
      </c>
      <c r="F885">
        <v>29</v>
      </c>
      <c r="G885" t="s">
        <v>23</v>
      </c>
      <c r="H885">
        <v>2</v>
      </c>
      <c r="I885">
        <v>59</v>
      </c>
      <c r="J885">
        <v>25</v>
      </c>
      <c r="K885" t="s">
        <v>17</v>
      </c>
      <c r="L885" t="s">
        <v>17</v>
      </c>
      <c r="M885">
        <f>IF(Table1[[#This Row],[ألغى الاشتراك]]="نعم",1,0)</f>
        <v>0</v>
      </c>
      <c r="N885">
        <f>IF(Table1[[#This Row],[وسيلة الدفع]]="بطاقة",1,0)</f>
        <v>0</v>
      </c>
      <c r="O885">
        <f>IF(Table1[[#This Row],[وسيلة الدفع]]="محفظة",1,0)</f>
        <v>0</v>
      </c>
      <c r="P885">
        <f>IF(Table1[[#This Row],[وسيلة الدفع]]="تحويل",1,0)</f>
        <v>1</v>
      </c>
      <c r="Q885">
        <f>IF(Table1[[#This Row],[حضر التهيئة]]="نعم",1,0)</f>
        <v>0</v>
      </c>
      <c r="R885">
        <f>IF(Table1[[#This Row],[دورة الفوترة]]="شهري",1,0)</f>
        <v>1</v>
      </c>
    </row>
    <row r="886" spans="1:18" x14ac:dyDescent="0.25">
      <c r="A886" t="s">
        <v>906</v>
      </c>
      <c r="B886" s="1">
        <v>45926</v>
      </c>
      <c r="C886" t="s">
        <v>13</v>
      </c>
      <c r="D886">
        <v>89</v>
      </c>
      <c r="E886" t="s">
        <v>20</v>
      </c>
      <c r="F886">
        <v>19</v>
      </c>
      <c r="G886" t="s">
        <v>15</v>
      </c>
      <c r="H886">
        <v>0</v>
      </c>
      <c r="I886">
        <v>53</v>
      </c>
      <c r="J886">
        <v>0</v>
      </c>
      <c r="K886" t="s">
        <v>16</v>
      </c>
      <c r="L886" t="s">
        <v>17</v>
      </c>
      <c r="M886">
        <f>IF(Table1[[#This Row],[ألغى الاشتراك]]="نعم",1,0)</f>
        <v>0</v>
      </c>
      <c r="N886">
        <f>IF(Table1[[#This Row],[وسيلة الدفع]]="بطاقة",1,0)</f>
        <v>1</v>
      </c>
      <c r="O886">
        <f>IF(Table1[[#This Row],[وسيلة الدفع]]="محفظة",1,0)</f>
        <v>0</v>
      </c>
      <c r="P886">
        <f>IF(Table1[[#This Row],[وسيلة الدفع]]="تحويل",1,0)</f>
        <v>0</v>
      </c>
      <c r="Q886">
        <f>IF(Table1[[#This Row],[حضر التهيئة]]="نعم",1,0)</f>
        <v>1</v>
      </c>
      <c r="R886">
        <f>IF(Table1[[#This Row],[دورة الفوترة]]="شهري",1,0)</f>
        <v>0</v>
      </c>
    </row>
    <row r="887" spans="1:18" x14ac:dyDescent="0.25">
      <c r="A887" t="s">
        <v>907</v>
      </c>
      <c r="B887" s="1">
        <v>45592</v>
      </c>
      <c r="C887" t="s">
        <v>19</v>
      </c>
      <c r="D887">
        <v>189</v>
      </c>
      <c r="E887" t="s">
        <v>14</v>
      </c>
      <c r="F887">
        <v>8</v>
      </c>
      <c r="G887" t="s">
        <v>23</v>
      </c>
      <c r="H887">
        <v>2</v>
      </c>
      <c r="I887">
        <v>24</v>
      </c>
      <c r="J887">
        <v>0</v>
      </c>
      <c r="K887" t="s">
        <v>16</v>
      </c>
      <c r="L887" t="s">
        <v>17</v>
      </c>
      <c r="M887">
        <f>IF(Table1[[#This Row],[ألغى الاشتراك]]="نعم",1,0)</f>
        <v>0</v>
      </c>
      <c r="N887">
        <f>IF(Table1[[#This Row],[وسيلة الدفع]]="بطاقة",1,0)</f>
        <v>0</v>
      </c>
      <c r="O887">
        <f>IF(Table1[[#This Row],[وسيلة الدفع]]="محفظة",1,0)</f>
        <v>0</v>
      </c>
      <c r="P887">
        <f>IF(Table1[[#This Row],[وسيلة الدفع]]="تحويل",1,0)</f>
        <v>1</v>
      </c>
      <c r="Q887">
        <f>IF(Table1[[#This Row],[حضر التهيئة]]="نعم",1,0)</f>
        <v>1</v>
      </c>
      <c r="R887">
        <f>IF(Table1[[#This Row],[دورة الفوترة]]="شهري",1,0)</f>
        <v>1</v>
      </c>
    </row>
    <row r="888" spans="1:18" x14ac:dyDescent="0.25">
      <c r="A888" t="s">
        <v>908</v>
      </c>
      <c r="B888" s="1">
        <v>45720</v>
      </c>
      <c r="C888" t="s">
        <v>13</v>
      </c>
      <c r="D888">
        <v>89</v>
      </c>
      <c r="E888" t="s">
        <v>20</v>
      </c>
      <c r="F888">
        <v>5</v>
      </c>
      <c r="G888" t="s">
        <v>21</v>
      </c>
      <c r="H888">
        <v>0</v>
      </c>
      <c r="I888">
        <v>27</v>
      </c>
      <c r="J888">
        <v>0</v>
      </c>
      <c r="K888" t="s">
        <v>16</v>
      </c>
      <c r="L888" t="s">
        <v>17</v>
      </c>
      <c r="M888">
        <f>IF(Table1[[#This Row],[ألغى الاشتراك]]="نعم",1,0)</f>
        <v>0</v>
      </c>
      <c r="N888">
        <f>IF(Table1[[#This Row],[وسيلة الدفع]]="بطاقة",1,0)</f>
        <v>0</v>
      </c>
      <c r="O888">
        <f>IF(Table1[[#This Row],[وسيلة الدفع]]="محفظة",1,0)</f>
        <v>1</v>
      </c>
      <c r="P888">
        <f>IF(Table1[[#This Row],[وسيلة الدفع]]="تحويل",1,0)</f>
        <v>0</v>
      </c>
      <c r="Q888">
        <f>IF(Table1[[#This Row],[حضر التهيئة]]="نعم",1,0)</f>
        <v>1</v>
      </c>
      <c r="R888">
        <f>IF(Table1[[#This Row],[دورة الفوترة]]="شهري",1,0)</f>
        <v>0</v>
      </c>
    </row>
    <row r="889" spans="1:18" x14ac:dyDescent="0.25">
      <c r="A889" t="s">
        <v>909</v>
      </c>
      <c r="B889" s="1">
        <v>45643</v>
      </c>
      <c r="C889" t="s">
        <v>28</v>
      </c>
      <c r="D889">
        <v>39</v>
      </c>
      <c r="E889" t="s">
        <v>20</v>
      </c>
      <c r="F889">
        <v>8</v>
      </c>
      <c r="G889" t="s">
        <v>21</v>
      </c>
      <c r="H889">
        <v>4</v>
      </c>
      <c r="I889">
        <v>20</v>
      </c>
      <c r="J889">
        <v>0</v>
      </c>
      <c r="K889" t="s">
        <v>16</v>
      </c>
      <c r="L889" t="s">
        <v>17</v>
      </c>
      <c r="M889">
        <f>IF(Table1[[#This Row],[ألغى الاشتراك]]="نعم",1,0)</f>
        <v>0</v>
      </c>
      <c r="N889">
        <f>IF(Table1[[#This Row],[وسيلة الدفع]]="بطاقة",1,0)</f>
        <v>0</v>
      </c>
      <c r="O889">
        <f>IF(Table1[[#This Row],[وسيلة الدفع]]="محفظة",1,0)</f>
        <v>1</v>
      </c>
      <c r="P889">
        <f>IF(Table1[[#This Row],[وسيلة الدفع]]="تحويل",1,0)</f>
        <v>0</v>
      </c>
      <c r="Q889">
        <f>IF(Table1[[#This Row],[حضر التهيئة]]="نعم",1,0)</f>
        <v>1</v>
      </c>
      <c r="R889">
        <f>IF(Table1[[#This Row],[دورة الفوترة]]="شهري",1,0)</f>
        <v>0</v>
      </c>
    </row>
    <row r="890" spans="1:18" x14ac:dyDescent="0.25">
      <c r="A890" t="s">
        <v>910</v>
      </c>
      <c r="B890" s="1">
        <v>45675</v>
      </c>
      <c r="C890" t="s">
        <v>28</v>
      </c>
      <c r="D890">
        <v>39</v>
      </c>
      <c r="E890" t="s">
        <v>20</v>
      </c>
      <c r="F890">
        <v>25</v>
      </c>
      <c r="G890" t="s">
        <v>23</v>
      </c>
      <c r="H890">
        <v>1</v>
      </c>
      <c r="I890">
        <v>39</v>
      </c>
      <c r="J890">
        <v>0</v>
      </c>
      <c r="K890" t="s">
        <v>17</v>
      </c>
      <c r="L890" t="s">
        <v>17</v>
      </c>
      <c r="M890">
        <f>IF(Table1[[#This Row],[ألغى الاشتراك]]="نعم",1,0)</f>
        <v>0</v>
      </c>
      <c r="N890">
        <f>IF(Table1[[#This Row],[وسيلة الدفع]]="بطاقة",1,0)</f>
        <v>0</v>
      </c>
      <c r="O890">
        <f>IF(Table1[[#This Row],[وسيلة الدفع]]="محفظة",1,0)</f>
        <v>0</v>
      </c>
      <c r="P890">
        <f>IF(Table1[[#This Row],[وسيلة الدفع]]="تحويل",1,0)</f>
        <v>1</v>
      </c>
      <c r="Q890">
        <f>IF(Table1[[#This Row],[حضر التهيئة]]="نعم",1,0)</f>
        <v>0</v>
      </c>
      <c r="R890">
        <f>IF(Table1[[#This Row],[دورة الفوترة]]="شهري",1,0)</f>
        <v>0</v>
      </c>
    </row>
    <row r="891" spans="1:18" x14ac:dyDescent="0.25">
      <c r="A891" t="s">
        <v>911</v>
      </c>
      <c r="B891" s="1">
        <v>45458</v>
      </c>
      <c r="C891" t="s">
        <v>28</v>
      </c>
      <c r="D891">
        <v>39</v>
      </c>
      <c r="E891" t="s">
        <v>14</v>
      </c>
      <c r="F891">
        <v>10</v>
      </c>
      <c r="G891" t="s">
        <v>21</v>
      </c>
      <c r="H891">
        <v>2</v>
      </c>
      <c r="I891">
        <v>30</v>
      </c>
      <c r="J891">
        <v>0</v>
      </c>
      <c r="K891" t="s">
        <v>16</v>
      </c>
      <c r="L891" t="s">
        <v>17</v>
      </c>
      <c r="M891">
        <f>IF(Table1[[#This Row],[ألغى الاشتراك]]="نعم",1,0)</f>
        <v>0</v>
      </c>
      <c r="N891">
        <f>IF(Table1[[#This Row],[وسيلة الدفع]]="بطاقة",1,0)</f>
        <v>0</v>
      </c>
      <c r="O891">
        <f>IF(Table1[[#This Row],[وسيلة الدفع]]="محفظة",1,0)</f>
        <v>1</v>
      </c>
      <c r="P891">
        <f>IF(Table1[[#This Row],[وسيلة الدفع]]="تحويل",1,0)</f>
        <v>0</v>
      </c>
      <c r="Q891">
        <f>IF(Table1[[#This Row],[حضر التهيئة]]="نعم",1,0)</f>
        <v>1</v>
      </c>
      <c r="R891">
        <f>IF(Table1[[#This Row],[دورة الفوترة]]="شهري",1,0)</f>
        <v>1</v>
      </c>
    </row>
    <row r="892" spans="1:18" x14ac:dyDescent="0.25">
      <c r="A892" t="s">
        <v>912</v>
      </c>
      <c r="B892" s="1">
        <v>45846</v>
      </c>
      <c r="C892" t="s">
        <v>19</v>
      </c>
      <c r="D892">
        <v>189</v>
      </c>
      <c r="E892" t="s">
        <v>20</v>
      </c>
      <c r="F892">
        <v>15</v>
      </c>
      <c r="G892" t="s">
        <v>15</v>
      </c>
      <c r="H892">
        <v>0</v>
      </c>
      <c r="I892">
        <v>33</v>
      </c>
      <c r="J892">
        <v>0</v>
      </c>
      <c r="K892" t="s">
        <v>17</v>
      </c>
      <c r="L892" t="s">
        <v>17</v>
      </c>
      <c r="M892">
        <f>IF(Table1[[#This Row],[ألغى الاشتراك]]="نعم",1,0)</f>
        <v>0</v>
      </c>
      <c r="N892">
        <f>IF(Table1[[#This Row],[وسيلة الدفع]]="بطاقة",1,0)</f>
        <v>1</v>
      </c>
      <c r="O892">
        <f>IF(Table1[[#This Row],[وسيلة الدفع]]="محفظة",1,0)</f>
        <v>0</v>
      </c>
      <c r="P892">
        <f>IF(Table1[[#This Row],[وسيلة الدفع]]="تحويل",1,0)</f>
        <v>0</v>
      </c>
      <c r="Q892">
        <f>IF(Table1[[#This Row],[حضر التهيئة]]="نعم",1,0)</f>
        <v>0</v>
      </c>
      <c r="R892">
        <f>IF(Table1[[#This Row],[دورة الفوترة]]="شهري",1,0)</f>
        <v>0</v>
      </c>
    </row>
    <row r="893" spans="1:18" x14ac:dyDescent="0.25">
      <c r="A893" t="s">
        <v>913</v>
      </c>
      <c r="B893" s="1">
        <v>45407</v>
      </c>
      <c r="C893" t="s">
        <v>19</v>
      </c>
      <c r="D893">
        <v>189</v>
      </c>
      <c r="E893" t="s">
        <v>14</v>
      </c>
      <c r="F893">
        <v>20</v>
      </c>
      <c r="G893" t="s">
        <v>23</v>
      </c>
      <c r="H893">
        <v>8</v>
      </c>
      <c r="I893">
        <v>10</v>
      </c>
      <c r="J893">
        <v>0</v>
      </c>
      <c r="K893" t="s">
        <v>16</v>
      </c>
      <c r="L893" t="s">
        <v>17</v>
      </c>
      <c r="M893">
        <f>IF(Table1[[#This Row],[ألغى الاشتراك]]="نعم",1,0)</f>
        <v>0</v>
      </c>
      <c r="N893">
        <f>IF(Table1[[#This Row],[وسيلة الدفع]]="بطاقة",1,0)</f>
        <v>0</v>
      </c>
      <c r="O893">
        <f>IF(Table1[[#This Row],[وسيلة الدفع]]="محفظة",1,0)</f>
        <v>0</v>
      </c>
      <c r="P893">
        <f>IF(Table1[[#This Row],[وسيلة الدفع]]="تحويل",1,0)</f>
        <v>1</v>
      </c>
      <c r="Q893">
        <f>IF(Table1[[#This Row],[حضر التهيئة]]="نعم",1,0)</f>
        <v>1</v>
      </c>
      <c r="R893">
        <f>IF(Table1[[#This Row],[دورة الفوترة]]="شهري",1,0)</f>
        <v>1</v>
      </c>
    </row>
    <row r="894" spans="1:18" x14ac:dyDescent="0.25">
      <c r="A894" t="s">
        <v>914</v>
      </c>
      <c r="B894" s="1">
        <v>45902</v>
      </c>
      <c r="C894" t="s">
        <v>28</v>
      </c>
      <c r="D894">
        <v>39</v>
      </c>
      <c r="E894" t="s">
        <v>14</v>
      </c>
      <c r="F894">
        <v>11</v>
      </c>
      <c r="G894" t="s">
        <v>21</v>
      </c>
      <c r="H894">
        <v>1</v>
      </c>
      <c r="I894">
        <v>51</v>
      </c>
      <c r="J894">
        <v>0</v>
      </c>
      <c r="K894" t="s">
        <v>16</v>
      </c>
      <c r="L894" t="s">
        <v>17</v>
      </c>
      <c r="M894">
        <f>IF(Table1[[#This Row],[ألغى الاشتراك]]="نعم",1,0)</f>
        <v>0</v>
      </c>
      <c r="N894">
        <f>IF(Table1[[#This Row],[وسيلة الدفع]]="بطاقة",1,0)</f>
        <v>0</v>
      </c>
      <c r="O894">
        <f>IF(Table1[[#This Row],[وسيلة الدفع]]="محفظة",1,0)</f>
        <v>1</v>
      </c>
      <c r="P894">
        <f>IF(Table1[[#This Row],[وسيلة الدفع]]="تحويل",1,0)</f>
        <v>0</v>
      </c>
      <c r="Q894">
        <f>IF(Table1[[#This Row],[حضر التهيئة]]="نعم",1,0)</f>
        <v>1</v>
      </c>
      <c r="R894">
        <f>IF(Table1[[#This Row],[دورة الفوترة]]="شهري",1,0)</f>
        <v>1</v>
      </c>
    </row>
    <row r="895" spans="1:18" x14ac:dyDescent="0.25">
      <c r="A895" t="s">
        <v>915</v>
      </c>
      <c r="B895" s="1">
        <v>45572</v>
      </c>
      <c r="C895" t="s">
        <v>13</v>
      </c>
      <c r="D895">
        <v>89</v>
      </c>
      <c r="E895" t="s">
        <v>14</v>
      </c>
      <c r="F895">
        <v>14</v>
      </c>
      <c r="G895" t="s">
        <v>23</v>
      </c>
      <c r="H895">
        <v>2</v>
      </c>
      <c r="I895">
        <v>34</v>
      </c>
      <c r="J895">
        <v>0</v>
      </c>
      <c r="K895" t="s">
        <v>17</v>
      </c>
      <c r="L895" t="s">
        <v>16</v>
      </c>
      <c r="M895">
        <f>IF(Table1[[#This Row],[ألغى الاشتراك]]="نعم",1,0)</f>
        <v>1</v>
      </c>
      <c r="N895">
        <f>IF(Table1[[#This Row],[وسيلة الدفع]]="بطاقة",1,0)</f>
        <v>0</v>
      </c>
      <c r="O895">
        <f>IF(Table1[[#This Row],[وسيلة الدفع]]="محفظة",1,0)</f>
        <v>0</v>
      </c>
      <c r="P895">
        <f>IF(Table1[[#This Row],[وسيلة الدفع]]="تحويل",1,0)</f>
        <v>1</v>
      </c>
      <c r="Q895">
        <f>IF(Table1[[#This Row],[حضر التهيئة]]="نعم",1,0)</f>
        <v>0</v>
      </c>
      <c r="R895">
        <f>IF(Table1[[#This Row],[دورة الفوترة]]="شهري",1,0)</f>
        <v>1</v>
      </c>
    </row>
    <row r="896" spans="1:18" x14ac:dyDescent="0.25">
      <c r="A896" t="s">
        <v>916</v>
      </c>
      <c r="B896" s="1">
        <v>45854</v>
      </c>
      <c r="C896" t="s">
        <v>28</v>
      </c>
      <c r="D896">
        <v>39</v>
      </c>
      <c r="E896" t="s">
        <v>20</v>
      </c>
      <c r="F896">
        <v>13</v>
      </c>
      <c r="G896" t="s">
        <v>23</v>
      </c>
      <c r="H896">
        <v>2</v>
      </c>
      <c r="I896">
        <v>5</v>
      </c>
      <c r="J896">
        <v>0</v>
      </c>
      <c r="K896" t="s">
        <v>17</v>
      </c>
      <c r="L896" t="s">
        <v>17</v>
      </c>
      <c r="M896">
        <f>IF(Table1[[#This Row],[ألغى الاشتراك]]="نعم",1,0)</f>
        <v>0</v>
      </c>
      <c r="N896">
        <f>IF(Table1[[#This Row],[وسيلة الدفع]]="بطاقة",1,0)</f>
        <v>0</v>
      </c>
      <c r="O896">
        <f>IF(Table1[[#This Row],[وسيلة الدفع]]="محفظة",1,0)</f>
        <v>0</v>
      </c>
      <c r="P896">
        <f>IF(Table1[[#This Row],[وسيلة الدفع]]="تحويل",1,0)</f>
        <v>1</v>
      </c>
      <c r="Q896">
        <f>IF(Table1[[#This Row],[حضر التهيئة]]="نعم",1,0)</f>
        <v>0</v>
      </c>
      <c r="R896">
        <f>IF(Table1[[#This Row],[دورة الفوترة]]="شهري",1,0)</f>
        <v>0</v>
      </c>
    </row>
    <row r="897" spans="1:18" x14ac:dyDescent="0.25">
      <c r="A897" t="s">
        <v>917</v>
      </c>
      <c r="B897" s="1">
        <v>45407</v>
      </c>
      <c r="C897" t="s">
        <v>13</v>
      </c>
      <c r="D897">
        <v>89</v>
      </c>
      <c r="E897" t="s">
        <v>20</v>
      </c>
      <c r="F897">
        <v>28</v>
      </c>
      <c r="G897" t="s">
        <v>23</v>
      </c>
      <c r="H897">
        <v>4</v>
      </c>
      <c r="I897">
        <v>58</v>
      </c>
      <c r="J897">
        <v>0</v>
      </c>
      <c r="K897" t="s">
        <v>17</v>
      </c>
      <c r="L897" t="s">
        <v>17</v>
      </c>
      <c r="M897">
        <f>IF(Table1[[#This Row],[ألغى الاشتراك]]="نعم",1,0)</f>
        <v>0</v>
      </c>
      <c r="N897">
        <f>IF(Table1[[#This Row],[وسيلة الدفع]]="بطاقة",1,0)</f>
        <v>0</v>
      </c>
      <c r="O897">
        <f>IF(Table1[[#This Row],[وسيلة الدفع]]="محفظة",1,0)</f>
        <v>0</v>
      </c>
      <c r="P897">
        <f>IF(Table1[[#This Row],[وسيلة الدفع]]="تحويل",1,0)</f>
        <v>1</v>
      </c>
      <c r="Q897">
        <f>IF(Table1[[#This Row],[حضر التهيئة]]="نعم",1,0)</f>
        <v>0</v>
      </c>
      <c r="R897">
        <f>IF(Table1[[#This Row],[دورة الفوترة]]="شهري",1,0)</f>
        <v>0</v>
      </c>
    </row>
    <row r="898" spans="1:18" x14ac:dyDescent="0.25">
      <c r="A898" t="s">
        <v>918</v>
      </c>
      <c r="B898" s="1">
        <v>45675</v>
      </c>
      <c r="C898" t="s">
        <v>28</v>
      </c>
      <c r="D898">
        <v>39</v>
      </c>
      <c r="E898" t="s">
        <v>20</v>
      </c>
      <c r="F898">
        <v>3</v>
      </c>
      <c r="G898" t="s">
        <v>21</v>
      </c>
      <c r="H898">
        <v>0</v>
      </c>
      <c r="I898">
        <v>23</v>
      </c>
      <c r="J898">
        <v>0</v>
      </c>
      <c r="K898" t="s">
        <v>17</v>
      </c>
      <c r="L898" t="s">
        <v>17</v>
      </c>
      <c r="M898">
        <f>IF(Table1[[#This Row],[ألغى الاشتراك]]="نعم",1,0)</f>
        <v>0</v>
      </c>
      <c r="N898">
        <f>IF(Table1[[#This Row],[وسيلة الدفع]]="بطاقة",1,0)</f>
        <v>0</v>
      </c>
      <c r="O898">
        <f>IF(Table1[[#This Row],[وسيلة الدفع]]="محفظة",1,0)</f>
        <v>1</v>
      </c>
      <c r="P898">
        <f>IF(Table1[[#This Row],[وسيلة الدفع]]="تحويل",1,0)</f>
        <v>0</v>
      </c>
      <c r="Q898">
        <f>IF(Table1[[#This Row],[حضر التهيئة]]="نعم",1,0)</f>
        <v>0</v>
      </c>
      <c r="R898">
        <f>IF(Table1[[#This Row],[دورة الفوترة]]="شهري",1,0)</f>
        <v>0</v>
      </c>
    </row>
    <row r="899" spans="1:18" x14ac:dyDescent="0.25">
      <c r="A899" t="s">
        <v>919</v>
      </c>
      <c r="B899" s="1">
        <v>45446</v>
      </c>
      <c r="C899" t="s">
        <v>28</v>
      </c>
      <c r="D899">
        <v>39</v>
      </c>
      <c r="E899" t="s">
        <v>20</v>
      </c>
      <c r="F899">
        <v>14</v>
      </c>
      <c r="G899" t="s">
        <v>23</v>
      </c>
      <c r="H899">
        <v>0</v>
      </c>
      <c r="I899">
        <v>40</v>
      </c>
      <c r="J899">
        <v>0</v>
      </c>
      <c r="K899" t="s">
        <v>17</v>
      </c>
      <c r="L899" t="s">
        <v>17</v>
      </c>
      <c r="M899">
        <f>IF(Table1[[#This Row],[ألغى الاشتراك]]="نعم",1,0)</f>
        <v>0</v>
      </c>
      <c r="N899">
        <f>IF(Table1[[#This Row],[وسيلة الدفع]]="بطاقة",1,0)</f>
        <v>0</v>
      </c>
      <c r="O899">
        <f>IF(Table1[[#This Row],[وسيلة الدفع]]="محفظة",1,0)</f>
        <v>0</v>
      </c>
      <c r="P899">
        <f>IF(Table1[[#This Row],[وسيلة الدفع]]="تحويل",1,0)</f>
        <v>1</v>
      </c>
      <c r="Q899">
        <f>IF(Table1[[#This Row],[حضر التهيئة]]="نعم",1,0)</f>
        <v>0</v>
      </c>
      <c r="R899">
        <f>IF(Table1[[#This Row],[دورة الفوترة]]="شهري",1,0)</f>
        <v>0</v>
      </c>
    </row>
    <row r="900" spans="1:18" x14ac:dyDescent="0.25">
      <c r="A900" t="s">
        <v>920</v>
      </c>
      <c r="B900" s="1">
        <v>45732</v>
      </c>
      <c r="C900" t="s">
        <v>13</v>
      </c>
      <c r="D900">
        <v>89</v>
      </c>
      <c r="E900" t="s">
        <v>14</v>
      </c>
      <c r="F900">
        <v>5</v>
      </c>
      <c r="G900" t="s">
        <v>23</v>
      </c>
      <c r="H900">
        <v>1</v>
      </c>
      <c r="I900">
        <v>27</v>
      </c>
      <c r="J900">
        <v>0</v>
      </c>
      <c r="K900" t="s">
        <v>16</v>
      </c>
      <c r="L900" t="s">
        <v>17</v>
      </c>
      <c r="M900">
        <f>IF(Table1[[#This Row],[ألغى الاشتراك]]="نعم",1,0)</f>
        <v>0</v>
      </c>
      <c r="N900">
        <f>IF(Table1[[#This Row],[وسيلة الدفع]]="بطاقة",1,0)</f>
        <v>0</v>
      </c>
      <c r="O900">
        <f>IF(Table1[[#This Row],[وسيلة الدفع]]="محفظة",1,0)</f>
        <v>0</v>
      </c>
      <c r="P900">
        <f>IF(Table1[[#This Row],[وسيلة الدفع]]="تحويل",1,0)</f>
        <v>1</v>
      </c>
      <c r="Q900">
        <f>IF(Table1[[#This Row],[حضر التهيئة]]="نعم",1,0)</f>
        <v>1</v>
      </c>
      <c r="R900">
        <f>IF(Table1[[#This Row],[دورة الفوترة]]="شهري",1,0)</f>
        <v>1</v>
      </c>
    </row>
    <row r="901" spans="1:18" x14ac:dyDescent="0.25">
      <c r="A901" t="s">
        <v>921</v>
      </c>
      <c r="B901" s="1">
        <v>45651</v>
      </c>
      <c r="C901" t="s">
        <v>28</v>
      </c>
      <c r="D901">
        <v>39</v>
      </c>
      <c r="E901" t="s">
        <v>14</v>
      </c>
      <c r="F901">
        <v>20</v>
      </c>
      <c r="G901" t="s">
        <v>15</v>
      </c>
      <c r="H901">
        <v>1</v>
      </c>
      <c r="I901">
        <v>28</v>
      </c>
      <c r="J901">
        <v>0</v>
      </c>
      <c r="K901" t="s">
        <v>16</v>
      </c>
      <c r="L901" t="s">
        <v>17</v>
      </c>
      <c r="M901">
        <f>IF(Table1[[#This Row],[ألغى الاشتراك]]="نعم",1,0)</f>
        <v>0</v>
      </c>
      <c r="N901">
        <f>IF(Table1[[#This Row],[وسيلة الدفع]]="بطاقة",1,0)</f>
        <v>1</v>
      </c>
      <c r="O901">
        <f>IF(Table1[[#This Row],[وسيلة الدفع]]="محفظة",1,0)</f>
        <v>0</v>
      </c>
      <c r="P901">
        <f>IF(Table1[[#This Row],[وسيلة الدفع]]="تحويل",1,0)</f>
        <v>0</v>
      </c>
      <c r="Q901">
        <f>IF(Table1[[#This Row],[حضر التهيئة]]="نعم",1,0)</f>
        <v>1</v>
      </c>
      <c r="R901">
        <f>IF(Table1[[#This Row],[دورة الفوترة]]="شهري",1,0)</f>
        <v>1</v>
      </c>
    </row>
    <row r="902" spans="1:18" x14ac:dyDescent="0.25">
      <c r="A902" t="s">
        <v>922</v>
      </c>
      <c r="B902" s="1">
        <v>45902</v>
      </c>
      <c r="C902" t="s">
        <v>19</v>
      </c>
      <c r="D902">
        <v>189</v>
      </c>
      <c r="E902" t="s">
        <v>20</v>
      </c>
      <c r="F902">
        <v>21</v>
      </c>
      <c r="G902" t="s">
        <v>15</v>
      </c>
      <c r="H902">
        <v>3</v>
      </c>
      <c r="I902">
        <v>3</v>
      </c>
      <c r="J902">
        <v>0</v>
      </c>
      <c r="K902" t="s">
        <v>17</v>
      </c>
      <c r="L902" t="s">
        <v>17</v>
      </c>
      <c r="M902">
        <f>IF(Table1[[#This Row],[ألغى الاشتراك]]="نعم",1,0)</f>
        <v>0</v>
      </c>
      <c r="N902">
        <f>IF(Table1[[#This Row],[وسيلة الدفع]]="بطاقة",1,0)</f>
        <v>1</v>
      </c>
      <c r="O902">
        <f>IF(Table1[[#This Row],[وسيلة الدفع]]="محفظة",1,0)</f>
        <v>0</v>
      </c>
      <c r="P902">
        <f>IF(Table1[[#This Row],[وسيلة الدفع]]="تحويل",1,0)</f>
        <v>0</v>
      </c>
      <c r="Q902">
        <f>IF(Table1[[#This Row],[حضر التهيئة]]="نعم",1,0)</f>
        <v>0</v>
      </c>
      <c r="R902">
        <f>IF(Table1[[#This Row],[دورة الفوترة]]="شهري",1,0)</f>
        <v>0</v>
      </c>
    </row>
    <row r="903" spans="1:18" x14ac:dyDescent="0.25">
      <c r="A903" t="s">
        <v>923</v>
      </c>
      <c r="B903" s="1">
        <v>45580</v>
      </c>
      <c r="C903" t="s">
        <v>19</v>
      </c>
      <c r="D903">
        <v>189</v>
      </c>
      <c r="E903" t="s">
        <v>14</v>
      </c>
      <c r="F903">
        <v>16</v>
      </c>
      <c r="G903" t="s">
        <v>21</v>
      </c>
      <c r="H903">
        <v>6</v>
      </c>
      <c r="I903">
        <v>50</v>
      </c>
      <c r="J903">
        <v>0</v>
      </c>
      <c r="K903" t="s">
        <v>16</v>
      </c>
      <c r="L903" t="s">
        <v>17</v>
      </c>
      <c r="M903">
        <f>IF(Table1[[#This Row],[ألغى الاشتراك]]="نعم",1,0)</f>
        <v>0</v>
      </c>
      <c r="N903">
        <f>IF(Table1[[#This Row],[وسيلة الدفع]]="بطاقة",1,0)</f>
        <v>0</v>
      </c>
      <c r="O903">
        <f>IF(Table1[[#This Row],[وسيلة الدفع]]="محفظة",1,0)</f>
        <v>1</v>
      </c>
      <c r="P903">
        <f>IF(Table1[[#This Row],[وسيلة الدفع]]="تحويل",1,0)</f>
        <v>0</v>
      </c>
      <c r="Q903">
        <f>IF(Table1[[#This Row],[حضر التهيئة]]="نعم",1,0)</f>
        <v>1</v>
      </c>
      <c r="R903">
        <f>IF(Table1[[#This Row],[دورة الفوترة]]="شهري",1,0)</f>
        <v>1</v>
      </c>
    </row>
    <row r="904" spans="1:18" x14ac:dyDescent="0.25">
      <c r="A904" t="s">
        <v>924</v>
      </c>
      <c r="B904" s="1">
        <v>45513</v>
      </c>
      <c r="C904" t="s">
        <v>13</v>
      </c>
      <c r="D904">
        <v>89</v>
      </c>
      <c r="E904" t="s">
        <v>20</v>
      </c>
      <c r="F904">
        <v>5</v>
      </c>
      <c r="G904" t="s">
        <v>15</v>
      </c>
      <c r="H904">
        <v>3</v>
      </c>
      <c r="I904">
        <v>59</v>
      </c>
      <c r="J904">
        <v>25</v>
      </c>
      <c r="K904" t="s">
        <v>16</v>
      </c>
      <c r="L904" t="s">
        <v>17</v>
      </c>
      <c r="M904">
        <f>IF(Table1[[#This Row],[ألغى الاشتراك]]="نعم",1,0)</f>
        <v>0</v>
      </c>
      <c r="N904">
        <f>IF(Table1[[#This Row],[وسيلة الدفع]]="بطاقة",1,0)</f>
        <v>1</v>
      </c>
      <c r="O904">
        <f>IF(Table1[[#This Row],[وسيلة الدفع]]="محفظة",1,0)</f>
        <v>0</v>
      </c>
      <c r="P904">
        <f>IF(Table1[[#This Row],[وسيلة الدفع]]="تحويل",1,0)</f>
        <v>0</v>
      </c>
      <c r="Q904">
        <f>IF(Table1[[#This Row],[حضر التهيئة]]="نعم",1,0)</f>
        <v>1</v>
      </c>
      <c r="R904">
        <f>IF(Table1[[#This Row],[دورة الفوترة]]="شهري",1,0)</f>
        <v>0</v>
      </c>
    </row>
    <row r="905" spans="1:18" x14ac:dyDescent="0.25">
      <c r="A905" t="s">
        <v>925</v>
      </c>
      <c r="B905" s="1">
        <v>45572</v>
      </c>
      <c r="C905" t="s">
        <v>28</v>
      </c>
      <c r="D905">
        <v>39</v>
      </c>
      <c r="E905" t="s">
        <v>14</v>
      </c>
      <c r="F905">
        <v>29</v>
      </c>
      <c r="G905" t="s">
        <v>15</v>
      </c>
      <c r="H905">
        <v>2</v>
      </c>
      <c r="I905">
        <v>47</v>
      </c>
      <c r="J905">
        <v>10</v>
      </c>
      <c r="K905" t="s">
        <v>17</v>
      </c>
      <c r="L905" t="s">
        <v>17</v>
      </c>
      <c r="M905">
        <f>IF(Table1[[#This Row],[ألغى الاشتراك]]="نعم",1,0)</f>
        <v>0</v>
      </c>
      <c r="N905">
        <f>IF(Table1[[#This Row],[وسيلة الدفع]]="بطاقة",1,0)</f>
        <v>1</v>
      </c>
      <c r="O905">
        <f>IF(Table1[[#This Row],[وسيلة الدفع]]="محفظة",1,0)</f>
        <v>0</v>
      </c>
      <c r="P905">
        <f>IF(Table1[[#This Row],[وسيلة الدفع]]="تحويل",1,0)</f>
        <v>0</v>
      </c>
      <c r="Q905">
        <f>IF(Table1[[#This Row],[حضر التهيئة]]="نعم",1,0)</f>
        <v>0</v>
      </c>
      <c r="R905">
        <f>IF(Table1[[#This Row],[دورة الفوترة]]="شهري",1,0)</f>
        <v>1</v>
      </c>
    </row>
    <row r="906" spans="1:18" x14ac:dyDescent="0.25">
      <c r="A906" t="s">
        <v>926</v>
      </c>
      <c r="B906" s="1">
        <v>45866</v>
      </c>
      <c r="C906" t="s">
        <v>28</v>
      </c>
      <c r="D906">
        <v>39</v>
      </c>
      <c r="E906" t="s">
        <v>20</v>
      </c>
      <c r="F906">
        <v>5</v>
      </c>
      <c r="G906" t="s">
        <v>15</v>
      </c>
      <c r="H906">
        <v>7</v>
      </c>
      <c r="I906">
        <v>47</v>
      </c>
      <c r="J906">
        <v>0</v>
      </c>
      <c r="K906" t="s">
        <v>16</v>
      </c>
      <c r="L906" t="s">
        <v>16</v>
      </c>
      <c r="M906">
        <f>IF(Table1[[#This Row],[ألغى الاشتراك]]="نعم",1,0)</f>
        <v>1</v>
      </c>
      <c r="N906">
        <f>IF(Table1[[#This Row],[وسيلة الدفع]]="بطاقة",1,0)</f>
        <v>1</v>
      </c>
      <c r="O906">
        <f>IF(Table1[[#This Row],[وسيلة الدفع]]="محفظة",1,0)</f>
        <v>0</v>
      </c>
      <c r="P906">
        <f>IF(Table1[[#This Row],[وسيلة الدفع]]="تحويل",1,0)</f>
        <v>0</v>
      </c>
      <c r="Q906">
        <f>IF(Table1[[#This Row],[حضر التهيئة]]="نعم",1,0)</f>
        <v>1</v>
      </c>
      <c r="R906">
        <f>IF(Table1[[#This Row],[دورة الفوترة]]="شهري",1,0)</f>
        <v>0</v>
      </c>
    </row>
    <row r="907" spans="1:18" x14ac:dyDescent="0.25">
      <c r="A907" t="s">
        <v>927</v>
      </c>
      <c r="B907" s="1">
        <v>45525</v>
      </c>
      <c r="C907" t="s">
        <v>28</v>
      </c>
      <c r="D907">
        <v>39</v>
      </c>
      <c r="E907" t="s">
        <v>14</v>
      </c>
      <c r="F907">
        <v>6</v>
      </c>
      <c r="G907" t="s">
        <v>21</v>
      </c>
      <c r="H907">
        <v>2</v>
      </c>
      <c r="I907">
        <v>52</v>
      </c>
      <c r="J907">
        <v>0</v>
      </c>
      <c r="K907" t="s">
        <v>17</v>
      </c>
      <c r="L907" t="s">
        <v>17</v>
      </c>
      <c r="M907">
        <f>IF(Table1[[#This Row],[ألغى الاشتراك]]="نعم",1,0)</f>
        <v>0</v>
      </c>
      <c r="N907">
        <f>IF(Table1[[#This Row],[وسيلة الدفع]]="بطاقة",1,0)</f>
        <v>0</v>
      </c>
      <c r="O907">
        <f>IF(Table1[[#This Row],[وسيلة الدفع]]="محفظة",1,0)</f>
        <v>1</v>
      </c>
      <c r="P907">
        <f>IF(Table1[[#This Row],[وسيلة الدفع]]="تحويل",1,0)</f>
        <v>0</v>
      </c>
      <c r="Q907">
        <f>IF(Table1[[#This Row],[حضر التهيئة]]="نعم",1,0)</f>
        <v>0</v>
      </c>
      <c r="R907">
        <f>IF(Table1[[#This Row],[دورة الفوترة]]="شهري",1,0)</f>
        <v>1</v>
      </c>
    </row>
    <row r="908" spans="1:18" x14ac:dyDescent="0.25">
      <c r="A908" t="s">
        <v>928</v>
      </c>
      <c r="B908" s="1">
        <v>45922</v>
      </c>
      <c r="C908" t="s">
        <v>28</v>
      </c>
      <c r="D908">
        <v>39</v>
      </c>
      <c r="E908" t="s">
        <v>14</v>
      </c>
      <c r="F908">
        <v>27</v>
      </c>
      <c r="G908" t="s">
        <v>15</v>
      </c>
      <c r="H908">
        <v>0</v>
      </c>
      <c r="I908">
        <v>15</v>
      </c>
      <c r="J908">
        <v>0</v>
      </c>
      <c r="K908" t="s">
        <v>17</v>
      </c>
      <c r="L908" t="s">
        <v>16</v>
      </c>
      <c r="M908">
        <f>IF(Table1[[#This Row],[ألغى الاشتراك]]="نعم",1,0)</f>
        <v>1</v>
      </c>
      <c r="N908">
        <f>IF(Table1[[#This Row],[وسيلة الدفع]]="بطاقة",1,0)</f>
        <v>1</v>
      </c>
      <c r="O908">
        <f>IF(Table1[[#This Row],[وسيلة الدفع]]="محفظة",1,0)</f>
        <v>0</v>
      </c>
      <c r="P908">
        <f>IF(Table1[[#This Row],[وسيلة الدفع]]="تحويل",1,0)</f>
        <v>0</v>
      </c>
      <c r="Q908">
        <f>IF(Table1[[#This Row],[حضر التهيئة]]="نعم",1,0)</f>
        <v>0</v>
      </c>
      <c r="R908">
        <f>IF(Table1[[#This Row],[دورة الفوترة]]="شهري",1,0)</f>
        <v>1</v>
      </c>
    </row>
    <row r="909" spans="1:18" x14ac:dyDescent="0.25">
      <c r="A909" t="s">
        <v>929</v>
      </c>
      <c r="B909" s="1">
        <v>45349</v>
      </c>
      <c r="C909" t="s">
        <v>19</v>
      </c>
      <c r="D909">
        <v>189</v>
      </c>
      <c r="E909" t="s">
        <v>14</v>
      </c>
      <c r="F909">
        <v>12</v>
      </c>
      <c r="G909" t="s">
        <v>23</v>
      </c>
      <c r="H909">
        <v>11</v>
      </c>
      <c r="I909">
        <v>42</v>
      </c>
      <c r="J909">
        <v>0</v>
      </c>
      <c r="K909" t="s">
        <v>17</v>
      </c>
      <c r="L909" t="s">
        <v>17</v>
      </c>
      <c r="M909">
        <f>IF(Table1[[#This Row],[ألغى الاشتراك]]="نعم",1,0)</f>
        <v>0</v>
      </c>
      <c r="N909">
        <f>IF(Table1[[#This Row],[وسيلة الدفع]]="بطاقة",1,0)</f>
        <v>0</v>
      </c>
      <c r="O909">
        <f>IF(Table1[[#This Row],[وسيلة الدفع]]="محفظة",1,0)</f>
        <v>0</v>
      </c>
      <c r="P909">
        <f>IF(Table1[[#This Row],[وسيلة الدفع]]="تحويل",1,0)</f>
        <v>1</v>
      </c>
      <c r="Q909">
        <f>IF(Table1[[#This Row],[حضر التهيئة]]="نعم",1,0)</f>
        <v>0</v>
      </c>
      <c r="R909">
        <f>IF(Table1[[#This Row],[دورة الفوترة]]="شهري",1,0)</f>
        <v>1</v>
      </c>
    </row>
    <row r="910" spans="1:18" x14ac:dyDescent="0.25">
      <c r="A910" t="s">
        <v>930</v>
      </c>
      <c r="B910" s="1">
        <v>45505</v>
      </c>
      <c r="C910" t="s">
        <v>19</v>
      </c>
      <c r="D910">
        <v>189</v>
      </c>
      <c r="E910" t="s">
        <v>14</v>
      </c>
      <c r="F910">
        <v>23</v>
      </c>
      <c r="G910" t="s">
        <v>23</v>
      </c>
      <c r="H910">
        <v>3</v>
      </c>
      <c r="I910">
        <v>47</v>
      </c>
      <c r="J910">
        <v>25</v>
      </c>
      <c r="K910" t="s">
        <v>17</v>
      </c>
      <c r="L910" t="s">
        <v>17</v>
      </c>
      <c r="M910">
        <f>IF(Table1[[#This Row],[ألغى الاشتراك]]="نعم",1,0)</f>
        <v>0</v>
      </c>
      <c r="N910">
        <f>IF(Table1[[#This Row],[وسيلة الدفع]]="بطاقة",1,0)</f>
        <v>0</v>
      </c>
      <c r="O910">
        <f>IF(Table1[[#This Row],[وسيلة الدفع]]="محفظة",1,0)</f>
        <v>0</v>
      </c>
      <c r="P910">
        <f>IF(Table1[[#This Row],[وسيلة الدفع]]="تحويل",1,0)</f>
        <v>1</v>
      </c>
      <c r="Q910">
        <f>IF(Table1[[#This Row],[حضر التهيئة]]="نعم",1,0)</f>
        <v>0</v>
      </c>
      <c r="R910">
        <f>IF(Table1[[#This Row],[دورة الفوترة]]="شهري",1,0)</f>
        <v>1</v>
      </c>
    </row>
    <row r="911" spans="1:18" x14ac:dyDescent="0.25">
      <c r="A911" t="s">
        <v>931</v>
      </c>
      <c r="B911" s="1">
        <v>45799</v>
      </c>
      <c r="C911" t="s">
        <v>19</v>
      </c>
      <c r="D911">
        <v>189</v>
      </c>
      <c r="E911" t="s">
        <v>20</v>
      </c>
      <c r="F911">
        <v>11</v>
      </c>
      <c r="G911" t="s">
        <v>23</v>
      </c>
      <c r="H911">
        <v>2</v>
      </c>
      <c r="I911">
        <v>3</v>
      </c>
      <c r="J911">
        <v>0</v>
      </c>
      <c r="K911" t="s">
        <v>17</v>
      </c>
      <c r="L911" t="s">
        <v>16</v>
      </c>
      <c r="M911">
        <f>IF(Table1[[#This Row],[ألغى الاشتراك]]="نعم",1,0)</f>
        <v>1</v>
      </c>
      <c r="N911">
        <f>IF(Table1[[#This Row],[وسيلة الدفع]]="بطاقة",1,0)</f>
        <v>0</v>
      </c>
      <c r="O911">
        <f>IF(Table1[[#This Row],[وسيلة الدفع]]="محفظة",1,0)</f>
        <v>0</v>
      </c>
      <c r="P911">
        <f>IF(Table1[[#This Row],[وسيلة الدفع]]="تحويل",1,0)</f>
        <v>1</v>
      </c>
      <c r="Q911">
        <f>IF(Table1[[#This Row],[حضر التهيئة]]="نعم",1,0)</f>
        <v>0</v>
      </c>
      <c r="R911">
        <f>IF(Table1[[#This Row],[دورة الفوترة]]="شهري",1,0)</f>
        <v>0</v>
      </c>
    </row>
    <row r="912" spans="1:18" x14ac:dyDescent="0.25">
      <c r="A912" t="s">
        <v>932</v>
      </c>
      <c r="B912" s="1">
        <v>45965</v>
      </c>
      <c r="C912" t="s">
        <v>19</v>
      </c>
      <c r="D912">
        <v>189</v>
      </c>
      <c r="E912" t="s">
        <v>14</v>
      </c>
      <c r="F912">
        <v>28</v>
      </c>
      <c r="G912" t="s">
        <v>23</v>
      </c>
      <c r="H912">
        <v>2</v>
      </c>
      <c r="I912">
        <v>12</v>
      </c>
      <c r="J912">
        <v>15</v>
      </c>
      <c r="K912" t="s">
        <v>16</v>
      </c>
      <c r="L912" t="s">
        <v>17</v>
      </c>
      <c r="M912">
        <f>IF(Table1[[#This Row],[ألغى الاشتراك]]="نعم",1,0)</f>
        <v>0</v>
      </c>
      <c r="N912">
        <f>IF(Table1[[#This Row],[وسيلة الدفع]]="بطاقة",1,0)</f>
        <v>0</v>
      </c>
      <c r="O912">
        <f>IF(Table1[[#This Row],[وسيلة الدفع]]="محفظة",1,0)</f>
        <v>0</v>
      </c>
      <c r="P912">
        <f>IF(Table1[[#This Row],[وسيلة الدفع]]="تحويل",1,0)</f>
        <v>1</v>
      </c>
      <c r="Q912">
        <f>IF(Table1[[#This Row],[حضر التهيئة]]="نعم",1,0)</f>
        <v>1</v>
      </c>
      <c r="R912">
        <f>IF(Table1[[#This Row],[دورة الفوترة]]="شهري",1,0)</f>
        <v>1</v>
      </c>
    </row>
    <row r="913" spans="1:18" x14ac:dyDescent="0.25">
      <c r="A913" t="s">
        <v>933</v>
      </c>
      <c r="B913" s="1">
        <v>45795</v>
      </c>
      <c r="C913" t="s">
        <v>13</v>
      </c>
      <c r="D913">
        <v>89</v>
      </c>
      <c r="E913" t="s">
        <v>20</v>
      </c>
      <c r="F913">
        <v>16</v>
      </c>
      <c r="G913" t="s">
        <v>23</v>
      </c>
      <c r="H913">
        <v>5</v>
      </c>
      <c r="I913">
        <v>6</v>
      </c>
      <c r="J913">
        <v>5</v>
      </c>
      <c r="K913" t="s">
        <v>17</v>
      </c>
      <c r="L913" t="s">
        <v>17</v>
      </c>
      <c r="M913">
        <f>IF(Table1[[#This Row],[ألغى الاشتراك]]="نعم",1,0)</f>
        <v>0</v>
      </c>
      <c r="N913">
        <f>IF(Table1[[#This Row],[وسيلة الدفع]]="بطاقة",1,0)</f>
        <v>0</v>
      </c>
      <c r="O913">
        <f>IF(Table1[[#This Row],[وسيلة الدفع]]="محفظة",1,0)</f>
        <v>0</v>
      </c>
      <c r="P913">
        <f>IF(Table1[[#This Row],[وسيلة الدفع]]="تحويل",1,0)</f>
        <v>1</v>
      </c>
      <c r="Q913">
        <f>IF(Table1[[#This Row],[حضر التهيئة]]="نعم",1,0)</f>
        <v>0</v>
      </c>
      <c r="R913">
        <f>IF(Table1[[#This Row],[دورة الفوترة]]="شهري",1,0)</f>
        <v>0</v>
      </c>
    </row>
    <row r="914" spans="1:18" x14ac:dyDescent="0.25">
      <c r="A914" t="s">
        <v>934</v>
      </c>
      <c r="B914" s="1">
        <v>45470</v>
      </c>
      <c r="C914" t="s">
        <v>19</v>
      </c>
      <c r="D914">
        <v>189</v>
      </c>
      <c r="E914" t="s">
        <v>20</v>
      </c>
      <c r="F914">
        <v>8</v>
      </c>
      <c r="G914" t="s">
        <v>23</v>
      </c>
      <c r="H914">
        <v>8</v>
      </c>
      <c r="I914">
        <v>56</v>
      </c>
      <c r="J914">
        <v>0</v>
      </c>
      <c r="K914" t="s">
        <v>17</v>
      </c>
      <c r="L914" t="s">
        <v>16</v>
      </c>
      <c r="M914">
        <f>IF(Table1[[#This Row],[ألغى الاشتراك]]="نعم",1,0)</f>
        <v>1</v>
      </c>
      <c r="N914">
        <f>IF(Table1[[#This Row],[وسيلة الدفع]]="بطاقة",1,0)</f>
        <v>0</v>
      </c>
      <c r="O914">
        <f>IF(Table1[[#This Row],[وسيلة الدفع]]="محفظة",1,0)</f>
        <v>0</v>
      </c>
      <c r="P914">
        <f>IF(Table1[[#This Row],[وسيلة الدفع]]="تحويل",1,0)</f>
        <v>1</v>
      </c>
      <c r="Q914">
        <f>IF(Table1[[#This Row],[حضر التهيئة]]="نعم",1,0)</f>
        <v>0</v>
      </c>
      <c r="R914">
        <f>IF(Table1[[#This Row],[دورة الفوترة]]="شهري",1,0)</f>
        <v>0</v>
      </c>
    </row>
    <row r="915" spans="1:18" x14ac:dyDescent="0.25">
      <c r="A915" t="s">
        <v>935</v>
      </c>
      <c r="B915" s="1">
        <v>45391</v>
      </c>
      <c r="C915" t="s">
        <v>19</v>
      </c>
      <c r="D915">
        <v>189</v>
      </c>
      <c r="E915" t="s">
        <v>14</v>
      </c>
      <c r="F915">
        <v>15</v>
      </c>
      <c r="G915" t="s">
        <v>21</v>
      </c>
      <c r="H915">
        <v>11</v>
      </c>
      <c r="I915">
        <v>45</v>
      </c>
      <c r="J915">
        <v>25</v>
      </c>
      <c r="K915" t="s">
        <v>17</v>
      </c>
      <c r="L915" t="s">
        <v>17</v>
      </c>
      <c r="M915">
        <f>IF(Table1[[#This Row],[ألغى الاشتراك]]="نعم",1,0)</f>
        <v>0</v>
      </c>
      <c r="N915">
        <f>IF(Table1[[#This Row],[وسيلة الدفع]]="بطاقة",1,0)</f>
        <v>0</v>
      </c>
      <c r="O915">
        <f>IF(Table1[[#This Row],[وسيلة الدفع]]="محفظة",1,0)</f>
        <v>1</v>
      </c>
      <c r="P915">
        <f>IF(Table1[[#This Row],[وسيلة الدفع]]="تحويل",1,0)</f>
        <v>0</v>
      </c>
      <c r="Q915">
        <f>IF(Table1[[#This Row],[حضر التهيئة]]="نعم",1,0)</f>
        <v>0</v>
      </c>
      <c r="R915">
        <f>IF(Table1[[#This Row],[دورة الفوترة]]="شهري",1,0)</f>
        <v>1</v>
      </c>
    </row>
    <row r="916" spans="1:18" x14ac:dyDescent="0.25">
      <c r="A916" t="s">
        <v>936</v>
      </c>
      <c r="B916" s="1">
        <v>45791</v>
      </c>
      <c r="C916" t="s">
        <v>13</v>
      </c>
      <c r="D916">
        <v>89</v>
      </c>
      <c r="E916" t="s">
        <v>20</v>
      </c>
      <c r="F916">
        <v>19</v>
      </c>
      <c r="G916" t="s">
        <v>23</v>
      </c>
      <c r="H916">
        <v>1</v>
      </c>
      <c r="I916">
        <v>29</v>
      </c>
      <c r="J916">
        <v>0</v>
      </c>
      <c r="K916" t="s">
        <v>17</v>
      </c>
      <c r="L916" t="s">
        <v>17</v>
      </c>
      <c r="M916">
        <f>IF(Table1[[#This Row],[ألغى الاشتراك]]="نعم",1,0)</f>
        <v>0</v>
      </c>
      <c r="N916">
        <f>IF(Table1[[#This Row],[وسيلة الدفع]]="بطاقة",1,0)</f>
        <v>0</v>
      </c>
      <c r="O916">
        <f>IF(Table1[[#This Row],[وسيلة الدفع]]="محفظة",1,0)</f>
        <v>0</v>
      </c>
      <c r="P916">
        <f>IF(Table1[[#This Row],[وسيلة الدفع]]="تحويل",1,0)</f>
        <v>1</v>
      </c>
      <c r="Q916">
        <f>IF(Table1[[#This Row],[حضر التهيئة]]="نعم",1,0)</f>
        <v>0</v>
      </c>
      <c r="R916">
        <f>IF(Table1[[#This Row],[دورة الفوترة]]="شهري",1,0)</f>
        <v>0</v>
      </c>
    </row>
    <row r="917" spans="1:18" x14ac:dyDescent="0.25">
      <c r="A917" t="s">
        <v>937</v>
      </c>
      <c r="B917" s="1">
        <v>45977</v>
      </c>
      <c r="C917" t="s">
        <v>28</v>
      </c>
      <c r="D917">
        <v>39</v>
      </c>
      <c r="E917" t="s">
        <v>14</v>
      </c>
      <c r="F917">
        <v>22</v>
      </c>
      <c r="G917" t="s">
        <v>15</v>
      </c>
      <c r="H917">
        <v>1</v>
      </c>
      <c r="I917">
        <v>12</v>
      </c>
      <c r="J917">
        <v>15</v>
      </c>
      <c r="K917" t="s">
        <v>17</v>
      </c>
      <c r="L917" t="s">
        <v>17</v>
      </c>
      <c r="M917">
        <f>IF(Table1[[#This Row],[ألغى الاشتراك]]="نعم",1,0)</f>
        <v>0</v>
      </c>
      <c r="N917">
        <f>IF(Table1[[#This Row],[وسيلة الدفع]]="بطاقة",1,0)</f>
        <v>1</v>
      </c>
      <c r="O917">
        <f>IF(Table1[[#This Row],[وسيلة الدفع]]="محفظة",1,0)</f>
        <v>0</v>
      </c>
      <c r="P917">
        <f>IF(Table1[[#This Row],[وسيلة الدفع]]="تحويل",1,0)</f>
        <v>0</v>
      </c>
      <c r="Q917">
        <f>IF(Table1[[#This Row],[حضر التهيئة]]="نعم",1,0)</f>
        <v>0</v>
      </c>
      <c r="R917">
        <f>IF(Table1[[#This Row],[دورة الفوترة]]="شهري",1,0)</f>
        <v>1</v>
      </c>
    </row>
    <row r="918" spans="1:18" x14ac:dyDescent="0.25">
      <c r="A918" t="s">
        <v>938</v>
      </c>
      <c r="B918" s="1">
        <v>45505</v>
      </c>
      <c r="C918" t="s">
        <v>13</v>
      </c>
      <c r="D918">
        <v>89</v>
      </c>
      <c r="E918" t="s">
        <v>14</v>
      </c>
      <c r="F918">
        <v>12</v>
      </c>
      <c r="G918" t="s">
        <v>23</v>
      </c>
      <c r="H918">
        <v>0</v>
      </c>
      <c r="I918">
        <v>10</v>
      </c>
      <c r="J918">
        <v>0</v>
      </c>
      <c r="K918" t="s">
        <v>17</v>
      </c>
      <c r="L918" t="s">
        <v>16</v>
      </c>
      <c r="M918">
        <f>IF(Table1[[#This Row],[ألغى الاشتراك]]="نعم",1,0)</f>
        <v>1</v>
      </c>
      <c r="N918">
        <f>IF(Table1[[#This Row],[وسيلة الدفع]]="بطاقة",1,0)</f>
        <v>0</v>
      </c>
      <c r="O918">
        <f>IF(Table1[[#This Row],[وسيلة الدفع]]="محفظة",1,0)</f>
        <v>0</v>
      </c>
      <c r="P918">
        <f>IF(Table1[[#This Row],[وسيلة الدفع]]="تحويل",1,0)</f>
        <v>1</v>
      </c>
      <c r="Q918">
        <f>IF(Table1[[#This Row],[حضر التهيئة]]="نعم",1,0)</f>
        <v>0</v>
      </c>
      <c r="R918">
        <f>IF(Table1[[#This Row],[دورة الفوترة]]="شهري",1,0)</f>
        <v>1</v>
      </c>
    </row>
    <row r="919" spans="1:18" x14ac:dyDescent="0.25">
      <c r="A919" t="s">
        <v>939</v>
      </c>
      <c r="B919" s="1">
        <v>45791</v>
      </c>
      <c r="C919" t="s">
        <v>13</v>
      </c>
      <c r="D919">
        <v>89</v>
      </c>
      <c r="E919" t="s">
        <v>14</v>
      </c>
      <c r="F919">
        <v>3</v>
      </c>
      <c r="G919" t="s">
        <v>21</v>
      </c>
      <c r="H919">
        <v>2</v>
      </c>
      <c r="I919">
        <v>29</v>
      </c>
      <c r="J919">
        <v>0</v>
      </c>
      <c r="K919" t="s">
        <v>16</v>
      </c>
      <c r="L919" t="s">
        <v>17</v>
      </c>
      <c r="M919">
        <f>IF(Table1[[#This Row],[ألغى الاشتراك]]="نعم",1,0)</f>
        <v>0</v>
      </c>
      <c r="N919">
        <f>IF(Table1[[#This Row],[وسيلة الدفع]]="بطاقة",1,0)</f>
        <v>0</v>
      </c>
      <c r="O919">
        <f>IF(Table1[[#This Row],[وسيلة الدفع]]="محفظة",1,0)</f>
        <v>1</v>
      </c>
      <c r="P919">
        <f>IF(Table1[[#This Row],[وسيلة الدفع]]="تحويل",1,0)</f>
        <v>0</v>
      </c>
      <c r="Q919">
        <f>IF(Table1[[#This Row],[حضر التهيئة]]="نعم",1,0)</f>
        <v>1</v>
      </c>
      <c r="R919">
        <f>IF(Table1[[#This Row],[دورة الفوترة]]="شهري",1,0)</f>
        <v>1</v>
      </c>
    </row>
    <row r="920" spans="1:18" x14ac:dyDescent="0.25">
      <c r="A920" t="s">
        <v>940</v>
      </c>
      <c r="B920" s="1">
        <v>45462</v>
      </c>
      <c r="C920" t="s">
        <v>28</v>
      </c>
      <c r="D920">
        <v>39</v>
      </c>
      <c r="E920" t="s">
        <v>14</v>
      </c>
      <c r="F920">
        <v>8</v>
      </c>
      <c r="G920" t="s">
        <v>21</v>
      </c>
      <c r="H920">
        <v>0</v>
      </c>
      <c r="I920">
        <v>8</v>
      </c>
      <c r="J920">
        <v>0</v>
      </c>
      <c r="K920" t="s">
        <v>16</v>
      </c>
      <c r="L920" t="s">
        <v>17</v>
      </c>
      <c r="M920">
        <f>IF(Table1[[#This Row],[ألغى الاشتراك]]="نعم",1,0)</f>
        <v>0</v>
      </c>
      <c r="N920">
        <f>IF(Table1[[#This Row],[وسيلة الدفع]]="بطاقة",1,0)</f>
        <v>0</v>
      </c>
      <c r="O920">
        <f>IF(Table1[[#This Row],[وسيلة الدفع]]="محفظة",1,0)</f>
        <v>1</v>
      </c>
      <c r="P920">
        <f>IF(Table1[[#This Row],[وسيلة الدفع]]="تحويل",1,0)</f>
        <v>0</v>
      </c>
      <c r="Q920">
        <f>IF(Table1[[#This Row],[حضر التهيئة]]="نعم",1,0)</f>
        <v>1</v>
      </c>
      <c r="R920">
        <f>IF(Table1[[#This Row],[دورة الفوترة]]="شهري",1,0)</f>
        <v>1</v>
      </c>
    </row>
    <row r="921" spans="1:18" x14ac:dyDescent="0.25">
      <c r="A921" t="s">
        <v>941</v>
      </c>
      <c r="B921" s="1">
        <v>45866</v>
      </c>
      <c r="C921" t="s">
        <v>28</v>
      </c>
      <c r="D921">
        <v>39</v>
      </c>
      <c r="E921" t="s">
        <v>14</v>
      </c>
      <c r="F921">
        <v>9</v>
      </c>
      <c r="G921" t="s">
        <v>15</v>
      </c>
      <c r="H921">
        <v>0</v>
      </c>
      <c r="I921">
        <v>11</v>
      </c>
      <c r="J921">
        <v>0</v>
      </c>
      <c r="K921" t="s">
        <v>16</v>
      </c>
      <c r="L921" t="s">
        <v>16</v>
      </c>
      <c r="M921">
        <f>IF(Table1[[#This Row],[ألغى الاشتراك]]="نعم",1,0)</f>
        <v>1</v>
      </c>
      <c r="N921">
        <f>IF(Table1[[#This Row],[وسيلة الدفع]]="بطاقة",1,0)</f>
        <v>1</v>
      </c>
      <c r="O921">
        <f>IF(Table1[[#This Row],[وسيلة الدفع]]="محفظة",1,0)</f>
        <v>0</v>
      </c>
      <c r="P921">
        <f>IF(Table1[[#This Row],[وسيلة الدفع]]="تحويل",1,0)</f>
        <v>0</v>
      </c>
      <c r="Q921">
        <f>IF(Table1[[#This Row],[حضر التهيئة]]="نعم",1,0)</f>
        <v>1</v>
      </c>
      <c r="R921">
        <f>IF(Table1[[#This Row],[دورة الفوترة]]="شهري",1,0)</f>
        <v>1</v>
      </c>
    </row>
    <row r="922" spans="1:18" x14ac:dyDescent="0.25">
      <c r="A922" t="s">
        <v>942</v>
      </c>
      <c r="B922" s="1">
        <v>45651</v>
      </c>
      <c r="C922" t="s">
        <v>19</v>
      </c>
      <c r="D922">
        <v>189</v>
      </c>
      <c r="E922" t="s">
        <v>14</v>
      </c>
      <c r="F922">
        <v>22</v>
      </c>
      <c r="G922" t="s">
        <v>15</v>
      </c>
      <c r="H922">
        <v>11</v>
      </c>
      <c r="I922">
        <v>50</v>
      </c>
      <c r="J922">
        <v>0</v>
      </c>
      <c r="K922" t="s">
        <v>16</v>
      </c>
      <c r="L922" t="s">
        <v>17</v>
      </c>
      <c r="M922">
        <f>IF(Table1[[#This Row],[ألغى الاشتراك]]="نعم",1,0)</f>
        <v>0</v>
      </c>
      <c r="N922">
        <f>IF(Table1[[#This Row],[وسيلة الدفع]]="بطاقة",1,0)</f>
        <v>1</v>
      </c>
      <c r="O922">
        <f>IF(Table1[[#This Row],[وسيلة الدفع]]="محفظة",1,0)</f>
        <v>0</v>
      </c>
      <c r="P922">
        <f>IF(Table1[[#This Row],[وسيلة الدفع]]="تحويل",1,0)</f>
        <v>0</v>
      </c>
      <c r="Q922">
        <f>IF(Table1[[#This Row],[حضر التهيئة]]="نعم",1,0)</f>
        <v>1</v>
      </c>
      <c r="R922">
        <f>IF(Table1[[#This Row],[دورة الفوترة]]="شهري",1,0)</f>
        <v>1</v>
      </c>
    </row>
    <row r="923" spans="1:18" x14ac:dyDescent="0.25">
      <c r="A923" t="s">
        <v>943</v>
      </c>
      <c r="B923" s="1">
        <v>45906</v>
      </c>
      <c r="C923" t="s">
        <v>19</v>
      </c>
      <c r="D923">
        <v>189</v>
      </c>
      <c r="E923" t="s">
        <v>20</v>
      </c>
      <c r="F923">
        <v>27</v>
      </c>
      <c r="G923" t="s">
        <v>15</v>
      </c>
      <c r="H923">
        <v>0</v>
      </c>
      <c r="I923">
        <v>45</v>
      </c>
      <c r="J923">
        <v>0</v>
      </c>
      <c r="K923" t="s">
        <v>16</v>
      </c>
      <c r="L923" t="s">
        <v>17</v>
      </c>
      <c r="M923">
        <f>IF(Table1[[#This Row],[ألغى الاشتراك]]="نعم",1,0)</f>
        <v>0</v>
      </c>
      <c r="N923">
        <f>IF(Table1[[#This Row],[وسيلة الدفع]]="بطاقة",1,0)</f>
        <v>1</v>
      </c>
      <c r="O923">
        <f>IF(Table1[[#This Row],[وسيلة الدفع]]="محفظة",1,0)</f>
        <v>0</v>
      </c>
      <c r="P923">
        <f>IF(Table1[[#This Row],[وسيلة الدفع]]="تحويل",1,0)</f>
        <v>0</v>
      </c>
      <c r="Q923">
        <f>IF(Table1[[#This Row],[حضر التهيئة]]="نعم",1,0)</f>
        <v>1</v>
      </c>
      <c r="R923">
        <f>IF(Table1[[#This Row],[دورة الفوترة]]="شهري",1,0)</f>
        <v>0</v>
      </c>
    </row>
    <row r="924" spans="1:18" x14ac:dyDescent="0.25">
      <c r="A924" t="s">
        <v>944</v>
      </c>
      <c r="B924" s="1">
        <v>45862</v>
      </c>
      <c r="C924" t="s">
        <v>28</v>
      </c>
      <c r="D924">
        <v>39</v>
      </c>
      <c r="E924" t="s">
        <v>14</v>
      </c>
      <c r="F924">
        <v>14</v>
      </c>
      <c r="G924" t="s">
        <v>15</v>
      </c>
      <c r="H924">
        <v>0</v>
      </c>
      <c r="I924">
        <v>38</v>
      </c>
      <c r="J924">
        <v>15</v>
      </c>
      <c r="K924" t="s">
        <v>16</v>
      </c>
      <c r="L924" t="s">
        <v>17</v>
      </c>
      <c r="M924">
        <f>IF(Table1[[#This Row],[ألغى الاشتراك]]="نعم",1,0)</f>
        <v>0</v>
      </c>
      <c r="N924">
        <f>IF(Table1[[#This Row],[وسيلة الدفع]]="بطاقة",1,0)</f>
        <v>1</v>
      </c>
      <c r="O924">
        <f>IF(Table1[[#This Row],[وسيلة الدفع]]="محفظة",1,0)</f>
        <v>0</v>
      </c>
      <c r="P924">
        <f>IF(Table1[[#This Row],[وسيلة الدفع]]="تحويل",1,0)</f>
        <v>0</v>
      </c>
      <c r="Q924">
        <f>IF(Table1[[#This Row],[حضر التهيئة]]="نعم",1,0)</f>
        <v>1</v>
      </c>
      <c r="R924">
        <f>IF(Table1[[#This Row],[دورة الفوترة]]="شهري",1,0)</f>
        <v>1</v>
      </c>
    </row>
    <row r="925" spans="1:18" x14ac:dyDescent="0.25">
      <c r="A925" t="s">
        <v>945</v>
      </c>
      <c r="B925" s="1">
        <v>45787</v>
      </c>
      <c r="C925" t="s">
        <v>28</v>
      </c>
      <c r="D925">
        <v>39</v>
      </c>
      <c r="E925" t="s">
        <v>20</v>
      </c>
      <c r="F925">
        <v>20</v>
      </c>
      <c r="G925" t="s">
        <v>21</v>
      </c>
      <c r="H925">
        <v>1</v>
      </c>
      <c r="I925">
        <v>44</v>
      </c>
      <c r="J925">
        <v>5</v>
      </c>
      <c r="K925" t="s">
        <v>16</v>
      </c>
      <c r="L925" t="s">
        <v>17</v>
      </c>
      <c r="M925">
        <f>IF(Table1[[#This Row],[ألغى الاشتراك]]="نعم",1,0)</f>
        <v>0</v>
      </c>
      <c r="N925">
        <f>IF(Table1[[#This Row],[وسيلة الدفع]]="بطاقة",1,0)</f>
        <v>0</v>
      </c>
      <c r="O925">
        <f>IF(Table1[[#This Row],[وسيلة الدفع]]="محفظة",1,0)</f>
        <v>1</v>
      </c>
      <c r="P925">
        <f>IF(Table1[[#This Row],[وسيلة الدفع]]="تحويل",1,0)</f>
        <v>0</v>
      </c>
      <c r="Q925">
        <f>IF(Table1[[#This Row],[حضر التهيئة]]="نعم",1,0)</f>
        <v>1</v>
      </c>
      <c r="R925">
        <f>IF(Table1[[#This Row],[دورة الفوترة]]="شهري",1,0)</f>
        <v>0</v>
      </c>
    </row>
    <row r="926" spans="1:18" x14ac:dyDescent="0.25">
      <c r="A926" t="s">
        <v>946</v>
      </c>
      <c r="B926" s="1">
        <v>45349</v>
      </c>
      <c r="C926" t="s">
        <v>28</v>
      </c>
      <c r="D926">
        <v>39</v>
      </c>
      <c r="E926" t="s">
        <v>14</v>
      </c>
      <c r="F926">
        <v>18</v>
      </c>
      <c r="G926" t="s">
        <v>23</v>
      </c>
      <c r="H926">
        <v>2</v>
      </c>
      <c r="I926">
        <v>4</v>
      </c>
      <c r="J926">
        <v>0</v>
      </c>
      <c r="K926" t="s">
        <v>16</v>
      </c>
      <c r="L926" t="s">
        <v>17</v>
      </c>
      <c r="M926">
        <f>IF(Table1[[#This Row],[ألغى الاشتراك]]="نعم",1,0)</f>
        <v>0</v>
      </c>
      <c r="N926">
        <f>IF(Table1[[#This Row],[وسيلة الدفع]]="بطاقة",1,0)</f>
        <v>0</v>
      </c>
      <c r="O926">
        <f>IF(Table1[[#This Row],[وسيلة الدفع]]="محفظة",1,0)</f>
        <v>0</v>
      </c>
      <c r="P926">
        <f>IF(Table1[[#This Row],[وسيلة الدفع]]="تحويل",1,0)</f>
        <v>1</v>
      </c>
      <c r="Q926">
        <f>IF(Table1[[#This Row],[حضر التهيئة]]="نعم",1,0)</f>
        <v>1</v>
      </c>
      <c r="R926">
        <f>IF(Table1[[#This Row],[دورة الفوترة]]="شهري",1,0)</f>
        <v>1</v>
      </c>
    </row>
    <row r="927" spans="1:18" x14ac:dyDescent="0.25">
      <c r="A927" t="s">
        <v>947</v>
      </c>
      <c r="B927" s="1">
        <v>45724</v>
      </c>
      <c r="C927" t="s">
        <v>13</v>
      </c>
      <c r="D927">
        <v>89</v>
      </c>
      <c r="E927" t="s">
        <v>14</v>
      </c>
      <c r="F927">
        <v>29</v>
      </c>
      <c r="G927" t="s">
        <v>21</v>
      </c>
      <c r="H927">
        <v>2</v>
      </c>
      <c r="I927">
        <v>25</v>
      </c>
      <c r="J927">
        <v>0</v>
      </c>
      <c r="K927" t="s">
        <v>16</v>
      </c>
      <c r="L927" t="s">
        <v>17</v>
      </c>
      <c r="M927">
        <f>IF(Table1[[#This Row],[ألغى الاشتراك]]="نعم",1,0)</f>
        <v>0</v>
      </c>
      <c r="N927">
        <f>IF(Table1[[#This Row],[وسيلة الدفع]]="بطاقة",1,0)</f>
        <v>0</v>
      </c>
      <c r="O927">
        <f>IF(Table1[[#This Row],[وسيلة الدفع]]="محفظة",1,0)</f>
        <v>1</v>
      </c>
      <c r="P927">
        <f>IF(Table1[[#This Row],[وسيلة الدفع]]="تحويل",1,0)</f>
        <v>0</v>
      </c>
      <c r="Q927">
        <f>IF(Table1[[#This Row],[حضر التهيئة]]="نعم",1,0)</f>
        <v>1</v>
      </c>
      <c r="R927">
        <f>IF(Table1[[#This Row],[دورة الفوترة]]="شهري",1,0)</f>
        <v>1</v>
      </c>
    </row>
    <row r="928" spans="1:18" x14ac:dyDescent="0.25">
      <c r="A928" t="s">
        <v>948</v>
      </c>
      <c r="B928" s="1">
        <v>45635</v>
      </c>
      <c r="C928" t="s">
        <v>19</v>
      </c>
      <c r="D928">
        <v>189</v>
      </c>
      <c r="E928" t="s">
        <v>14</v>
      </c>
      <c r="F928">
        <v>14</v>
      </c>
      <c r="G928" t="s">
        <v>21</v>
      </c>
      <c r="H928">
        <v>0</v>
      </c>
      <c r="I928">
        <v>36</v>
      </c>
      <c r="J928">
        <v>0</v>
      </c>
      <c r="K928" t="s">
        <v>16</v>
      </c>
      <c r="L928" t="s">
        <v>17</v>
      </c>
      <c r="M928">
        <f>IF(Table1[[#This Row],[ألغى الاشتراك]]="نعم",1,0)</f>
        <v>0</v>
      </c>
      <c r="N928">
        <f>IF(Table1[[#This Row],[وسيلة الدفع]]="بطاقة",1,0)</f>
        <v>0</v>
      </c>
      <c r="O928">
        <f>IF(Table1[[#This Row],[وسيلة الدفع]]="محفظة",1,0)</f>
        <v>1</v>
      </c>
      <c r="P928">
        <f>IF(Table1[[#This Row],[وسيلة الدفع]]="تحويل",1,0)</f>
        <v>0</v>
      </c>
      <c r="Q928">
        <f>IF(Table1[[#This Row],[حضر التهيئة]]="نعم",1,0)</f>
        <v>1</v>
      </c>
      <c r="R928">
        <f>IF(Table1[[#This Row],[دورة الفوترة]]="شهري",1,0)</f>
        <v>1</v>
      </c>
    </row>
    <row r="929" spans="1:18" x14ac:dyDescent="0.25">
      <c r="A929" t="s">
        <v>949</v>
      </c>
      <c r="B929" s="1">
        <v>45667</v>
      </c>
      <c r="C929" t="s">
        <v>13</v>
      </c>
      <c r="D929">
        <v>89</v>
      </c>
      <c r="E929" t="s">
        <v>20</v>
      </c>
      <c r="F929">
        <v>15</v>
      </c>
      <c r="G929" t="s">
        <v>15</v>
      </c>
      <c r="H929">
        <v>1</v>
      </c>
      <c r="I929">
        <v>55</v>
      </c>
      <c r="J929">
        <v>0</v>
      </c>
      <c r="K929" t="s">
        <v>17</v>
      </c>
      <c r="L929" t="s">
        <v>17</v>
      </c>
      <c r="M929">
        <f>IF(Table1[[#This Row],[ألغى الاشتراك]]="نعم",1,0)</f>
        <v>0</v>
      </c>
      <c r="N929">
        <f>IF(Table1[[#This Row],[وسيلة الدفع]]="بطاقة",1,0)</f>
        <v>1</v>
      </c>
      <c r="O929">
        <f>IF(Table1[[#This Row],[وسيلة الدفع]]="محفظة",1,0)</f>
        <v>0</v>
      </c>
      <c r="P929">
        <f>IF(Table1[[#This Row],[وسيلة الدفع]]="تحويل",1,0)</f>
        <v>0</v>
      </c>
      <c r="Q929">
        <f>IF(Table1[[#This Row],[حضر التهيئة]]="نعم",1,0)</f>
        <v>0</v>
      </c>
      <c r="R929">
        <f>IF(Table1[[#This Row],[دورة الفوترة]]="شهري",1,0)</f>
        <v>0</v>
      </c>
    </row>
    <row r="930" spans="1:18" x14ac:dyDescent="0.25">
      <c r="A930" t="s">
        <v>950</v>
      </c>
      <c r="B930" s="1">
        <v>45462</v>
      </c>
      <c r="C930" t="s">
        <v>13</v>
      </c>
      <c r="D930">
        <v>89</v>
      </c>
      <c r="E930" t="s">
        <v>14</v>
      </c>
      <c r="F930">
        <v>18</v>
      </c>
      <c r="G930" t="s">
        <v>15</v>
      </c>
      <c r="H930">
        <v>1</v>
      </c>
      <c r="I930">
        <v>56</v>
      </c>
      <c r="J930">
        <v>0</v>
      </c>
      <c r="K930" t="s">
        <v>17</v>
      </c>
      <c r="L930" t="s">
        <v>17</v>
      </c>
      <c r="M930">
        <f>IF(Table1[[#This Row],[ألغى الاشتراك]]="نعم",1,0)</f>
        <v>0</v>
      </c>
      <c r="N930">
        <f>IF(Table1[[#This Row],[وسيلة الدفع]]="بطاقة",1,0)</f>
        <v>1</v>
      </c>
      <c r="O930">
        <f>IF(Table1[[#This Row],[وسيلة الدفع]]="محفظة",1,0)</f>
        <v>0</v>
      </c>
      <c r="P930">
        <f>IF(Table1[[#This Row],[وسيلة الدفع]]="تحويل",1,0)</f>
        <v>0</v>
      </c>
      <c r="Q930">
        <f>IF(Table1[[#This Row],[حضر التهيئة]]="نعم",1,0)</f>
        <v>0</v>
      </c>
      <c r="R930">
        <f>IF(Table1[[#This Row],[دورة الفوترة]]="شهري",1,0)</f>
        <v>1</v>
      </c>
    </row>
    <row r="931" spans="1:18" x14ac:dyDescent="0.25">
      <c r="A931" t="s">
        <v>951</v>
      </c>
      <c r="B931" s="1">
        <v>45399</v>
      </c>
      <c r="C931" t="s">
        <v>19</v>
      </c>
      <c r="D931">
        <v>189</v>
      </c>
      <c r="E931" t="s">
        <v>14</v>
      </c>
      <c r="F931">
        <v>9</v>
      </c>
      <c r="G931" t="s">
        <v>21</v>
      </c>
      <c r="H931">
        <v>0</v>
      </c>
      <c r="I931">
        <v>37</v>
      </c>
      <c r="J931">
        <v>25</v>
      </c>
      <c r="K931" t="s">
        <v>17</v>
      </c>
      <c r="L931" t="s">
        <v>16</v>
      </c>
      <c r="M931">
        <f>IF(Table1[[#This Row],[ألغى الاشتراك]]="نعم",1,0)</f>
        <v>1</v>
      </c>
      <c r="N931">
        <f>IF(Table1[[#This Row],[وسيلة الدفع]]="بطاقة",1,0)</f>
        <v>0</v>
      </c>
      <c r="O931">
        <f>IF(Table1[[#This Row],[وسيلة الدفع]]="محفظة",1,0)</f>
        <v>1</v>
      </c>
      <c r="P931">
        <f>IF(Table1[[#This Row],[وسيلة الدفع]]="تحويل",1,0)</f>
        <v>0</v>
      </c>
      <c r="Q931">
        <f>IF(Table1[[#This Row],[حضر التهيئة]]="نعم",1,0)</f>
        <v>0</v>
      </c>
      <c r="R931">
        <f>IF(Table1[[#This Row],[دورة الفوترة]]="شهري",1,0)</f>
        <v>1</v>
      </c>
    </row>
    <row r="932" spans="1:18" x14ac:dyDescent="0.25">
      <c r="A932" t="s">
        <v>952</v>
      </c>
      <c r="B932" s="1">
        <v>45671</v>
      </c>
      <c r="C932" t="s">
        <v>13</v>
      </c>
      <c r="D932">
        <v>89</v>
      </c>
      <c r="E932" t="s">
        <v>14</v>
      </c>
      <c r="F932">
        <v>23</v>
      </c>
      <c r="G932" t="s">
        <v>23</v>
      </c>
      <c r="H932">
        <v>1</v>
      </c>
      <c r="I932">
        <v>31</v>
      </c>
      <c r="J932">
        <v>0</v>
      </c>
      <c r="K932" t="s">
        <v>16</v>
      </c>
      <c r="L932" t="s">
        <v>17</v>
      </c>
      <c r="M932">
        <f>IF(Table1[[#This Row],[ألغى الاشتراك]]="نعم",1,0)</f>
        <v>0</v>
      </c>
      <c r="N932">
        <f>IF(Table1[[#This Row],[وسيلة الدفع]]="بطاقة",1,0)</f>
        <v>0</v>
      </c>
      <c r="O932">
        <f>IF(Table1[[#This Row],[وسيلة الدفع]]="محفظة",1,0)</f>
        <v>0</v>
      </c>
      <c r="P932">
        <f>IF(Table1[[#This Row],[وسيلة الدفع]]="تحويل",1,0)</f>
        <v>1</v>
      </c>
      <c r="Q932">
        <f>IF(Table1[[#This Row],[حضر التهيئة]]="نعم",1,0)</f>
        <v>1</v>
      </c>
      <c r="R932">
        <f>IF(Table1[[#This Row],[دورة الفوترة]]="شهري",1,0)</f>
        <v>1</v>
      </c>
    </row>
    <row r="933" spans="1:18" x14ac:dyDescent="0.25">
      <c r="A933" t="s">
        <v>953</v>
      </c>
      <c r="B933" s="1">
        <v>45850</v>
      </c>
      <c r="C933" t="s">
        <v>28</v>
      </c>
      <c r="D933">
        <v>39</v>
      </c>
      <c r="E933" t="s">
        <v>20</v>
      </c>
      <c r="F933">
        <v>16</v>
      </c>
      <c r="G933" t="s">
        <v>15</v>
      </c>
      <c r="H933">
        <v>0</v>
      </c>
      <c r="I933">
        <v>14</v>
      </c>
      <c r="J933">
        <v>15</v>
      </c>
      <c r="K933" t="s">
        <v>16</v>
      </c>
      <c r="L933" t="s">
        <v>17</v>
      </c>
      <c r="M933">
        <f>IF(Table1[[#This Row],[ألغى الاشتراك]]="نعم",1,0)</f>
        <v>0</v>
      </c>
      <c r="N933">
        <f>IF(Table1[[#This Row],[وسيلة الدفع]]="بطاقة",1,0)</f>
        <v>1</v>
      </c>
      <c r="O933">
        <f>IF(Table1[[#This Row],[وسيلة الدفع]]="محفظة",1,0)</f>
        <v>0</v>
      </c>
      <c r="P933">
        <f>IF(Table1[[#This Row],[وسيلة الدفع]]="تحويل",1,0)</f>
        <v>0</v>
      </c>
      <c r="Q933">
        <f>IF(Table1[[#This Row],[حضر التهيئة]]="نعم",1,0)</f>
        <v>1</v>
      </c>
      <c r="R933">
        <f>IF(Table1[[#This Row],[دورة الفوترة]]="شهري",1,0)</f>
        <v>0</v>
      </c>
    </row>
    <row r="934" spans="1:18" x14ac:dyDescent="0.25">
      <c r="A934" t="s">
        <v>954</v>
      </c>
      <c r="B934" s="1">
        <v>45407</v>
      </c>
      <c r="C934" t="s">
        <v>19</v>
      </c>
      <c r="D934">
        <v>189</v>
      </c>
      <c r="E934" t="s">
        <v>20</v>
      </c>
      <c r="F934">
        <v>20</v>
      </c>
      <c r="G934" t="s">
        <v>15</v>
      </c>
      <c r="H934">
        <v>1</v>
      </c>
      <c r="I934">
        <v>52</v>
      </c>
      <c r="J934">
        <v>0</v>
      </c>
      <c r="K934" t="s">
        <v>16</v>
      </c>
      <c r="L934" t="s">
        <v>17</v>
      </c>
      <c r="M934">
        <f>IF(Table1[[#This Row],[ألغى الاشتراك]]="نعم",1,0)</f>
        <v>0</v>
      </c>
      <c r="N934">
        <f>IF(Table1[[#This Row],[وسيلة الدفع]]="بطاقة",1,0)</f>
        <v>1</v>
      </c>
      <c r="O934">
        <f>IF(Table1[[#This Row],[وسيلة الدفع]]="محفظة",1,0)</f>
        <v>0</v>
      </c>
      <c r="P934">
        <f>IF(Table1[[#This Row],[وسيلة الدفع]]="تحويل",1,0)</f>
        <v>0</v>
      </c>
      <c r="Q934">
        <f>IF(Table1[[#This Row],[حضر التهيئة]]="نعم",1,0)</f>
        <v>1</v>
      </c>
      <c r="R934">
        <f>IF(Table1[[#This Row],[دورة الفوترة]]="شهري",1,0)</f>
        <v>0</v>
      </c>
    </row>
    <row r="935" spans="1:18" x14ac:dyDescent="0.25">
      <c r="A935" t="s">
        <v>955</v>
      </c>
      <c r="B935" s="1">
        <v>45671</v>
      </c>
      <c r="C935" t="s">
        <v>19</v>
      </c>
      <c r="D935">
        <v>189</v>
      </c>
      <c r="E935" t="s">
        <v>20</v>
      </c>
      <c r="F935">
        <v>19</v>
      </c>
      <c r="G935" t="s">
        <v>15</v>
      </c>
      <c r="H935">
        <v>1</v>
      </c>
      <c r="I935">
        <v>13</v>
      </c>
      <c r="J935">
        <v>0</v>
      </c>
      <c r="K935" t="s">
        <v>16</v>
      </c>
      <c r="L935" t="s">
        <v>17</v>
      </c>
      <c r="M935">
        <f>IF(Table1[[#This Row],[ألغى الاشتراك]]="نعم",1,0)</f>
        <v>0</v>
      </c>
      <c r="N935">
        <f>IF(Table1[[#This Row],[وسيلة الدفع]]="بطاقة",1,0)</f>
        <v>1</v>
      </c>
      <c r="O935">
        <f>IF(Table1[[#This Row],[وسيلة الدفع]]="محفظة",1,0)</f>
        <v>0</v>
      </c>
      <c r="P935">
        <f>IF(Table1[[#This Row],[وسيلة الدفع]]="تحويل",1,0)</f>
        <v>0</v>
      </c>
      <c r="Q935">
        <f>IF(Table1[[#This Row],[حضر التهيئة]]="نعم",1,0)</f>
        <v>1</v>
      </c>
      <c r="R935">
        <f>IF(Table1[[#This Row],[دورة الفوترة]]="شهري",1,0)</f>
        <v>0</v>
      </c>
    </row>
    <row r="936" spans="1:18" x14ac:dyDescent="0.25">
      <c r="A936" t="s">
        <v>956</v>
      </c>
      <c r="B936" s="1">
        <v>45329</v>
      </c>
      <c r="C936" t="s">
        <v>13</v>
      </c>
      <c r="D936">
        <v>89</v>
      </c>
      <c r="E936" t="s">
        <v>20</v>
      </c>
      <c r="F936">
        <v>2</v>
      </c>
      <c r="G936" t="s">
        <v>23</v>
      </c>
      <c r="H936">
        <v>2</v>
      </c>
      <c r="I936">
        <v>34</v>
      </c>
      <c r="J936">
        <v>0</v>
      </c>
      <c r="K936" t="s">
        <v>16</v>
      </c>
      <c r="L936" t="s">
        <v>17</v>
      </c>
      <c r="M936">
        <f>IF(Table1[[#This Row],[ألغى الاشتراك]]="نعم",1,0)</f>
        <v>0</v>
      </c>
      <c r="N936">
        <f>IF(Table1[[#This Row],[وسيلة الدفع]]="بطاقة",1,0)</f>
        <v>0</v>
      </c>
      <c r="O936">
        <f>IF(Table1[[#This Row],[وسيلة الدفع]]="محفظة",1,0)</f>
        <v>0</v>
      </c>
      <c r="P936">
        <f>IF(Table1[[#This Row],[وسيلة الدفع]]="تحويل",1,0)</f>
        <v>1</v>
      </c>
      <c r="Q936">
        <f>IF(Table1[[#This Row],[حضر التهيئة]]="نعم",1,0)</f>
        <v>1</v>
      </c>
      <c r="R936">
        <f>IF(Table1[[#This Row],[دورة الفوترة]]="شهري",1,0)</f>
        <v>0</v>
      </c>
    </row>
    <row r="937" spans="1:18" x14ac:dyDescent="0.25">
      <c r="A937" t="s">
        <v>957</v>
      </c>
      <c r="B937" s="1">
        <v>45989</v>
      </c>
      <c r="C937" t="s">
        <v>13</v>
      </c>
      <c r="D937">
        <v>89</v>
      </c>
      <c r="E937" t="s">
        <v>20</v>
      </c>
      <c r="F937">
        <v>7</v>
      </c>
      <c r="G937" t="s">
        <v>15</v>
      </c>
      <c r="H937">
        <v>2</v>
      </c>
      <c r="I937">
        <v>13</v>
      </c>
      <c r="J937">
        <v>0</v>
      </c>
      <c r="K937" t="s">
        <v>16</v>
      </c>
      <c r="L937" t="s">
        <v>17</v>
      </c>
      <c r="M937">
        <f>IF(Table1[[#This Row],[ألغى الاشتراك]]="نعم",1,0)</f>
        <v>0</v>
      </c>
      <c r="N937">
        <f>IF(Table1[[#This Row],[وسيلة الدفع]]="بطاقة",1,0)</f>
        <v>1</v>
      </c>
      <c r="O937">
        <f>IF(Table1[[#This Row],[وسيلة الدفع]]="محفظة",1,0)</f>
        <v>0</v>
      </c>
      <c r="P937">
        <f>IF(Table1[[#This Row],[وسيلة الدفع]]="تحويل",1,0)</f>
        <v>0</v>
      </c>
      <c r="Q937">
        <f>IF(Table1[[#This Row],[حضر التهيئة]]="نعم",1,0)</f>
        <v>1</v>
      </c>
      <c r="R937">
        <f>IF(Table1[[#This Row],[دورة الفوترة]]="شهري",1,0)</f>
        <v>0</v>
      </c>
    </row>
    <row r="938" spans="1:18" x14ac:dyDescent="0.25">
      <c r="A938" t="s">
        <v>958</v>
      </c>
      <c r="B938" s="1">
        <v>45517</v>
      </c>
      <c r="C938" t="s">
        <v>28</v>
      </c>
      <c r="D938">
        <v>39</v>
      </c>
      <c r="E938" t="s">
        <v>20</v>
      </c>
      <c r="F938">
        <v>4</v>
      </c>
      <c r="G938" t="s">
        <v>21</v>
      </c>
      <c r="H938">
        <v>0</v>
      </c>
      <c r="I938">
        <v>52</v>
      </c>
      <c r="J938">
        <v>0</v>
      </c>
      <c r="K938" t="s">
        <v>17</v>
      </c>
      <c r="L938" t="s">
        <v>17</v>
      </c>
      <c r="M938">
        <f>IF(Table1[[#This Row],[ألغى الاشتراك]]="نعم",1,0)</f>
        <v>0</v>
      </c>
      <c r="N938">
        <f>IF(Table1[[#This Row],[وسيلة الدفع]]="بطاقة",1,0)</f>
        <v>0</v>
      </c>
      <c r="O938">
        <f>IF(Table1[[#This Row],[وسيلة الدفع]]="محفظة",1,0)</f>
        <v>1</v>
      </c>
      <c r="P938">
        <f>IF(Table1[[#This Row],[وسيلة الدفع]]="تحويل",1,0)</f>
        <v>0</v>
      </c>
      <c r="Q938">
        <f>IF(Table1[[#This Row],[حضر التهيئة]]="نعم",1,0)</f>
        <v>0</v>
      </c>
      <c r="R938">
        <f>IF(Table1[[#This Row],[دورة الفوترة]]="شهري",1,0)</f>
        <v>0</v>
      </c>
    </row>
    <row r="939" spans="1:18" x14ac:dyDescent="0.25">
      <c r="A939" t="s">
        <v>959</v>
      </c>
      <c r="B939" s="1">
        <v>45906</v>
      </c>
      <c r="C939" t="s">
        <v>13</v>
      </c>
      <c r="D939">
        <v>89</v>
      </c>
      <c r="E939" t="s">
        <v>14</v>
      </c>
      <c r="F939">
        <v>27</v>
      </c>
      <c r="G939" t="s">
        <v>21</v>
      </c>
      <c r="H939">
        <v>2</v>
      </c>
      <c r="I939">
        <v>55</v>
      </c>
      <c r="J939">
        <v>0</v>
      </c>
      <c r="K939" t="s">
        <v>16</v>
      </c>
      <c r="L939" t="s">
        <v>17</v>
      </c>
      <c r="M939">
        <f>IF(Table1[[#This Row],[ألغى الاشتراك]]="نعم",1,0)</f>
        <v>0</v>
      </c>
      <c r="N939">
        <f>IF(Table1[[#This Row],[وسيلة الدفع]]="بطاقة",1,0)</f>
        <v>0</v>
      </c>
      <c r="O939">
        <f>IF(Table1[[#This Row],[وسيلة الدفع]]="محفظة",1,0)</f>
        <v>1</v>
      </c>
      <c r="P939">
        <f>IF(Table1[[#This Row],[وسيلة الدفع]]="تحويل",1,0)</f>
        <v>0</v>
      </c>
      <c r="Q939">
        <f>IF(Table1[[#This Row],[حضر التهيئة]]="نعم",1,0)</f>
        <v>1</v>
      </c>
      <c r="R939">
        <f>IF(Table1[[#This Row],[دورة الفوترة]]="شهري",1,0)</f>
        <v>1</v>
      </c>
    </row>
    <row r="940" spans="1:18" x14ac:dyDescent="0.25">
      <c r="A940" t="s">
        <v>960</v>
      </c>
      <c r="B940" s="1">
        <v>45337</v>
      </c>
      <c r="C940" t="s">
        <v>28</v>
      </c>
      <c r="D940">
        <v>39</v>
      </c>
      <c r="E940" t="s">
        <v>14</v>
      </c>
      <c r="F940">
        <v>12</v>
      </c>
      <c r="G940" t="s">
        <v>23</v>
      </c>
      <c r="H940">
        <v>7</v>
      </c>
      <c r="I940">
        <v>42</v>
      </c>
      <c r="J940">
        <v>0</v>
      </c>
      <c r="K940" t="s">
        <v>17</v>
      </c>
      <c r="L940" t="s">
        <v>17</v>
      </c>
      <c r="M940">
        <f>IF(Table1[[#This Row],[ألغى الاشتراك]]="نعم",1,0)</f>
        <v>0</v>
      </c>
      <c r="N940">
        <f>IF(Table1[[#This Row],[وسيلة الدفع]]="بطاقة",1,0)</f>
        <v>0</v>
      </c>
      <c r="O940">
        <f>IF(Table1[[#This Row],[وسيلة الدفع]]="محفظة",1,0)</f>
        <v>0</v>
      </c>
      <c r="P940">
        <f>IF(Table1[[#This Row],[وسيلة الدفع]]="تحويل",1,0)</f>
        <v>1</v>
      </c>
      <c r="Q940">
        <f>IF(Table1[[#This Row],[حضر التهيئة]]="نعم",1,0)</f>
        <v>0</v>
      </c>
      <c r="R940">
        <f>IF(Table1[[#This Row],[دورة الفوترة]]="شهري",1,0)</f>
        <v>1</v>
      </c>
    </row>
    <row r="941" spans="1:18" x14ac:dyDescent="0.25">
      <c r="A941" t="s">
        <v>961</v>
      </c>
      <c r="B941" s="1">
        <v>45736</v>
      </c>
      <c r="C941" t="s">
        <v>13</v>
      </c>
      <c r="D941">
        <v>89</v>
      </c>
      <c r="E941" t="s">
        <v>14</v>
      </c>
      <c r="F941">
        <v>5</v>
      </c>
      <c r="G941" t="s">
        <v>15</v>
      </c>
      <c r="H941">
        <v>10</v>
      </c>
      <c r="I941">
        <v>59</v>
      </c>
      <c r="J941">
        <v>0</v>
      </c>
      <c r="K941" t="s">
        <v>16</v>
      </c>
      <c r="L941" t="s">
        <v>17</v>
      </c>
      <c r="M941">
        <f>IF(Table1[[#This Row],[ألغى الاشتراك]]="نعم",1,0)</f>
        <v>0</v>
      </c>
      <c r="N941">
        <f>IF(Table1[[#This Row],[وسيلة الدفع]]="بطاقة",1,0)</f>
        <v>1</v>
      </c>
      <c r="O941">
        <f>IF(Table1[[#This Row],[وسيلة الدفع]]="محفظة",1,0)</f>
        <v>0</v>
      </c>
      <c r="P941">
        <f>IF(Table1[[#This Row],[وسيلة الدفع]]="تحويل",1,0)</f>
        <v>0</v>
      </c>
      <c r="Q941">
        <f>IF(Table1[[#This Row],[حضر التهيئة]]="نعم",1,0)</f>
        <v>1</v>
      </c>
      <c r="R941">
        <f>IF(Table1[[#This Row],[دورة الفوترة]]="شهري",1,0)</f>
        <v>1</v>
      </c>
    </row>
    <row r="942" spans="1:18" x14ac:dyDescent="0.25">
      <c r="A942" t="s">
        <v>962</v>
      </c>
      <c r="B942" s="1">
        <v>45387</v>
      </c>
      <c r="C942" t="s">
        <v>13</v>
      </c>
      <c r="D942">
        <v>89</v>
      </c>
      <c r="E942" t="s">
        <v>14</v>
      </c>
      <c r="F942">
        <v>30</v>
      </c>
      <c r="G942" t="s">
        <v>15</v>
      </c>
      <c r="H942">
        <v>2</v>
      </c>
      <c r="I942">
        <v>52</v>
      </c>
      <c r="J942">
        <v>0</v>
      </c>
      <c r="K942" t="s">
        <v>17</v>
      </c>
      <c r="L942" t="s">
        <v>17</v>
      </c>
      <c r="M942">
        <f>IF(Table1[[#This Row],[ألغى الاشتراك]]="نعم",1,0)</f>
        <v>0</v>
      </c>
      <c r="N942">
        <f>IF(Table1[[#This Row],[وسيلة الدفع]]="بطاقة",1,0)</f>
        <v>1</v>
      </c>
      <c r="O942">
        <f>IF(Table1[[#This Row],[وسيلة الدفع]]="محفظة",1,0)</f>
        <v>0</v>
      </c>
      <c r="P942">
        <f>IF(Table1[[#This Row],[وسيلة الدفع]]="تحويل",1,0)</f>
        <v>0</v>
      </c>
      <c r="Q942">
        <f>IF(Table1[[#This Row],[حضر التهيئة]]="نعم",1,0)</f>
        <v>0</v>
      </c>
      <c r="R942">
        <f>IF(Table1[[#This Row],[دورة الفوترة]]="شهري",1,0)</f>
        <v>1</v>
      </c>
    </row>
    <row r="943" spans="1:18" x14ac:dyDescent="0.25">
      <c r="A943" t="s">
        <v>963</v>
      </c>
      <c r="B943" s="1">
        <v>45576</v>
      </c>
      <c r="C943" t="s">
        <v>28</v>
      </c>
      <c r="D943">
        <v>39</v>
      </c>
      <c r="E943" t="s">
        <v>14</v>
      </c>
      <c r="F943">
        <v>27</v>
      </c>
      <c r="G943" t="s">
        <v>15</v>
      </c>
      <c r="H943">
        <v>1</v>
      </c>
      <c r="I943">
        <v>47</v>
      </c>
      <c r="J943">
        <v>10</v>
      </c>
      <c r="K943" t="s">
        <v>16</v>
      </c>
      <c r="L943" t="s">
        <v>17</v>
      </c>
      <c r="M943">
        <f>IF(Table1[[#This Row],[ألغى الاشتراك]]="نعم",1,0)</f>
        <v>0</v>
      </c>
      <c r="N943">
        <f>IF(Table1[[#This Row],[وسيلة الدفع]]="بطاقة",1,0)</f>
        <v>1</v>
      </c>
      <c r="O943">
        <f>IF(Table1[[#This Row],[وسيلة الدفع]]="محفظة",1,0)</f>
        <v>0</v>
      </c>
      <c r="P943">
        <f>IF(Table1[[#This Row],[وسيلة الدفع]]="تحويل",1,0)</f>
        <v>0</v>
      </c>
      <c r="Q943">
        <f>IF(Table1[[#This Row],[حضر التهيئة]]="نعم",1,0)</f>
        <v>1</v>
      </c>
      <c r="R943">
        <f>IF(Table1[[#This Row],[دورة الفوترة]]="شهري",1,0)</f>
        <v>1</v>
      </c>
    </row>
    <row r="944" spans="1:18" x14ac:dyDescent="0.25">
      <c r="A944" t="s">
        <v>964</v>
      </c>
      <c r="B944" s="1">
        <v>45862</v>
      </c>
      <c r="C944" t="s">
        <v>28</v>
      </c>
      <c r="D944">
        <v>39</v>
      </c>
      <c r="E944" t="s">
        <v>14</v>
      </c>
      <c r="F944">
        <v>23</v>
      </c>
      <c r="G944" t="s">
        <v>21</v>
      </c>
      <c r="H944">
        <v>5</v>
      </c>
      <c r="I944">
        <v>33</v>
      </c>
      <c r="J944">
        <v>0</v>
      </c>
      <c r="K944" t="s">
        <v>17</v>
      </c>
      <c r="L944" t="s">
        <v>17</v>
      </c>
      <c r="M944">
        <f>IF(Table1[[#This Row],[ألغى الاشتراك]]="نعم",1,0)</f>
        <v>0</v>
      </c>
      <c r="N944">
        <f>IF(Table1[[#This Row],[وسيلة الدفع]]="بطاقة",1,0)</f>
        <v>0</v>
      </c>
      <c r="O944">
        <f>IF(Table1[[#This Row],[وسيلة الدفع]]="محفظة",1,0)</f>
        <v>1</v>
      </c>
      <c r="P944">
        <f>IF(Table1[[#This Row],[وسيلة الدفع]]="تحويل",1,0)</f>
        <v>0</v>
      </c>
      <c r="Q944">
        <f>IF(Table1[[#This Row],[حضر التهيئة]]="نعم",1,0)</f>
        <v>0</v>
      </c>
      <c r="R944">
        <f>IF(Table1[[#This Row],[دورة الفوترة]]="شهري",1,0)</f>
        <v>1</v>
      </c>
    </row>
    <row r="945" spans="1:18" x14ac:dyDescent="0.25">
      <c r="A945" t="s">
        <v>965</v>
      </c>
      <c r="B945" s="1">
        <v>45631</v>
      </c>
      <c r="C945" t="s">
        <v>19</v>
      </c>
      <c r="D945">
        <v>189</v>
      </c>
      <c r="E945" t="s">
        <v>14</v>
      </c>
      <c r="F945">
        <v>2</v>
      </c>
      <c r="G945" t="s">
        <v>15</v>
      </c>
      <c r="H945">
        <v>7</v>
      </c>
      <c r="I945">
        <v>34</v>
      </c>
      <c r="J945">
        <v>0</v>
      </c>
      <c r="K945" t="s">
        <v>17</v>
      </c>
      <c r="L945" t="s">
        <v>17</v>
      </c>
      <c r="M945">
        <f>IF(Table1[[#This Row],[ألغى الاشتراك]]="نعم",1,0)</f>
        <v>0</v>
      </c>
      <c r="N945">
        <f>IF(Table1[[#This Row],[وسيلة الدفع]]="بطاقة",1,0)</f>
        <v>1</v>
      </c>
      <c r="O945">
        <f>IF(Table1[[#This Row],[وسيلة الدفع]]="محفظة",1,0)</f>
        <v>0</v>
      </c>
      <c r="P945">
        <f>IF(Table1[[#This Row],[وسيلة الدفع]]="تحويل",1,0)</f>
        <v>0</v>
      </c>
      <c r="Q945">
        <f>IF(Table1[[#This Row],[حضر التهيئة]]="نعم",1,0)</f>
        <v>0</v>
      </c>
      <c r="R945">
        <f>IF(Table1[[#This Row],[دورة الفوترة]]="شهري",1,0)</f>
        <v>1</v>
      </c>
    </row>
    <row r="946" spans="1:18" x14ac:dyDescent="0.25">
      <c r="A946" t="s">
        <v>966</v>
      </c>
      <c r="B946" s="1">
        <v>45683</v>
      </c>
      <c r="C946" t="s">
        <v>13</v>
      </c>
      <c r="D946">
        <v>89</v>
      </c>
      <c r="E946" t="s">
        <v>14</v>
      </c>
      <c r="F946">
        <v>5</v>
      </c>
      <c r="G946" t="s">
        <v>21</v>
      </c>
      <c r="H946">
        <v>11</v>
      </c>
      <c r="I946">
        <v>53</v>
      </c>
      <c r="J946">
        <v>0</v>
      </c>
      <c r="K946" t="s">
        <v>17</v>
      </c>
      <c r="L946" t="s">
        <v>17</v>
      </c>
      <c r="M946">
        <f>IF(Table1[[#This Row],[ألغى الاشتراك]]="نعم",1,0)</f>
        <v>0</v>
      </c>
      <c r="N946">
        <f>IF(Table1[[#This Row],[وسيلة الدفع]]="بطاقة",1,0)</f>
        <v>0</v>
      </c>
      <c r="O946">
        <f>IF(Table1[[#This Row],[وسيلة الدفع]]="محفظة",1,0)</f>
        <v>1</v>
      </c>
      <c r="P946">
        <f>IF(Table1[[#This Row],[وسيلة الدفع]]="تحويل",1,0)</f>
        <v>0</v>
      </c>
      <c r="Q946">
        <f>IF(Table1[[#This Row],[حضر التهيئة]]="نعم",1,0)</f>
        <v>0</v>
      </c>
      <c r="R946">
        <f>IF(Table1[[#This Row],[دورة الفوترة]]="شهري",1,0)</f>
        <v>1</v>
      </c>
    </row>
    <row r="947" spans="1:18" x14ac:dyDescent="0.25">
      <c r="A947" t="s">
        <v>967</v>
      </c>
      <c r="B947" s="1">
        <v>45985</v>
      </c>
      <c r="C947" t="s">
        <v>19</v>
      </c>
      <c r="D947">
        <v>189</v>
      </c>
      <c r="E947" t="s">
        <v>14</v>
      </c>
      <c r="F947">
        <v>28</v>
      </c>
      <c r="G947" t="s">
        <v>23</v>
      </c>
      <c r="H947">
        <v>2</v>
      </c>
      <c r="I947">
        <v>18</v>
      </c>
      <c r="J947">
        <v>15</v>
      </c>
      <c r="K947" t="s">
        <v>16</v>
      </c>
      <c r="L947" t="s">
        <v>17</v>
      </c>
      <c r="M947">
        <f>IF(Table1[[#This Row],[ألغى الاشتراك]]="نعم",1,0)</f>
        <v>0</v>
      </c>
      <c r="N947">
        <f>IF(Table1[[#This Row],[وسيلة الدفع]]="بطاقة",1,0)</f>
        <v>0</v>
      </c>
      <c r="O947">
        <f>IF(Table1[[#This Row],[وسيلة الدفع]]="محفظة",1,0)</f>
        <v>0</v>
      </c>
      <c r="P947">
        <f>IF(Table1[[#This Row],[وسيلة الدفع]]="تحويل",1,0)</f>
        <v>1</v>
      </c>
      <c r="Q947">
        <f>IF(Table1[[#This Row],[حضر التهيئة]]="نعم",1,0)</f>
        <v>1</v>
      </c>
      <c r="R947">
        <f>IF(Table1[[#This Row],[دورة الفوترة]]="شهري",1,0)</f>
        <v>1</v>
      </c>
    </row>
    <row r="948" spans="1:18" x14ac:dyDescent="0.25">
      <c r="A948" t="s">
        <v>968</v>
      </c>
      <c r="B948" s="1">
        <v>45795</v>
      </c>
      <c r="C948" t="s">
        <v>13</v>
      </c>
      <c r="D948">
        <v>89</v>
      </c>
      <c r="E948" t="s">
        <v>20</v>
      </c>
      <c r="F948">
        <v>10</v>
      </c>
      <c r="G948" t="s">
        <v>21</v>
      </c>
      <c r="H948">
        <v>8</v>
      </c>
      <c r="I948">
        <v>56</v>
      </c>
      <c r="J948">
        <v>5</v>
      </c>
      <c r="K948" t="s">
        <v>16</v>
      </c>
      <c r="L948" t="s">
        <v>17</v>
      </c>
      <c r="M948">
        <f>IF(Table1[[#This Row],[ألغى الاشتراك]]="نعم",1,0)</f>
        <v>0</v>
      </c>
      <c r="N948">
        <f>IF(Table1[[#This Row],[وسيلة الدفع]]="بطاقة",1,0)</f>
        <v>0</v>
      </c>
      <c r="O948">
        <f>IF(Table1[[#This Row],[وسيلة الدفع]]="محفظة",1,0)</f>
        <v>1</v>
      </c>
      <c r="P948">
        <f>IF(Table1[[#This Row],[وسيلة الدفع]]="تحويل",1,0)</f>
        <v>0</v>
      </c>
      <c r="Q948">
        <f>IF(Table1[[#This Row],[حضر التهيئة]]="نعم",1,0)</f>
        <v>1</v>
      </c>
      <c r="R948">
        <f>IF(Table1[[#This Row],[دورة الفوترة]]="شهري",1,0)</f>
        <v>0</v>
      </c>
    </row>
    <row r="949" spans="1:18" x14ac:dyDescent="0.25">
      <c r="A949" t="s">
        <v>969</v>
      </c>
      <c r="B949" s="1">
        <v>45576</v>
      </c>
      <c r="C949" t="s">
        <v>28</v>
      </c>
      <c r="D949">
        <v>39</v>
      </c>
      <c r="E949" t="s">
        <v>14</v>
      </c>
      <c r="F949">
        <v>8</v>
      </c>
      <c r="G949" t="s">
        <v>23</v>
      </c>
      <c r="H949">
        <v>2</v>
      </c>
      <c r="I949">
        <v>58</v>
      </c>
      <c r="J949">
        <v>0</v>
      </c>
      <c r="K949" t="s">
        <v>17</v>
      </c>
      <c r="L949" t="s">
        <v>17</v>
      </c>
      <c r="M949">
        <f>IF(Table1[[#This Row],[ألغى الاشتراك]]="نعم",1,0)</f>
        <v>0</v>
      </c>
      <c r="N949">
        <f>IF(Table1[[#This Row],[وسيلة الدفع]]="بطاقة",1,0)</f>
        <v>0</v>
      </c>
      <c r="O949">
        <f>IF(Table1[[#This Row],[وسيلة الدفع]]="محفظة",1,0)</f>
        <v>0</v>
      </c>
      <c r="P949">
        <f>IF(Table1[[#This Row],[وسيلة الدفع]]="تحويل",1,0)</f>
        <v>1</v>
      </c>
      <c r="Q949">
        <f>IF(Table1[[#This Row],[حضر التهيئة]]="نعم",1,0)</f>
        <v>0</v>
      </c>
      <c r="R949">
        <f>IF(Table1[[#This Row],[دورة الفوترة]]="شهري",1,0)</f>
        <v>1</v>
      </c>
    </row>
    <row r="950" spans="1:18" x14ac:dyDescent="0.25">
      <c r="A950" t="s">
        <v>970</v>
      </c>
      <c r="B950" s="1">
        <v>45842</v>
      </c>
      <c r="C950" t="s">
        <v>13</v>
      </c>
      <c r="D950">
        <v>89</v>
      </c>
      <c r="E950" t="s">
        <v>20</v>
      </c>
      <c r="F950">
        <v>15</v>
      </c>
      <c r="G950" t="s">
        <v>15</v>
      </c>
      <c r="H950">
        <v>1</v>
      </c>
      <c r="I950">
        <v>5</v>
      </c>
      <c r="J950">
        <v>0</v>
      </c>
      <c r="K950" t="s">
        <v>16</v>
      </c>
      <c r="L950" t="s">
        <v>17</v>
      </c>
      <c r="M950">
        <f>IF(Table1[[#This Row],[ألغى الاشتراك]]="نعم",1,0)</f>
        <v>0</v>
      </c>
      <c r="N950">
        <f>IF(Table1[[#This Row],[وسيلة الدفع]]="بطاقة",1,0)</f>
        <v>1</v>
      </c>
      <c r="O950">
        <f>IF(Table1[[#This Row],[وسيلة الدفع]]="محفظة",1,0)</f>
        <v>0</v>
      </c>
      <c r="P950">
        <f>IF(Table1[[#This Row],[وسيلة الدفع]]="تحويل",1,0)</f>
        <v>0</v>
      </c>
      <c r="Q950">
        <f>IF(Table1[[#This Row],[حضر التهيئة]]="نعم",1,0)</f>
        <v>1</v>
      </c>
      <c r="R950">
        <f>IF(Table1[[#This Row],[دورة الفوترة]]="شهري",1,0)</f>
        <v>0</v>
      </c>
    </row>
    <row r="951" spans="1:18" x14ac:dyDescent="0.25">
      <c r="A951" t="s">
        <v>971</v>
      </c>
      <c r="B951" s="1">
        <v>45517</v>
      </c>
      <c r="C951" t="s">
        <v>13</v>
      </c>
      <c r="D951">
        <v>89</v>
      </c>
      <c r="E951" t="s">
        <v>20</v>
      </c>
      <c r="F951">
        <v>4</v>
      </c>
      <c r="G951" t="s">
        <v>15</v>
      </c>
      <c r="H951">
        <v>4</v>
      </c>
      <c r="I951">
        <v>42</v>
      </c>
      <c r="J951">
        <v>0</v>
      </c>
      <c r="K951" t="s">
        <v>16</v>
      </c>
      <c r="L951" t="s">
        <v>17</v>
      </c>
      <c r="M951">
        <f>IF(Table1[[#This Row],[ألغى الاشتراك]]="نعم",1,0)</f>
        <v>0</v>
      </c>
      <c r="N951">
        <f>IF(Table1[[#This Row],[وسيلة الدفع]]="بطاقة",1,0)</f>
        <v>1</v>
      </c>
      <c r="O951">
        <f>IF(Table1[[#This Row],[وسيلة الدفع]]="محفظة",1,0)</f>
        <v>0</v>
      </c>
      <c r="P951">
        <f>IF(Table1[[#This Row],[وسيلة الدفع]]="تحويل",1,0)</f>
        <v>0</v>
      </c>
      <c r="Q951">
        <f>IF(Table1[[#This Row],[حضر التهيئة]]="نعم",1,0)</f>
        <v>1</v>
      </c>
      <c r="R951">
        <f>IF(Table1[[#This Row],[دورة الفوترة]]="شهري",1,0)</f>
        <v>0</v>
      </c>
    </row>
    <row r="952" spans="1:18" x14ac:dyDescent="0.25">
      <c r="A952" t="s">
        <v>972</v>
      </c>
      <c r="B952" s="1">
        <v>45906</v>
      </c>
      <c r="C952" t="s">
        <v>13</v>
      </c>
      <c r="D952">
        <v>89</v>
      </c>
      <c r="E952" t="s">
        <v>14</v>
      </c>
      <c r="F952">
        <v>15</v>
      </c>
      <c r="G952" t="s">
        <v>15</v>
      </c>
      <c r="H952">
        <v>0</v>
      </c>
      <c r="I952">
        <v>15</v>
      </c>
      <c r="J952">
        <v>0</v>
      </c>
      <c r="K952" t="s">
        <v>17</v>
      </c>
      <c r="L952" t="s">
        <v>17</v>
      </c>
      <c r="M952">
        <f>IF(Table1[[#This Row],[ألغى الاشتراك]]="نعم",1,0)</f>
        <v>0</v>
      </c>
      <c r="N952">
        <f>IF(Table1[[#This Row],[وسيلة الدفع]]="بطاقة",1,0)</f>
        <v>1</v>
      </c>
      <c r="O952">
        <f>IF(Table1[[#This Row],[وسيلة الدفع]]="محفظة",1,0)</f>
        <v>0</v>
      </c>
      <c r="P952">
        <f>IF(Table1[[#This Row],[وسيلة الدفع]]="تحويل",1,0)</f>
        <v>0</v>
      </c>
      <c r="Q952">
        <f>IF(Table1[[#This Row],[حضر التهيئة]]="نعم",1,0)</f>
        <v>0</v>
      </c>
      <c r="R952">
        <f>IF(Table1[[#This Row],[دورة الفوترة]]="شهري",1,0)</f>
        <v>1</v>
      </c>
    </row>
    <row r="953" spans="1:18" x14ac:dyDescent="0.25">
      <c r="A953" t="s">
        <v>973</v>
      </c>
      <c r="B953" s="1">
        <v>45842</v>
      </c>
      <c r="C953" t="s">
        <v>19</v>
      </c>
      <c r="D953">
        <v>189</v>
      </c>
      <c r="E953" t="s">
        <v>20</v>
      </c>
      <c r="F953">
        <v>12</v>
      </c>
      <c r="G953" t="s">
        <v>21</v>
      </c>
      <c r="H953">
        <v>0</v>
      </c>
      <c r="I953">
        <v>8</v>
      </c>
      <c r="J953">
        <v>15</v>
      </c>
      <c r="K953" t="s">
        <v>17</v>
      </c>
      <c r="L953" t="s">
        <v>17</v>
      </c>
      <c r="M953">
        <f>IF(Table1[[#This Row],[ألغى الاشتراك]]="نعم",1,0)</f>
        <v>0</v>
      </c>
      <c r="N953">
        <f>IF(Table1[[#This Row],[وسيلة الدفع]]="بطاقة",1,0)</f>
        <v>0</v>
      </c>
      <c r="O953">
        <f>IF(Table1[[#This Row],[وسيلة الدفع]]="محفظة",1,0)</f>
        <v>1</v>
      </c>
      <c r="P953">
        <f>IF(Table1[[#This Row],[وسيلة الدفع]]="تحويل",1,0)</f>
        <v>0</v>
      </c>
      <c r="Q953">
        <f>IF(Table1[[#This Row],[حضر التهيئة]]="نعم",1,0)</f>
        <v>0</v>
      </c>
      <c r="R953">
        <f>IF(Table1[[#This Row],[دورة الفوترة]]="شهري",1,0)</f>
        <v>0</v>
      </c>
    </row>
    <row r="954" spans="1:18" x14ac:dyDescent="0.25">
      <c r="A954" t="s">
        <v>974</v>
      </c>
      <c r="B954" s="1">
        <v>45407</v>
      </c>
      <c r="C954" t="s">
        <v>19</v>
      </c>
      <c r="D954">
        <v>189</v>
      </c>
      <c r="E954" t="s">
        <v>14</v>
      </c>
      <c r="F954">
        <v>26</v>
      </c>
      <c r="G954" t="s">
        <v>15</v>
      </c>
      <c r="H954">
        <v>0</v>
      </c>
      <c r="I954">
        <v>16</v>
      </c>
      <c r="J954">
        <v>0</v>
      </c>
      <c r="K954" t="s">
        <v>17</v>
      </c>
      <c r="L954" t="s">
        <v>17</v>
      </c>
      <c r="M954">
        <f>IF(Table1[[#This Row],[ألغى الاشتراك]]="نعم",1,0)</f>
        <v>0</v>
      </c>
      <c r="N954">
        <f>IF(Table1[[#This Row],[وسيلة الدفع]]="بطاقة",1,0)</f>
        <v>1</v>
      </c>
      <c r="O954">
        <f>IF(Table1[[#This Row],[وسيلة الدفع]]="محفظة",1,0)</f>
        <v>0</v>
      </c>
      <c r="P954">
        <f>IF(Table1[[#This Row],[وسيلة الدفع]]="تحويل",1,0)</f>
        <v>0</v>
      </c>
      <c r="Q954">
        <f>IF(Table1[[#This Row],[حضر التهيئة]]="نعم",1,0)</f>
        <v>0</v>
      </c>
      <c r="R954">
        <f>IF(Table1[[#This Row],[دورة الفوترة]]="شهري",1,0)</f>
        <v>1</v>
      </c>
    </row>
    <row r="955" spans="1:18" x14ac:dyDescent="0.25">
      <c r="A955" t="s">
        <v>975</v>
      </c>
      <c r="B955" s="1">
        <v>45675</v>
      </c>
      <c r="C955" t="s">
        <v>13</v>
      </c>
      <c r="D955">
        <v>89</v>
      </c>
      <c r="E955" t="s">
        <v>14</v>
      </c>
      <c r="F955">
        <v>19</v>
      </c>
      <c r="G955" t="s">
        <v>15</v>
      </c>
      <c r="H955">
        <v>1</v>
      </c>
      <c r="I955">
        <v>45</v>
      </c>
      <c r="J955">
        <v>0</v>
      </c>
      <c r="K955" t="s">
        <v>16</v>
      </c>
      <c r="L955" t="s">
        <v>17</v>
      </c>
      <c r="M955">
        <f>IF(Table1[[#This Row],[ألغى الاشتراك]]="نعم",1,0)</f>
        <v>0</v>
      </c>
      <c r="N955">
        <f>IF(Table1[[#This Row],[وسيلة الدفع]]="بطاقة",1,0)</f>
        <v>1</v>
      </c>
      <c r="O955">
        <f>IF(Table1[[#This Row],[وسيلة الدفع]]="محفظة",1,0)</f>
        <v>0</v>
      </c>
      <c r="P955">
        <f>IF(Table1[[#This Row],[وسيلة الدفع]]="تحويل",1,0)</f>
        <v>0</v>
      </c>
      <c r="Q955">
        <f>IF(Table1[[#This Row],[حضر التهيئة]]="نعم",1,0)</f>
        <v>1</v>
      </c>
      <c r="R955">
        <f>IF(Table1[[#This Row],[دورة الفوترة]]="شهري",1,0)</f>
        <v>1</v>
      </c>
    </row>
    <row r="956" spans="1:18" x14ac:dyDescent="0.25">
      <c r="A956" t="s">
        <v>976</v>
      </c>
      <c r="B956" s="1">
        <v>45349</v>
      </c>
      <c r="C956" t="s">
        <v>28</v>
      </c>
      <c r="D956">
        <v>39</v>
      </c>
      <c r="E956" t="s">
        <v>14</v>
      </c>
      <c r="F956">
        <v>8</v>
      </c>
      <c r="G956" t="s">
        <v>21</v>
      </c>
      <c r="H956">
        <v>0</v>
      </c>
      <c r="I956">
        <v>40</v>
      </c>
      <c r="J956">
        <v>0</v>
      </c>
      <c r="K956" t="s">
        <v>17</v>
      </c>
      <c r="L956" t="s">
        <v>17</v>
      </c>
      <c r="M956">
        <f>IF(Table1[[#This Row],[ألغى الاشتراك]]="نعم",1,0)</f>
        <v>0</v>
      </c>
      <c r="N956">
        <f>IF(Table1[[#This Row],[وسيلة الدفع]]="بطاقة",1,0)</f>
        <v>0</v>
      </c>
      <c r="O956">
        <f>IF(Table1[[#This Row],[وسيلة الدفع]]="محفظة",1,0)</f>
        <v>1</v>
      </c>
      <c r="P956">
        <f>IF(Table1[[#This Row],[وسيلة الدفع]]="تحويل",1,0)</f>
        <v>0</v>
      </c>
      <c r="Q956">
        <f>IF(Table1[[#This Row],[حضر التهيئة]]="نعم",1,0)</f>
        <v>0</v>
      </c>
      <c r="R956">
        <f>IF(Table1[[#This Row],[دورة الفوترة]]="شهري",1,0)</f>
        <v>1</v>
      </c>
    </row>
    <row r="957" spans="1:18" x14ac:dyDescent="0.25">
      <c r="A957" t="s">
        <v>977</v>
      </c>
      <c r="B957" s="1">
        <v>45728</v>
      </c>
      <c r="C957" t="s">
        <v>19</v>
      </c>
      <c r="D957">
        <v>189</v>
      </c>
      <c r="E957" t="s">
        <v>20</v>
      </c>
      <c r="F957">
        <v>3</v>
      </c>
      <c r="G957" t="s">
        <v>21</v>
      </c>
      <c r="H957">
        <v>1</v>
      </c>
      <c r="I957">
        <v>57</v>
      </c>
      <c r="J957">
        <v>0</v>
      </c>
      <c r="K957" t="s">
        <v>17</v>
      </c>
      <c r="L957" t="s">
        <v>17</v>
      </c>
      <c r="M957">
        <f>IF(Table1[[#This Row],[ألغى الاشتراك]]="نعم",1,0)</f>
        <v>0</v>
      </c>
      <c r="N957">
        <f>IF(Table1[[#This Row],[وسيلة الدفع]]="بطاقة",1,0)</f>
        <v>0</v>
      </c>
      <c r="O957">
        <f>IF(Table1[[#This Row],[وسيلة الدفع]]="محفظة",1,0)</f>
        <v>1</v>
      </c>
      <c r="P957">
        <f>IF(Table1[[#This Row],[وسيلة الدفع]]="تحويل",1,0)</f>
        <v>0</v>
      </c>
      <c r="Q957">
        <f>IF(Table1[[#This Row],[حضر التهيئة]]="نعم",1,0)</f>
        <v>0</v>
      </c>
      <c r="R957">
        <f>IF(Table1[[#This Row],[دورة الفوترة]]="شهري",1,0)</f>
        <v>0</v>
      </c>
    </row>
    <row r="958" spans="1:18" x14ac:dyDescent="0.25">
      <c r="A958" t="s">
        <v>978</v>
      </c>
      <c r="B958" s="1">
        <v>45525</v>
      </c>
      <c r="C958" t="s">
        <v>28</v>
      </c>
      <c r="D958">
        <v>39</v>
      </c>
      <c r="E958" t="s">
        <v>14</v>
      </c>
      <c r="F958">
        <v>6</v>
      </c>
      <c r="G958" t="s">
        <v>15</v>
      </c>
      <c r="H958">
        <v>2</v>
      </c>
      <c r="I958">
        <v>30</v>
      </c>
      <c r="J958">
        <v>0</v>
      </c>
      <c r="K958" t="s">
        <v>16</v>
      </c>
      <c r="L958" t="s">
        <v>17</v>
      </c>
      <c r="M958">
        <f>IF(Table1[[#This Row],[ألغى الاشتراك]]="نعم",1,0)</f>
        <v>0</v>
      </c>
      <c r="N958">
        <f>IF(Table1[[#This Row],[وسيلة الدفع]]="بطاقة",1,0)</f>
        <v>1</v>
      </c>
      <c r="O958">
        <f>IF(Table1[[#This Row],[وسيلة الدفع]]="محفظة",1,0)</f>
        <v>0</v>
      </c>
      <c r="P958">
        <f>IF(Table1[[#This Row],[وسيلة الدفع]]="تحويل",1,0)</f>
        <v>0</v>
      </c>
      <c r="Q958">
        <f>IF(Table1[[#This Row],[حضر التهيئة]]="نعم",1,0)</f>
        <v>1</v>
      </c>
      <c r="R958">
        <f>IF(Table1[[#This Row],[دورة الفوترة]]="شهري",1,0)</f>
        <v>1</v>
      </c>
    </row>
    <row r="959" spans="1:18" x14ac:dyDescent="0.25">
      <c r="A959" t="s">
        <v>979</v>
      </c>
      <c r="B959" s="1">
        <v>45914</v>
      </c>
      <c r="C959" t="s">
        <v>28</v>
      </c>
      <c r="D959">
        <v>39</v>
      </c>
      <c r="E959" t="s">
        <v>20</v>
      </c>
      <c r="F959">
        <v>9</v>
      </c>
      <c r="G959" t="s">
        <v>15</v>
      </c>
      <c r="H959">
        <v>10</v>
      </c>
      <c r="I959">
        <v>17</v>
      </c>
      <c r="J959">
        <v>0</v>
      </c>
      <c r="K959" t="s">
        <v>17</v>
      </c>
      <c r="L959" t="s">
        <v>17</v>
      </c>
      <c r="M959">
        <f>IF(Table1[[#This Row],[ألغى الاشتراك]]="نعم",1,0)</f>
        <v>0</v>
      </c>
      <c r="N959">
        <f>IF(Table1[[#This Row],[وسيلة الدفع]]="بطاقة",1,0)</f>
        <v>1</v>
      </c>
      <c r="O959">
        <f>IF(Table1[[#This Row],[وسيلة الدفع]]="محفظة",1,0)</f>
        <v>0</v>
      </c>
      <c r="P959">
        <f>IF(Table1[[#This Row],[وسيلة الدفع]]="تحويل",1,0)</f>
        <v>0</v>
      </c>
      <c r="Q959">
        <f>IF(Table1[[#This Row],[حضر التهيئة]]="نعم",1,0)</f>
        <v>0</v>
      </c>
      <c r="R959">
        <f>IF(Table1[[#This Row],[دورة الفوترة]]="شهري",1,0)</f>
        <v>0</v>
      </c>
    </row>
    <row r="960" spans="1:18" x14ac:dyDescent="0.25">
      <c r="A960" t="s">
        <v>980</v>
      </c>
      <c r="B960" s="1">
        <v>45736</v>
      </c>
      <c r="C960" t="s">
        <v>19</v>
      </c>
      <c r="D960">
        <v>189</v>
      </c>
      <c r="E960" t="s">
        <v>20</v>
      </c>
      <c r="F960">
        <v>8</v>
      </c>
      <c r="G960" t="s">
        <v>23</v>
      </c>
      <c r="H960">
        <v>2</v>
      </c>
      <c r="I960">
        <v>54</v>
      </c>
      <c r="J960">
        <v>15</v>
      </c>
      <c r="K960" t="s">
        <v>16</v>
      </c>
      <c r="L960" t="s">
        <v>17</v>
      </c>
      <c r="M960">
        <f>IF(Table1[[#This Row],[ألغى الاشتراك]]="نعم",1,0)</f>
        <v>0</v>
      </c>
      <c r="N960">
        <f>IF(Table1[[#This Row],[وسيلة الدفع]]="بطاقة",1,0)</f>
        <v>0</v>
      </c>
      <c r="O960">
        <f>IF(Table1[[#This Row],[وسيلة الدفع]]="محفظة",1,0)</f>
        <v>0</v>
      </c>
      <c r="P960">
        <f>IF(Table1[[#This Row],[وسيلة الدفع]]="تحويل",1,0)</f>
        <v>1</v>
      </c>
      <c r="Q960">
        <f>IF(Table1[[#This Row],[حضر التهيئة]]="نعم",1,0)</f>
        <v>1</v>
      </c>
      <c r="R960">
        <f>IF(Table1[[#This Row],[دورة الفوترة]]="شهري",1,0)</f>
        <v>0</v>
      </c>
    </row>
    <row r="961" spans="1:18" x14ac:dyDescent="0.25">
      <c r="A961" t="s">
        <v>981</v>
      </c>
      <c r="B961" s="1">
        <v>45517</v>
      </c>
      <c r="C961" t="s">
        <v>13</v>
      </c>
      <c r="D961">
        <v>89</v>
      </c>
      <c r="E961" t="s">
        <v>14</v>
      </c>
      <c r="F961">
        <v>24</v>
      </c>
      <c r="G961" t="s">
        <v>23</v>
      </c>
      <c r="H961">
        <v>1</v>
      </c>
      <c r="I961">
        <v>26</v>
      </c>
      <c r="J961">
        <v>0</v>
      </c>
      <c r="K961" t="s">
        <v>16</v>
      </c>
      <c r="L961" t="s">
        <v>17</v>
      </c>
      <c r="M961">
        <f>IF(Table1[[#This Row],[ألغى الاشتراك]]="نعم",1,0)</f>
        <v>0</v>
      </c>
      <c r="N961">
        <f>IF(Table1[[#This Row],[وسيلة الدفع]]="بطاقة",1,0)</f>
        <v>0</v>
      </c>
      <c r="O961">
        <f>IF(Table1[[#This Row],[وسيلة الدفع]]="محفظة",1,0)</f>
        <v>0</v>
      </c>
      <c r="P961">
        <f>IF(Table1[[#This Row],[وسيلة الدفع]]="تحويل",1,0)</f>
        <v>1</v>
      </c>
      <c r="Q961">
        <f>IF(Table1[[#This Row],[حضر التهيئة]]="نعم",1,0)</f>
        <v>1</v>
      </c>
      <c r="R961">
        <f>IF(Table1[[#This Row],[دورة الفوترة]]="شهري",1,0)</f>
        <v>1</v>
      </c>
    </row>
    <row r="962" spans="1:18" x14ac:dyDescent="0.25">
      <c r="A962" t="s">
        <v>982</v>
      </c>
      <c r="B962" s="1">
        <v>45663</v>
      </c>
      <c r="C962" t="s">
        <v>19</v>
      </c>
      <c r="D962">
        <v>189</v>
      </c>
      <c r="E962" t="s">
        <v>14</v>
      </c>
      <c r="F962">
        <v>3</v>
      </c>
      <c r="G962" t="s">
        <v>15</v>
      </c>
      <c r="H962">
        <v>1</v>
      </c>
      <c r="I962">
        <v>7</v>
      </c>
      <c r="J962">
        <v>0</v>
      </c>
      <c r="K962" t="s">
        <v>17</v>
      </c>
      <c r="L962" t="s">
        <v>16</v>
      </c>
      <c r="M962">
        <f>IF(Table1[[#This Row],[ألغى الاشتراك]]="نعم",1,0)</f>
        <v>1</v>
      </c>
      <c r="N962">
        <f>IF(Table1[[#This Row],[وسيلة الدفع]]="بطاقة",1,0)</f>
        <v>1</v>
      </c>
      <c r="O962">
        <f>IF(Table1[[#This Row],[وسيلة الدفع]]="محفظة",1,0)</f>
        <v>0</v>
      </c>
      <c r="P962">
        <f>IF(Table1[[#This Row],[وسيلة الدفع]]="تحويل",1,0)</f>
        <v>0</v>
      </c>
      <c r="Q962">
        <f>IF(Table1[[#This Row],[حضر التهيئة]]="نعم",1,0)</f>
        <v>0</v>
      </c>
      <c r="R962">
        <f>IF(Table1[[#This Row],[دورة الفوترة]]="شهري",1,0)</f>
        <v>1</v>
      </c>
    </row>
    <row r="963" spans="1:18" x14ac:dyDescent="0.25">
      <c r="A963" t="s">
        <v>983</v>
      </c>
      <c r="B963" s="1">
        <v>45572</v>
      </c>
      <c r="C963" t="s">
        <v>19</v>
      </c>
      <c r="D963">
        <v>189</v>
      </c>
      <c r="E963" t="s">
        <v>20</v>
      </c>
      <c r="F963">
        <v>2</v>
      </c>
      <c r="G963" t="s">
        <v>15</v>
      </c>
      <c r="H963">
        <v>2</v>
      </c>
      <c r="I963">
        <v>22</v>
      </c>
      <c r="J963">
        <v>0</v>
      </c>
      <c r="K963" t="s">
        <v>16</v>
      </c>
      <c r="L963" t="s">
        <v>17</v>
      </c>
      <c r="M963">
        <f>IF(Table1[[#This Row],[ألغى الاشتراك]]="نعم",1,0)</f>
        <v>0</v>
      </c>
      <c r="N963">
        <f>IF(Table1[[#This Row],[وسيلة الدفع]]="بطاقة",1,0)</f>
        <v>1</v>
      </c>
      <c r="O963">
        <f>IF(Table1[[#This Row],[وسيلة الدفع]]="محفظة",1,0)</f>
        <v>0</v>
      </c>
      <c r="P963">
        <f>IF(Table1[[#This Row],[وسيلة الدفع]]="تحويل",1,0)</f>
        <v>0</v>
      </c>
      <c r="Q963">
        <f>IF(Table1[[#This Row],[حضر التهيئة]]="نعم",1,0)</f>
        <v>1</v>
      </c>
      <c r="R963">
        <f>IF(Table1[[#This Row],[دورة الفوترة]]="شهري",1,0)</f>
        <v>0</v>
      </c>
    </row>
    <row r="964" spans="1:18" x14ac:dyDescent="0.25">
      <c r="A964" t="s">
        <v>984</v>
      </c>
      <c r="B964" s="1">
        <v>45728</v>
      </c>
      <c r="C964" t="s">
        <v>13</v>
      </c>
      <c r="D964">
        <v>89</v>
      </c>
      <c r="E964" t="s">
        <v>14</v>
      </c>
      <c r="F964">
        <v>15</v>
      </c>
      <c r="G964" t="s">
        <v>21</v>
      </c>
      <c r="H964">
        <v>5</v>
      </c>
      <c r="I964">
        <v>25</v>
      </c>
      <c r="J964">
        <v>0</v>
      </c>
      <c r="K964" t="s">
        <v>17</v>
      </c>
      <c r="L964" t="s">
        <v>17</v>
      </c>
      <c r="M964">
        <f>IF(Table1[[#This Row],[ألغى الاشتراك]]="نعم",1,0)</f>
        <v>0</v>
      </c>
      <c r="N964">
        <f>IF(Table1[[#This Row],[وسيلة الدفع]]="بطاقة",1,0)</f>
        <v>0</v>
      </c>
      <c r="O964">
        <f>IF(Table1[[#This Row],[وسيلة الدفع]]="محفظة",1,0)</f>
        <v>1</v>
      </c>
      <c r="P964">
        <f>IF(Table1[[#This Row],[وسيلة الدفع]]="تحويل",1,0)</f>
        <v>0</v>
      </c>
      <c r="Q964">
        <f>IF(Table1[[#This Row],[حضر التهيئة]]="نعم",1,0)</f>
        <v>0</v>
      </c>
      <c r="R964">
        <f>IF(Table1[[#This Row],[دورة الفوترة]]="شهري",1,0)</f>
        <v>1</v>
      </c>
    </row>
    <row r="965" spans="1:18" x14ac:dyDescent="0.25">
      <c r="A965" t="s">
        <v>985</v>
      </c>
      <c r="B965" s="1">
        <v>45779</v>
      </c>
      <c r="C965" t="s">
        <v>13</v>
      </c>
      <c r="D965">
        <v>89</v>
      </c>
      <c r="E965" t="s">
        <v>14</v>
      </c>
      <c r="F965">
        <v>22</v>
      </c>
      <c r="G965" t="s">
        <v>15</v>
      </c>
      <c r="H965">
        <v>1</v>
      </c>
      <c r="I965">
        <v>4</v>
      </c>
      <c r="J965">
        <v>5</v>
      </c>
      <c r="K965" t="s">
        <v>16</v>
      </c>
      <c r="L965" t="s">
        <v>17</v>
      </c>
      <c r="M965">
        <f>IF(Table1[[#This Row],[ألغى الاشتراك]]="نعم",1,0)</f>
        <v>0</v>
      </c>
      <c r="N965">
        <f>IF(Table1[[#This Row],[وسيلة الدفع]]="بطاقة",1,0)</f>
        <v>1</v>
      </c>
      <c r="O965">
        <f>IF(Table1[[#This Row],[وسيلة الدفع]]="محفظة",1,0)</f>
        <v>0</v>
      </c>
      <c r="P965">
        <f>IF(Table1[[#This Row],[وسيلة الدفع]]="تحويل",1,0)</f>
        <v>0</v>
      </c>
      <c r="Q965">
        <f>IF(Table1[[#This Row],[حضر التهيئة]]="نعم",1,0)</f>
        <v>1</v>
      </c>
      <c r="R965">
        <f>IF(Table1[[#This Row],[دورة الفوترة]]="شهري",1,0)</f>
        <v>1</v>
      </c>
    </row>
    <row r="966" spans="1:18" x14ac:dyDescent="0.25">
      <c r="A966" t="s">
        <v>986</v>
      </c>
      <c r="B966" s="1">
        <v>45584</v>
      </c>
      <c r="C966" t="s">
        <v>28</v>
      </c>
      <c r="D966">
        <v>39</v>
      </c>
      <c r="E966" t="s">
        <v>14</v>
      </c>
      <c r="F966">
        <v>16</v>
      </c>
      <c r="G966" t="s">
        <v>21</v>
      </c>
      <c r="H966">
        <v>1</v>
      </c>
      <c r="I966">
        <v>34</v>
      </c>
      <c r="J966">
        <v>0</v>
      </c>
      <c r="K966" t="s">
        <v>16</v>
      </c>
      <c r="L966" t="s">
        <v>17</v>
      </c>
      <c r="M966">
        <f>IF(Table1[[#This Row],[ألغى الاشتراك]]="نعم",1,0)</f>
        <v>0</v>
      </c>
      <c r="N966">
        <f>IF(Table1[[#This Row],[وسيلة الدفع]]="بطاقة",1,0)</f>
        <v>0</v>
      </c>
      <c r="O966">
        <f>IF(Table1[[#This Row],[وسيلة الدفع]]="محفظة",1,0)</f>
        <v>1</v>
      </c>
      <c r="P966">
        <f>IF(Table1[[#This Row],[وسيلة الدفع]]="تحويل",1,0)</f>
        <v>0</v>
      </c>
      <c r="Q966">
        <f>IF(Table1[[#This Row],[حضر التهيئة]]="نعم",1,0)</f>
        <v>1</v>
      </c>
      <c r="R966">
        <f>IF(Table1[[#This Row],[دورة الفوترة]]="شهري",1,0)</f>
        <v>1</v>
      </c>
    </row>
    <row r="967" spans="1:18" x14ac:dyDescent="0.25">
      <c r="A967" t="s">
        <v>987</v>
      </c>
      <c r="B967" s="1">
        <v>45842</v>
      </c>
      <c r="C967" t="s">
        <v>19</v>
      </c>
      <c r="D967">
        <v>189</v>
      </c>
      <c r="E967" t="s">
        <v>14</v>
      </c>
      <c r="F967">
        <v>7</v>
      </c>
      <c r="G967" t="s">
        <v>21</v>
      </c>
      <c r="H967">
        <v>0</v>
      </c>
      <c r="I967">
        <v>57</v>
      </c>
      <c r="J967">
        <v>0</v>
      </c>
      <c r="K967" t="s">
        <v>17</v>
      </c>
      <c r="L967" t="s">
        <v>17</v>
      </c>
      <c r="M967">
        <f>IF(Table1[[#This Row],[ألغى الاشتراك]]="نعم",1,0)</f>
        <v>0</v>
      </c>
      <c r="N967">
        <f>IF(Table1[[#This Row],[وسيلة الدفع]]="بطاقة",1,0)</f>
        <v>0</v>
      </c>
      <c r="O967">
        <f>IF(Table1[[#This Row],[وسيلة الدفع]]="محفظة",1,0)</f>
        <v>1</v>
      </c>
      <c r="P967">
        <f>IF(Table1[[#This Row],[وسيلة الدفع]]="تحويل",1,0)</f>
        <v>0</v>
      </c>
      <c r="Q967">
        <f>IF(Table1[[#This Row],[حضر التهيئة]]="نعم",1,0)</f>
        <v>0</v>
      </c>
      <c r="R967">
        <f>IF(Table1[[#This Row],[دورة الفوترة]]="شهري",1,0)</f>
        <v>1</v>
      </c>
    </row>
    <row r="968" spans="1:18" x14ac:dyDescent="0.25">
      <c r="A968" t="s">
        <v>988</v>
      </c>
      <c r="B968" s="1">
        <v>45799</v>
      </c>
      <c r="C968" t="s">
        <v>13</v>
      </c>
      <c r="D968">
        <v>89</v>
      </c>
      <c r="E968" t="s">
        <v>14</v>
      </c>
      <c r="F968">
        <v>28</v>
      </c>
      <c r="G968" t="s">
        <v>15</v>
      </c>
      <c r="H968">
        <v>2</v>
      </c>
      <c r="I968">
        <v>54</v>
      </c>
      <c r="J968">
        <v>5</v>
      </c>
      <c r="K968" t="s">
        <v>17</v>
      </c>
      <c r="L968" t="s">
        <v>17</v>
      </c>
      <c r="M968">
        <f>IF(Table1[[#This Row],[ألغى الاشتراك]]="نعم",1,0)</f>
        <v>0</v>
      </c>
      <c r="N968">
        <f>IF(Table1[[#This Row],[وسيلة الدفع]]="بطاقة",1,0)</f>
        <v>1</v>
      </c>
      <c r="O968">
        <f>IF(Table1[[#This Row],[وسيلة الدفع]]="محفظة",1,0)</f>
        <v>0</v>
      </c>
      <c r="P968">
        <f>IF(Table1[[#This Row],[وسيلة الدفع]]="تحويل",1,0)</f>
        <v>0</v>
      </c>
      <c r="Q968">
        <f>IF(Table1[[#This Row],[حضر التهيئة]]="نعم",1,0)</f>
        <v>0</v>
      </c>
      <c r="R968">
        <f>IF(Table1[[#This Row],[دورة الفوترة]]="شهري",1,0)</f>
        <v>1</v>
      </c>
    </row>
    <row r="969" spans="1:18" x14ac:dyDescent="0.25">
      <c r="A969" t="s">
        <v>989</v>
      </c>
      <c r="B969" s="1">
        <v>45981</v>
      </c>
      <c r="C969" t="s">
        <v>19</v>
      </c>
      <c r="D969">
        <v>189</v>
      </c>
      <c r="E969" t="s">
        <v>14</v>
      </c>
      <c r="F969">
        <v>4</v>
      </c>
      <c r="G969" t="s">
        <v>15</v>
      </c>
      <c r="H969">
        <v>2</v>
      </c>
      <c r="I969">
        <v>38</v>
      </c>
      <c r="J969">
        <v>15</v>
      </c>
      <c r="K969" t="s">
        <v>16</v>
      </c>
      <c r="L969" t="s">
        <v>17</v>
      </c>
      <c r="M969">
        <f>IF(Table1[[#This Row],[ألغى الاشتراك]]="نعم",1,0)</f>
        <v>0</v>
      </c>
      <c r="N969">
        <f>IF(Table1[[#This Row],[وسيلة الدفع]]="بطاقة",1,0)</f>
        <v>1</v>
      </c>
      <c r="O969">
        <f>IF(Table1[[#This Row],[وسيلة الدفع]]="محفظة",1,0)</f>
        <v>0</v>
      </c>
      <c r="P969">
        <f>IF(Table1[[#This Row],[وسيلة الدفع]]="تحويل",1,0)</f>
        <v>0</v>
      </c>
      <c r="Q969">
        <f>IF(Table1[[#This Row],[حضر التهيئة]]="نعم",1,0)</f>
        <v>1</v>
      </c>
      <c r="R969">
        <f>IF(Table1[[#This Row],[دورة الفوترة]]="شهري",1,0)</f>
        <v>1</v>
      </c>
    </row>
    <row r="970" spans="1:18" x14ac:dyDescent="0.25">
      <c r="A970" t="s">
        <v>990</v>
      </c>
      <c r="B970" s="1">
        <v>45635</v>
      </c>
      <c r="C970" t="s">
        <v>13</v>
      </c>
      <c r="D970">
        <v>89</v>
      </c>
      <c r="E970" t="s">
        <v>14</v>
      </c>
      <c r="F970">
        <v>14</v>
      </c>
      <c r="G970" t="s">
        <v>23</v>
      </c>
      <c r="H970">
        <v>2</v>
      </c>
      <c r="I970">
        <v>14</v>
      </c>
      <c r="J970">
        <v>0</v>
      </c>
      <c r="K970" t="s">
        <v>16</v>
      </c>
      <c r="L970" t="s">
        <v>17</v>
      </c>
      <c r="M970">
        <f>IF(Table1[[#This Row],[ألغى الاشتراك]]="نعم",1,0)</f>
        <v>0</v>
      </c>
      <c r="N970">
        <f>IF(Table1[[#This Row],[وسيلة الدفع]]="بطاقة",1,0)</f>
        <v>0</v>
      </c>
      <c r="O970">
        <f>IF(Table1[[#This Row],[وسيلة الدفع]]="محفظة",1,0)</f>
        <v>0</v>
      </c>
      <c r="P970">
        <f>IF(Table1[[#This Row],[وسيلة الدفع]]="تحويل",1,0)</f>
        <v>1</v>
      </c>
      <c r="Q970">
        <f>IF(Table1[[#This Row],[حضر التهيئة]]="نعم",1,0)</f>
        <v>1</v>
      </c>
      <c r="R970">
        <f>IF(Table1[[#This Row],[دورة الفوترة]]="شهري",1,0)</f>
        <v>1</v>
      </c>
    </row>
    <row r="971" spans="1:18" x14ac:dyDescent="0.25">
      <c r="A971" t="s">
        <v>991</v>
      </c>
      <c r="B971" s="1">
        <v>45345</v>
      </c>
      <c r="C971" t="s">
        <v>28</v>
      </c>
      <c r="D971">
        <v>39</v>
      </c>
      <c r="E971" t="s">
        <v>14</v>
      </c>
      <c r="F971">
        <v>3</v>
      </c>
      <c r="G971" t="s">
        <v>23</v>
      </c>
      <c r="H971">
        <v>5</v>
      </c>
      <c r="I971">
        <v>51</v>
      </c>
      <c r="J971">
        <v>10</v>
      </c>
      <c r="K971" t="s">
        <v>16</v>
      </c>
      <c r="L971" t="s">
        <v>17</v>
      </c>
      <c r="M971">
        <f>IF(Table1[[#This Row],[ألغى الاشتراك]]="نعم",1,0)</f>
        <v>0</v>
      </c>
      <c r="N971">
        <f>IF(Table1[[#This Row],[وسيلة الدفع]]="بطاقة",1,0)</f>
        <v>0</v>
      </c>
      <c r="O971">
        <f>IF(Table1[[#This Row],[وسيلة الدفع]]="محفظة",1,0)</f>
        <v>0</v>
      </c>
      <c r="P971">
        <f>IF(Table1[[#This Row],[وسيلة الدفع]]="تحويل",1,0)</f>
        <v>1</v>
      </c>
      <c r="Q971">
        <f>IF(Table1[[#This Row],[حضر التهيئة]]="نعم",1,0)</f>
        <v>1</v>
      </c>
      <c r="R971">
        <f>IF(Table1[[#This Row],[دورة الفوترة]]="شهري",1,0)</f>
        <v>1</v>
      </c>
    </row>
    <row r="972" spans="1:18" x14ac:dyDescent="0.25">
      <c r="A972" t="s">
        <v>992</v>
      </c>
      <c r="B972" s="1">
        <v>45985</v>
      </c>
      <c r="C972" t="s">
        <v>19</v>
      </c>
      <c r="D972">
        <v>189</v>
      </c>
      <c r="E972" t="s">
        <v>14</v>
      </c>
      <c r="F972">
        <v>15</v>
      </c>
      <c r="G972" t="s">
        <v>23</v>
      </c>
      <c r="H972">
        <v>10</v>
      </c>
      <c r="I972">
        <v>35</v>
      </c>
      <c r="J972">
        <v>0</v>
      </c>
      <c r="K972" t="s">
        <v>16</v>
      </c>
      <c r="L972" t="s">
        <v>17</v>
      </c>
      <c r="M972">
        <f>IF(Table1[[#This Row],[ألغى الاشتراك]]="نعم",1,0)</f>
        <v>0</v>
      </c>
      <c r="N972">
        <f>IF(Table1[[#This Row],[وسيلة الدفع]]="بطاقة",1,0)</f>
        <v>0</v>
      </c>
      <c r="O972">
        <f>IF(Table1[[#This Row],[وسيلة الدفع]]="محفظة",1,0)</f>
        <v>0</v>
      </c>
      <c r="P972">
        <f>IF(Table1[[#This Row],[وسيلة الدفع]]="تحويل",1,0)</f>
        <v>1</v>
      </c>
      <c r="Q972">
        <f>IF(Table1[[#This Row],[حضر التهيئة]]="نعم",1,0)</f>
        <v>1</v>
      </c>
      <c r="R972">
        <f>IF(Table1[[#This Row],[دورة الفوترة]]="شهري",1,0)</f>
        <v>1</v>
      </c>
    </row>
    <row r="973" spans="1:18" x14ac:dyDescent="0.25">
      <c r="A973" t="s">
        <v>993</v>
      </c>
      <c r="B973" s="1">
        <v>45383</v>
      </c>
      <c r="C973" t="s">
        <v>19</v>
      </c>
      <c r="D973">
        <v>189</v>
      </c>
      <c r="E973" t="s">
        <v>14</v>
      </c>
      <c r="F973">
        <v>16</v>
      </c>
      <c r="G973" t="s">
        <v>23</v>
      </c>
      <c r="H973">
        <v>2</v>
      </c>
      <c r="I973">
        <v>34</v>
      </c>
      <c r="J973">
        <v>0</v>
      </c>
      <c r="K973" t="s">
        <v>17</v>
      </c>
      <c r="L973" t="s">
        <v>17</v>
      </c>
      <c r="M973">
        <f>IF(Table1[[#This Row],[ألغى الاشتراك]]="نعم",1,0)</f>
        <v>0</v>
      </c>
      <c r="N973">
        <f>IF(Table1[[#This Row],[وسيلة الدفع]]="بطاقة",1,0)</f>
        <v>0</v>
      </c>
      <c r="O973">
        <f>IF(Table1[[#This Row],[وسيلة الدفع]]="محفظة",1,0)</f>
        <v>0</v>
      </c>
      <c r="P973">
        <f>IF(Table1[[#This Row],[وسيلة الدفع]]="تحويل",1,0)</f>
        <v>1</v>
      </c>
      <c r="Q973">
        <f>IF(Table1[[#This Row],[حضر التهيئة]]="نعم",1,0)</f>
        <v>0</v>
      </c>
      <c r="R973">
        <f>IF(Table1[[#This Row],[دورة الفوترة]]="شهري",1,0)</f>
        <v>1</v>
      </c>
    </row>
    <row r="974" spans="1:18" x14ac:dyDescent="0.25">
      <c r="A974" t="s">
        <v>994</v>
      </c>
      <c r="B974" s="1">
        <v>45671</v>
      </c>
      <c r="C974" t="s">
        <v>28</v>
      </c>
      <c r="D974">
        <v>39</v>
      </c>
      <c r="E974" t="s">
        <v>14</v>
      </c>
      <c r="F974">
        <v>3</v>
      </c>
      <c r="G974" t="s">
        <v>23</v>
      </c>
      <c r="H974">
        <v>9</v>
      </c>
      <c r="I974">
        <v>35</v>
      </c>
      <c r="J974">
        <v>0</v>
      </c>
      <c r="K974" t="s">
        <v>17</v>
      </c>
      <c r="L974" t="s">
        <v>17</v>
      </c>
      <c r="M974">
        <f>IF(Table1[[#This Row],[ألغى الاشتراك]]="نعم",1,0)</f>
        <v>0</v>
      </c>
      <c r="N974">
        <f>IF(Table1[[#This Row],[وسيلة الدفع]]="بطاقة",1,0)</f>
        <v>0</v>
      </c>
      <c r="O974">
        <f>IF(Table1[[#This Row],[وسيلة الدفع]]="محفظة",1,0)</f>
        <v>0</v>
      </c>
      <c r="P974">
        <f>IF(Table1[[#This Row],[وسيلة الدفع]]="تحويل",1,0)</f>
        <v>1</v>
      </c>
      <c r="Q974">
        <f>IF(Table1[[#This Row],[حضر التهيئة]]="نعم",1,0)</f>
        <v>0</v>
      </c>
      <c r="R974">
        <f>IF(Table1[[#This Row],[دورة الفوترة]]="شهري",1,0)</f>
        <v>1</v>
      </c>
    </row>
    <row r="975" spans="1:18" x14ac:dyDescent="0.25">
      <c r="A975" t="s">
        <v>995</v>
      </c>
      <c r="B975" s="1">
        <v>45977</v>
      </c>
      <c r="C975" t="s">
        <v>13</v>
      </c>
      <c r="D975">
        <v>89</v>
      </c>
      <c r="E975" t="s">
        <v>14</v>
      </c>
      <c r="F975">
        <v>28</v>
      </c>
      <c r="G975" t="s">
        <v>21</v>
      </c>
      <c r="H975">
        <v>2</v>
      </c>
      <c r="I975">
        <v>18</v>
      </c>
      <c r="J975">
        <v>15</v>
      </c>
      <c r="K975" t="s">
        <v>16</v>
      </c>
      <c r="L975" t="s">
        <v>17</v>
      </c>
      <c r="M975">
        <f>IF(Table1[[#This Row],[ألغى الاشتراك]]="نعم",1,0)</f>
        <v>0</v>
      </c>
      <c r="N975">
        <f>IF(Table1[[#This Row],[وسيلة الدفع]]="بطاقة",1,0)</f>
        <v>0</v>
      </c>
      <c r="O975">
        <f>IF(Table1[[#This Row],[وسيلة الدفع]]="محفظة",1,0)</f>
        <v>1</v>
      </c>
      <c r="P975">
        <f>IF(Table1[[#This Row],[وسيلة الدفع]]="تحويل",1,0)</f>
        <v>0</v>
      </c>
      <c r="Q975">
        <f>IF(Table1[[#This Row],[حضر التهيئة]]="نعم",1,0)</f>
        <v>1</v>
      </c>
      <c r="R975">
        <f>IF(Table1[[#This Row],[دورة الفوترة]]="شهري",1,0)</f>
        <v>1</v>
      </c>
    </row>
    <row r="976" spans="1:18" x14ac:dyDescent="0.25">
      <c r="A976" t="s">
        <v>996</v>
      </c>
      <c r="B976" s="1">
        <v>45639</v>
      </c>
      <c r="C976" t="s">
        <v>13</v>
      </c>
      <c r="D976">
        <v>89</v>
      </c>
      <c r="E976" t="s">
        <v>14</v>
      </c>
      <c r="F976">
        <v>2</v>
      </c>
      <c r="G976" t="s">
        <v>23</v>
      </c>
      <c r="H976">
        <v>1</v>
      </c>
      <c r="I976">
        <v>56</v>
      </c>
      <c r="J976">
        <v>0</v>
      </c>
      <c r="K976" t="s">
        <v>17</v>
      </c>
      <c r="L976" t="s">
        <v>17</v>
      </c>
      <c r="M976">
        <f>IF(Table1[[#This Row],[ألغى الاشتراك]]="نعم",1,0)</f>
        <v>0</v>
      </c>
      <c r="N976">
        <f>IF(Table1[[#This Row],[وسيلة الدفع]]="بطاقة",1,0)</f>
        <v>0</v>
      </c>
      <c r="O976">
        <f>IF(Table1[[#This Row],[وسيلة الدفع]]="محفظة",1,0)</f>
        <v>0</v>
      </c>
      <c r="P976">
        <f>IF(Table1[[#This Row],[وسيلة الدفع]]="تحويل",1,0)</f>
        <v>1</v>
      </c>
      <c r="Q976">
        <f>IF(Table1[[#This Row],[حضر التهيئة]]="نعم",1,0)</f>
        <v>0</v>
      </c>
      <c r="R976">
        <f>IF(Table1[[#This Row],[دورة الفوترة]]="شهري",1,0)</f>
        <v>1</v>
      </c>
    </row>
    <row r="977" spans="1:18" x14ac:dyDescent="0.25">
      <c r="A977" t="s">
        <v>997</v>
      </c>
      <c r="B977" s="1">
        <v>45659</v>
      </c>
      <c r="C977" t="s">
        <v>19</v>
      </c>
      <c r="D977">
        <v>189</v>
      </c>
      <c r="E977" t="s">
        <v>14</v>
      </c>
      <c r="F977">
        <v>23</v>
      </c>
      <c r="G977" t="s">
        <v>15</v>
      </c>
      <c r="H977">
        <v>0</v>
      </c>
      <c r="I977">
        <v>9</v>
      </c>
      <c r="J977">
        <v>0</v>
      </c>
      <c r="K977" t="s">
        <v>16</v>
      </c>
      <c r="L977" t="s">
        <v>17</v>
      </c>
      <c r="M977">
        <f>IF(Table1[[#This Row],[ألغى الاشتراك]]="نعم",1,0)</f>
        <v>0</v>
      </c>
      <c r="N977">
        <f>IF(Table1[[#This Row],[وسيلة الدفع]]="بطاقة",1,0)</f>
        <v>1</v>
      </c>
      <c r="O977">
        <f>IF(Table1[[#This Row],[وسيلة الدفع]]="محفظة",1,0)</f>
        <v>0</v>
      </c>
      <c r="P977">
        <f>IF(Table1[[#This Row],[وسيلة الدفع]]="تحويل",1,0)</f>
        <v>0</v>
      </c>
      <c r="Q977">
        <f>IF(Table1[[#This Row],[حضر التهيئة]]="نعم",1,0)</f>
        <v>1</v>
      </c>
      <c r="R977">
        <f>IF(Table1[[#This Row],[دورة الفوترة]]="شهري",1,0)</f>
        <v>1</v>
      </c>
    </row>
    <row r="978" spans="1:18" x14ac:dyDescent="0.25">
      <c r="A978" t="s">
        <v>998</v>
      </c>
      <c r="B978" s="1">
        <v>45446</v>
      </c>
      <c r="C978" t="s">
        <v>28</v>
      </c>
      <c r="D978">
        <v>39</v>
      </c>
      <c r="E978" t="s">
        <v>14</v>
      </c>
      <c r="F978">
        <v>8</v>
      </c>
      <c r="G978" t="s">
        <v>15</v>
      </c>
      <c r="H978">
        <v>10</v>
      </c>
      <c r="I978">
        <v>54</v>
      </c>
      <c r="J978">
        <v>0</v>
      </c>
      <c r="K978" t="s">
        <v>16</v>
      </c>
      <c r="L978" t="s">
        <v>17</v>
      </c>
      <c r="M978">
        <f>IF(Table1[[#This Row],[ألغى الاشتراك]]="نعم",1,0)</f>
        <v>0</v>
      </c>
      <c r="N978">
        <f>IF(Table1[[#This Row],[وسيلة الدفع]]="بطاقة",1,0)</f>
        <v>1</v>
      </c>
      <c r="O978">
        <f>IF(Table1[[#This Row],[وسيلة الدفع]]="محفظة",1,0)</f>
        <v>0</v>
      </c>
      <c r="P978">
        <f>IF(Table1[[#This Row],[وسيلة الدفع]]="تحويل",1,0)</f>
        <v>0</v>
      </c>
      <c r="Q978">
        <f>IF(Table1[[#This Row],[حضر التهيئة]]="نعم",1,0)</f>
        <v>1</v>
      </c>
      <c r="R978">
        <f>IF(Table1[[#This Row],[دورة الفوترة]]="شهري",1,0)</f>
        <v>1</v>
      </c>
    </row>
    <row r="979" spans="1:18" x14ac:dyDescent="0.25">
      <c r="A979" t="s">
        <v>999</v>
      </c>
      <c r="B979" s="1">
        <v>45740</v>
      </c>
      <c r="C979" t="s">
        <v>28</v>
      </c>
      <c r="D979">
        <v>39</v>
      </c>
      <c r="E979" t="s">
        <v>20</v>
      </c>
      <c r="F979">
        <v>7</v>
      </c>
      <c r="G979" t="s">
        <v>15</v>
      </c>
      <c r="H979">
        <v>2</v>
      </c>
      <c r="I979">
        <v>57</v>
      </c>
      <c r="J979">
        <v>0</v>
      </c>
      <c r="K979" t="s">
        <v>17</v>
      </c>
      <c r="L979" t="s">
        <v>16</v>
      </c>
      <c r="M979">
        <f>IF(Table1[[#This Row],[ألغى الاشتراك]]="نعم",1,0)</f>
        <v>1</v>
      </c>
      <c r="N979">
        <f>IF(Table1[[#This Row],[وسيلة الدفع]]="بطاقة",1,0)</f>
        <v>1</v>
      </c>
      <c r="O979">
        <f>IF(Table1[[#This Row],[وسيلة الدفع]]="محفظة",1,0)</f>
        <v>0</v>
      </c>
      <c r="P979">
        <f>IF(Table1[[#This Row],[وسيلة الدفع]]="تحويل",1,0)</f>
        <v>0</v>
      </c>
      <c r="Q979">
        <f>IF(Table1[[#This Row],[حضر التهيئة]]="نعم",1,0)</f>
        <v>0</v>
      </c>
      <c r="R979">
        <f>IF(Table1[[#This Row],[دورة الفوترة]]="شهري",1,0)</f>
        <v>0</v>
      </c>
    </row>
    <row r="980" spans="1:18" x14ac:dyDescent="0.25">
      <c r="A980" t="s">
        <v>1000</v>
      </c>
      <c r="B980" s="1">
        <v>45525</v>
      </c>
      <c r="C980" t="s">
        <v>28</v>
      </c>
      <c r="D980">
        <v>39</v>
      </c>
      <c r="E980" t="s">
        <v>14</v>
      </c>
      <c r="F980">
        <v>28</v>
      </c>
      <c r="G980" t="s">
        <v>21</v>
      </c>
      <c r="H980">
        <v>0</v>
      </c>
      <c r="I980">
        <v>40</v>
      </c>
      <c r="J980">
        <v>0</v>
      </c>
      <c r="K980" t="s">
        <v>16</v>
      </c>
      <c r="L980" t="s">
        <v>17</v>
      </c>
      <c r="M980">
        <f>IF(Table1[[#This Row],[ألغى الاشتراك]]="نعم",1,0)</f>
        <v>0</v>
      </c>
      <c r="N980">
        <f>IF(Table1[[#This Row],[وسيلة الدفع]]="بطاقة",1,0)</f>
        <v>0</v>
      </c>
      <c r="O980">
        <f>IF(Table1[[#This Row],[وسيلة الدفع]]="محفظة",1,0)</f>
        <v>1</v>
      </c>
      <c r="P980">
        <f>IF(Table1[[#This Row],[وسيلة الدفع]]="تحويل",1,0)</f>
        <v>0</v>
      </c>
      <c r="Q980">
        <f>IF(Table1[[#This Row],[حضر التهيئة]]="نعم",1,0)</f>
        <v>1</v>
      </c>
      <c r="R980">
        <f>IF(Table1[[#This Row],[دورة الفوترة]]="شهري",1,0)</f>
        <v>1</v>
      </c>
    </row>
    <row r="981" spans="1:18" x14ac:dyDescent="0.25">
      <c r="A981" t="s">
        <v>1001</v>
      </c>
      <c r="B981" s="1">
        <v>45659</v>
      </c>
      <c r="C981" t="s">
        <v>19</v>
      </c>
      <c r="D981">
        <v>189</v>
      </c>
      <c r="E981" t="s">
        <v>20</v>
      </c>
      <c r="F981">
        <v>23</v>
      </c>
      <c r="G981" t="s">
        <v>21</v>
      </c>
      <c r="H981">
        <v>2</v>
      </c>
      <c r="I981">
        <v>45</v>
      </c>
      <c r="J981">
        <v>0</v>
      </c>
      <c r="K981" t="s">
        <v>16</v>
      </c>
      <c r="L981" t="s">
        <v>17</v>
      </c>
      <c r="M981">
        <f>IF(Table1[[#This Row],[ألغى الاشتراك]]="نعم",1,0)</f>
        <v>0</v>
      </c>
      <c r="N981">
        <f>IF(Table1[[#This Row],[وسيلة الدفع]]="بطاقة",1,0)</f>
        <v>0</v>
      </c>
      <c r="O981">
        <f>IF(Table1[[#This Row],[وسيلة الدفع]]="محفظة",1,0)</f>
        <v>1</v>
      </c>
      <c r="P981">
        <f>IF(Table1[[#This Row],[وسيلة الدفع]]="تحويل",1,0)</f>
        <v>0</v>
      </c>
      <c r="Q981">
        <f>IF(Table1[[#This Row],[حضر التهيئة]]="نعم",1,0)</f>
        <v>1</v>
      </c>
      <c r="R981">
        <f>IF(Table1[[#This Row],[دورة الفوترة]]="شهري",1,0)</f>
        <v>0</v>
      </c>
    </row>
    <row r="982" spans="1:18" x14ac:dyDescent="0.25">
      <c r="A982" t="s">
        <v>1002</v>
      </c>
      <c r="B982" s="1">
        <v>45450</v>
      </c>
      <c r="C982" t="s">
        <v>28</v>
      </c>
      <c r="D982">
        <v>39</v>
      </c>
      <c r="E982" t="s">
        <v>14</v>
      </c>
      <c r="F982">
        <v>30</v>
      </c>
      <c r="G982" t="s">
        <v>23</v>
      </c>
      <c r="H982">
        <v>2</v>
      </c>
      <c r="I982">
        <v>52</v>
      </c>
      <c r="J982">
        <v>0</v>
      </c>
      <c r="K982" t="s">
        <v>17</v>
      </c>
      <c r="L982" t="s">
        <v>17</v>
      </c>
      <c r="M982">
        <f>IF(Table1[[#This Row],[ألغى الاشتراك]]="نعم",1,0)</f>
        <v>0</v>
      </c>
      <c r="N982">
        <f>IF(Table1[[#This Row],[وسيلة الدفع]]="بطاقة",1,0)</f>
        <v>0</v>
      </c>
      <c r="O982">
        <f>IF(Table1[[#This Row],[وسيلة الدفع]]="محفظة",1,0)</f>
        <v>0</v>
      </c>
      <c r="P982">
        <f>IF(Table1[[#This Row],[وسيلة الدفع]]="تحويل",1,0)</f>
        <v>1</v>
      </c>
      <c r="Q982">
        <f>IF(Table1[[#This Row],[حضر التهيئة]]="نعم",1,0)</f>
        <v>0</v>
      </c>
      <c r="R982">
        <f>IF(Table1[[#This Row],[دورة الفوترة]]="شهري",1,0)</f>
        <v>1</v>
      </c>
    </row>
    <row r="983" spans="1:18" x14ac:dyDescent="0.25">
      <c r="A983" t="s">
        <v>1003</v>
      </c>
      <c r="B983" s="1">
        <v>45989</v>
      </c>
      <c r="C983" t="s">
        <v>28</v>
      </c>
      <c r="D983">
        <v>39</v>
      </c>
      <c r="E983" t="s">
        <v>20</v>
      </c>
      <c r="F983">
        <v>29</v>
      </c>
      <c r="G983" t="s">
        <v>15</v>
      </c>
      <c r="H983">
        <v>2</v>
      </c>
      <c r="I983">
        <v>53</v>
      </c>
      <c r="J983">
        <v>0</v>
      </c>
      <c r="K983" t="s">
        <v>17</v>
      </c>
      <c r="L983" t="s">
        <v>17</v>
      </c>
      <c r="M983">
        <f>IF(Table1[[#This Row],[ألغى الاشتراك]]="نعم",1,0)</f>
        <v>0</v>
      </c>
      <c r="N983">
        <f>IF(Table1[[#This Row],[وسيلة الدفع]]="بطاقة",1,0)</f>
        <v>1</v>
      </c>
      <c r="O983">
        <f>IF(Table1[[#This Row],[وسيلة الدفع]]="محفظة",1,0)</f>
        <v>0</v>
      </c>
      <c r="P983">
        <f>IF(Table1[[#This Row],[وسيلة الدفع]]="تحويل",1,0)</f>
        <v>0</v>
      </c>
      <c r="Q983">
        <f>IF(Table1[[#This Row],[حضر التهيئة]]="نعم",1,0)</f>
        <v>0</v>
      </c>
      <c r="R983">
        <f>IF(Table1[[#This Row],[دورة الفوترة]]="شهري",1,0)</f>
        <v>0</v>
      </c>
    </row>
    <row r="984" spans="1:18" x14ac:dyDescent="0.25">
      <c r="A984" t="s">
        <v>1004</v>
      </c>
      <c r="B984" s="1">
        <v>45639</v>
      </c>
      <c r="C984" t="s">
        <v>28</v>
      </c>
      <c r="D984">
        <v>39</v>
      </c>
      <c r="E984" t="s">
        <v>20</v>
      </c>
      <c r="F984">
        <v>26</v>
      </c>
      <c r="G984" t="s">
        <v>23</v>
      </c>
      <c r="H984">
        <v>11</v>
      </c>
      <c r="I984">
        <v>26</v>
      </c>
      <c r="J984">
        <v>0</v>
      </c>
      <c r="K984" t="s">
        <v>16</v>
      </c>
      <c r="L984" t="s">
        <v>16</v>
      </c>
      <c r="M984">
        <f>IF(Table1[[#This Row],[ألغى الاشتراك]]="نعم",1,0)</f>
        <v>1</v>
      </c>
      <c r="N984">
        <f>IF(Table1[[#This Row],[وسيلة الدفع]]="بطاقة",1,0)</f>
        <v>0</v>
      </c>
      <c r="O984">
        <f>IF(Table1[[#This Row],[وسيلة الدفع]]="محفظة",1,0)</f>
        <v>0</v>
      </c>
      <c r="P984">
        <f>IF(Table1[[#This Row],[وسيلة الدفع]]="تحويل",1,0)</f>
        <v>1</v>
      </c>
      <c r="Q984">
        <f>IF(Table1[[#This Row],[حضر التهيئة]]="نعم",1,0)</f>
        <v>1</v>
      </c>
      <c r="R984">
        <f>IF(Table1[[#This Row],[دورة الفوترة]]="شهري",1,0)</f>
        <v>0</v>
      </c>
    </row>
    <row r="985" spans="1:18" x14ac:dyDescent="0.25">
      <c r="A985" t="s">
        <v>1005</v>
      </c>
      <c r="B985" s="1">
        <v>45568</v>
      </c>
      <c r="C985" t="s">
        <v>19</v>
      </c>
      <c r="D985">
        <v>189</v>
      </c>
      <c r="E985" t="s">
        <v>14</v>
      </c>
      <c r="F985">
        <v>3</v>
      </c>
      <c r="G985" t="s">
        <v>23</v>
      </c>
      <c r="H985">
        <v>11</v>
      </c>
      <c r="I985">
        <v>15</v>
      </c>
      <c r="J985">
        <v>10</v>
      </c>
      <c r="K985" t="s">
        <v>17</v>
      </c>
      <c r="L985" t="s">
        <v>17</v>
      </c>
      <c r="M985">
        <f>IF(Table1[[#This Row],[ألغى الاشتراك]]="نعم",1,0)</f>
        <v>0</v>
      </c>
      <c r="N985">
        <f>IF(Table1[[#This Row],[وسيلة الدفع]]="بطاقة",1,0)</f>
        <v>0</v>
      </c>
      <c r="O985">
        <f>IF(Table1[[#This Row],[وسيلة الدفع]]="محفظة",1,0)</f>
        <v>0</v>
      </c>
      <c r="P985">
        <f>IF(Table1[[#This Row],[وسيلة الدفع]]="تحويل",1,0)</f>
        <v>1</v>
      </c>
      <c r="Q985">
        <f>IF(Table1[[#This Row],[حضر التهيئة]]="نعم",1,0)</f>
        <v>0</v>
      </c>
      <c r="R985">
        <f>IF(Table1[[#This Row],[دورة الفوترة]]="شهري",1,0)</f>
        <v>1</v>
      </c>
    </row>
    <row r="986" spans="1:18" x14ac:dyDescent="0.25">
      <c r="A986" t="s">
        <v>1006</v>
      </c>
      <c r="B986" s="1">
        <v>45985</v>
      </c>
      <c r="C986" t="s">
        <v>28</v>
      </c>
      <c r="D986">
        <v>39</v>
      </c>
      <c r="E986" t="s">
        <v>14</v>
      </c>
      <c r="F986">
        <v>3</v>
      </c>
      <c r="G986" t="s">
        <v>21</v>
      </c>
      <c r="H986">
        <v>1</v>
      </c>
      <c r="I986">
        <v>17</v>
      </c>
      <c r="J986">
        <v>0</v>
      </c>
      <c r="K986" t="s">
        <v>16</v>
      </c>
      <c r="L986" t="s">
        <v>16</v>
      </c>
      <c r="M986">
        <f>IF(Table1[[#This Row],[ألغى الاشتراك]]="نعم",1,0)</f>
        <v>1</v>
      </c>
      <c r="N986">
        <f>IF(Table1[[#This Row],[وسيلة الدفع]]="بطاقة",1,0)</f>
        <v>0</v>
      </c>
      <c r="O986">
        <f>IF(Table1[[#This Row],[وسيلة الدفع]]="محفظة",1,0)</f>
        <v>1</v>
      </c>
      <c r="P986">
        <f>IF(Table1[[#This Row],[وسيلة الدفع]]="تحويل",1,0)</f>
        <v>0</v>
      </c>
      <c r="Q986">
        <f>IF(Table1[[#This Row],[حضر التهيئة]]="نعم",1,0)</f>
        <v>1</v>
      </c>
      <c r="R986">
        <f>IF(Table1[[#This Row],[دورة الفوترة]]="شهري",1,0)</f>
        <v>1</v>
      </c>
    </row>
    <row r="987" spans="1:18" x14ac:dyDescent="0.25">
      <c r="A987" t="s">
        <v>1007</v>
      </c>
      <c r="B987" s="1">
        <v>45639</v>
      </c>
      <c r="C987" t="s">
        <v>13</v>
      </c>
      <c r="D987">
        <v>89</v>
      </c>
      <c r="E987" t="s">
        <v>14</v>
      </c>
      <c r="F987">
        <v>6</v>
      </c>
      <c r="G987" t="s">
        <v>21</v>
      </c>
      <c r="H987">
        <v>0</v>
      </c>
      <c r="I987">
        <v>52</v>
      </c>
      <c r="J987">
        <v>0</v>
      </c>
      <c r="K987" t="s">
        <v>17</v>
      </c>
      <c r="L987" t="s">
        <v>17</v>
      </c>
      <c r="M987">
        <f>IF(Table1[[#This Row],[ألغى الاشتراك]]="نعم",1,0)</f>
        <v>0</v>
      </c>
      <c r="N987">
        <f>IF(Table1[[#This Row],[وسيلة الدفع]]="بطاقة",1,0)</f>
        <v>0</v>
      </c>
      <c r="O987">
        <f>IF(Table1[[#This Row],[وسيلة الدفع]]="محفظة",1,0)</f>
        <v>1</v>
      </c>
      <c r="P987">
        <f>IF(Table1[[#This Row],[وسيلة الدفع]]="تحويل",1,0)</f>
        <v>0</v>
      </c>
      <c r="Q987">
        <f>IF(Table1[[#This Row],[حضر التهيئة]]="نعم",1,0)</f>
        <v>0</v>
      </c>
      <c r="R987">
        <f>IF(Table1[[#This Row],[دورة الفوترة]]="شهري",1,0)</f>
        <v>1</v>
      </c>
    </row>
    <row r="988" spans="1:18" x14ac:dyDescent="0.25">
      <c r="A988" t="s">
        <v>1008</v>
      </c>
      <c r="B988" s="1">
        <v>45675</v>
      </c>
      <c r="C988" t="s">
        <v>19</v>
      </c>
      <c r="D988">
        <v>189</v>
      </c>
      <c r="E988" t="s">
        <v>20</v>
      </c>
      <c r="F988">
        <v>13</v>
      </c>
      <c r="G988" t="s">
        <v>15</v>
      </c>
      <c r="H988">
        <v>6</v>
      </c>
      <c r="I988">
        <v>7</v>
      </c>
      <c r="J988">
        <v>0</v>
      </c>
      <c r="K988" t="s">
        <v>17</v>
      </c>
      <c r="L988" t="s">
        <v>17</v>
      </c>
      <c r="M988">
        <f>IF(Table1[[#This Row],[ألغى الاشتراك]]="نعم",1,0)</f>
        <v>0</v>
      </c>
      <c r="N988">
        <f>IF(Table1[[#This Row],[وسيلة الدفع]]="بطاقة",1,0)</f>
        <v>1</v>
      </c>
      <c r="O988">
        <f>IF(Table1[[#This Row],[وسيلة الدفع]]="محفظة",1,0)</f>
        <v>0</v>
      </c>
      <c r="P988">
        <f>IF(Table1[[#This Row],[وسيلة الدفع]]="تحويل",1,0)</f>
        <v>0</v>
      </c>
      <c r="Q988">
        <f>IF(Table1[[#This Row],[حضر التهيئة]]="نعم",1,0)</f>
        <v>0</v>
      </c>
      <c r="R988">
        <f>IF(Table1[[#This Row],[دورة الفوترة]]="شهري",1,0)</f>
        <v>0</v>
      </c>
    </row>
    <row r="989" spans="1:18" x14ac:dyDescent="0.25">
      <c r="A989" t="s">
        <v>1009</v>
      </c>
      <c r="B989" s="1">
        <v>45850</v>
      </c>
      <c r="C989" t="s">
        <v>19</v>
      </c>
      <c r="D989">
        <v>189</v>
      </c>
      <c r="E989" t="s">
        <v>14</v>
      </c>
      <c r="F989">
        <v>24</v>
      </c>
      <c r="G989" t="s">
        <v>21</v>
      </c>
      <c r="H989">
        <v>3</v>
      </c>
      <c r="I989">
        <v>56</v>
      </c>
      <c r="J989">
        <v>15</v>
      </c>
      <c r="K989" t="s">
        <v>16</v>
      </c>
      <c r="L989" t="s">
        <v>17</v>
      </c>
      <c r="M989">
        <f>IF(Table1[[#This Row],[ألغى الاشتراك]]="نعم",1,0)</f>
        <v>0</v>
      </c>
      <c r="N989">
        <f>IF(Table1[[#This Row],[وسيلة الدفع]]="بطاقة",1,0)</f>
        <v>0</v>
      </c>
      <c r="O989">
        <f>IF(Table1[[#This Row],[وسيلة الدفع]]="محفظة",1,0)</f>
        <v>1</v>
      </c>
      <c r="P989">
        <f>IF(Table1[[#This Row],[وسيلة الدفع]]="تحويل",1,0)</f>
        <v>0</v>
      </c>
      <c r="Q989">
        <f>IF(Table1[[#This Row],[حضر التهيئة]]="نعم",1,0)</f>
        <v>1</v>
      </c>
      <c r="R989">
        <f>IF(Table1[[#This Row],[دورة الفوترة]]="شهري",1,0)</f>
        <v>1</v>
      </c>
    </row>
    <row r="990" spans="1:18" x14ac:dyDescent="0.25">
      <c r="A990" t="s">
        <v>1010</v>
      </c>
      <c r="B990" s="1">
        <v>45517</v>
      </c>
      <c r="C990" t="s">
        <v>28</v>
      </c>
      <c r="D990">
        <v>39</v>
      </c>
      <c r="E990" t="s">
        <v>14</v>
      </c>
      <c r="F990">
        <v>18</v>
      </c>
      <c r="G990" t="s">
        <v>15</v>
      </c>
      <c r="H990">
        <v>0</v>
      </c>
      <c r="I990">
        <v>54</v>
      </c>
      <c r="J990">
        <v>0</v>
      </c>
      <c r="K990" t="s">
        <v>16</v>
      </c>
      <c r="L990" t="s">
        <v>17</v>
      </c>
      <c r="M990">
        <f>IF(Table1[[#This Row],[ألغى الاشتراك]]="نعم",1,0)</f>
        <v>0</v>
      </c>
      <c r="N990">
        <f>IF(Table1[[#This Row],[وسيلة الدفع]]="بطاقة",1,0)</f>
        <v>1</v>
      </c>
      <c r="O990">
        <f>IF(Table1[[#This Row],[وسيلة الدفع]]="محفظة",1,0)</f>
        <v>0</v>
      </c>
      <c r="P990">
        <f>IF(Table1[[#This Row],[وسيلة الدفع]]="تحويل",1,0)</f>
        <v>0</v>
      </c>
      <c r="Q990">
        <f>IF(Table1[[#This Row],[حضر التهيئة]]="نعم",1,0)</f>
        <v>1</v>
      </c>
      <c r="R990">
        <f>IF(Table1[[#This Row],[دورة الفوترة]]="شهري",1,0)</f>
        <v>1</v>
      </c>
    </row>
    <row r="991" spans="1:18" x14ac:dyDescent="0.25">
      <c r="A991" t="s">
        <v>1011</v>
      </c>
      <c r="B991" s="1">
        <v>45926</v>
      </c>
      <c r="C991" t="s">
        <v>13</v>
      </c>
      <c r="D991">
        <v>89</v>
      </c>
      <c r="E991" t="s">
        <v>14</v>
      </c>
      <c r="F991">
        <v>5</v>
      </c>
      <c r="G991" t="s">
        <v>23</v>
      </c>
      <c r="H991">
        <v>3</v>
      </c>
      <c r="I991">
        <v>11</v>
      </c>
      <c r="J991">
        <v>0</v>
      </c>
      <c r="K991" t="s">
        <v>16</v>
      </c>
      <c r="L991" t="s">
        <v>16</v>
      </c>
      <c r="M991">
        <f>IF(Table1[[#This Row],[ألغى الاشتراك]]="نعم",1,0)</f>
        <v>1</v>
      </c>
      <c r="N991">
        <f>IF(Table1[[#This Row],[وسيلة الدفع]]="بطاقة",1,0)</f>
        <v>0</v>
      </c>
      <c r="O991">
        <f>IF(Table1[[#This Row],[وسيلة الدفع]]="محفظة",1,0)</f>
        <v>0</v>
      </c>
      <c r="P991">
        <f>IF(Table1[[#This Row],[وسيلة الدفع]]="تحويل",1,0)</f>
        <v>1</v>
      </c>
      <c r="Q991">
        <f>IF(Table1[[#This Row],[حضر التهيئة]]="نعم",1,0)</f>
        <v>1</v>
      </c>
      <c r="R991">
        <f>IF(Table1[[#This Row],[دورة الفوترة]]="شهري",1,0)</f>
        <v>1</v>
      </c>
    </row>
    <row r="992" spans="1:18" x14ac:dyDescent="0.25">
      <c r="A992" t="s">
        <v>1012</v>
      </c>
      <c r="B992" s="1">
        <v>45458</v>
      </c>
      <c r="C992" t="s">
        <v>28</v>
      </c>
      <c r="D992">
        <v>39</v>
      </c>
      <c r="E992" t="s">
        <v>14</v>
      </c>
      <c r="F992">
        <v>12</v>
      </c>
      <c r="G992" t="s">
        <v>23</v>
      </c>
      <c r="H992">
        <v>1</v>
      </c>
      <c r="I992">
        <v>56</v>
      </c>
      <c r="J992">
        <v>0</v>
      </c>
      <c r="K992" t="s">
        <v>16</v>
      </c>
      <c r="L992" t="s">
        <v>17</v>
      </c>
      <c r="M992">
        <f>IF(Table1[[#This Row],[ألغى الاشتراك]]="نعم",1,0)</f>
        <v>0</v>
      </c>
      <c r="N992">
        <f>IF(Table1[[#This Row],[وسيلة الدفع]]="بطاقة",1,0)</f>
        <v>0</v>
      </c>
      <c r="O992">
        <f>IF(Table1[[#This Row],[وسيلة الدفع]]="محفظة",1,0)</f>
        <v>0</v>
      </c>
      <c r="P992">
        <f>IF(Table1[[#This Row],[وسيلة الدفع]]="تحويل",1,0)</f>
        <v>1</v>
      </c>
      <c r="Q992">
        <f>IF(Table1[[#This Row],[حضر التهيئة]]="نعم",1,0)</f>
        <v>1</v>
      </c>
      <c r="R992">
        <f>IF(Table1[[#This Row],[دورة الفوترة]]="شهري",1,0)</f>
        <v>1</v>
      </c>
    </row>
    <row r="993" spans="1:18" x14ac:dyDescent="0.25">
      <c r="A993" t="s">
        <v>1013</v>
      </c>
      <c r="B993" s="1">
        <v>45850</v>
      </c>
      <c r="C993" t="s">
        <v>13</v>
      </c>
      <c r="D993">
        <v>89</v>
      </c>
      <c r="E993" t="s">
        <v>14</v>
      </c>
      <c r="F993">
        <v>1</v>
      </c>
      <c r="G993" t="s">
        <v>21</v>
      </c>
      <c r="H993">
        <v>0</v>
      </c>
      <c r="I993">
        <v>25</v>
      </c>
      <c r="J993">
        <v>0</v>
      </c>
      <c r="K993" t="s">
        <v>16</v>
      </c>
      <c r="L993" t="s">
        <v>17</v>
      </c>
      <c r="M993">
        <f>IF(Table1[[#This Row],[ألغى الاشتراك]]="نعم",1,0)</f>
        <v>0</v>
      </c>
      <c r="N993">
        <f>IF(Table1[[#This Row],[وسيلة الدفع]]="بطاقة",1,0)</f>
        <v>0</v>
      </c>
      <c r="O993">
        <f>IF(Table1[[#This Row],[وسيلة الدفع]]="محفظة",1,0)</f>
        <v>1</v>
      </c>
      <c r="P993">
        <f>IF(Table1[[#This Row],[وسيلة الدفع]]="تحويل",1,0)</f>
        <v>0</v>
      </c>
      <c r="Q993">
        <f>IF(Table1[[#This Row],[حضر التهيئة]]="نعم",1,0)</f>
        <v>1</v>
      </c>
      <c r="R993">
        <f>IF(Table1[[#This Row],[دورة الفوترة]]="شهري",1,0)</f>
        <v>1</v>
      </c>
    </row>
    <row r="994" spans="1:18" x14ac:dyDescent="0.25">
      <c r="A994" t="s">
        <v>1014</v>
      </c>
      <c r="B994" s="1">
        <v>45407</v>
      </c>
      <c r="C994" t="s">
        <v>28</v>
      </c>
      <c r="D994">
        <v>39</v>
      </c>
      <c r="E994" t="s">
        <v>20</v>
      </c>
      <c r="F994">
        <v>30</v>
      </c>
      <c r="G994" t="s">
        <v>23</v>
      </c>
      <c r="H994">
        <v>0</v>
      </c>
      <c r="I994">
        <v>56</v>
      </c>
      <c r="J994">
        <v>0</v>
      </c>
      <c r="K994" t="s">
        <v>16</v>
      </c>
      <c r="L994" t="s">
        <v>17</v>
      </c>
      <c r="M994">
        <f>IF(Table1[[#This Row],[ألغى الاشتراك]]="نعم",1,0)</f>
        <v>0</v>
      </c>
      <c r="N994">
        <f>IF(Table1[[#This Row],[وسيلة الدفع]]="بطاقة",1,0)</f>
        <v>0</v>
      </c>
      <c r="O994">
        <f>IF(Table1[[#This Row],[وسيلة الدفع]]="محفظة",1,0)</f>
        <v>0</v>
      </c>
      <c r="P994">
        <f>IF(Table1[[#This Row],[وسيلة الدفع]]="تحويل",1,0)</f>
        <v>1</v>
      </c>
      <c r="Q994">
        <f>IF(Table1[[#This Row],[حضر التهيئة]]="نعم",1,0)</f>
        <v>1</v>
      </c>
      <c r="R994">
        <f>IF(Table1[[#This Row],[دورة الفوترة]]="شهري",1,0)</f>
        <v>0</v>
      </c>
    </row>
    <row r="995" spans="1:18" x14ac:dyDescent="0.25">
      <c r="A995" t="s">
        <v>1015</v>
      </c>
      <c r="B995" s="1">
        <v>45799</v>
      </c>
      <c r="C995" t="s">
        <v>13</v>
      </c>
      <c r="D995">
        <v>89</v>
      </c>
      <c r="E995" t="s">
        <v>20</v>
      </c>
      <c r="F995">
        <v>21</v>
      </c>
      <c r="G995" t="s">
        <v>21</v>
      </c>
      <c r="H995">
        <v>2</v>
      </c>
      <c r="I995">
        <v>31</v>
      </c>
      <c r="J995">
        <v>0</v>
      </c>
      <c r="K995" t="s">
        <v>16</v>
      </c>
      <c r="L995" t="s">
        <v>17</v>
      </c>
      <c r="M995">
        <f>IF(Table1[[#This Row],[ألغى الاشتراك]]="نعم",1,0)</f>
        <v>0</v>
      </c>
      <c r="N995">
        <f>IF(Table1[[#This Row],[وسيلة الدفع]]="بطاقة",1,0)</f>
        <v>0</v>
      </c>
      <c r="O995">
        <f>IF(Table1[[#This Row],[وسيلة الدفع]]="محفظة",1,0)</f>
        <v>1</v>
      </c>
      <c r="P995">
        <f>IF(Table1[[#This Row],[وسيلة الدفع]]="تحويل",1,0)</f>
        <v>0</v>
      </c>
      <c r="Q995">
        <f>IF(Table1[[#This Row],[حضر التهيئة]]="نعم",1,0)</f>
        <v>1</v>
      </c>
      <c r="R995">
        <f>IF(Table1[[#This Row],[دورة الفوترة]]="شهري",1,0)</f>
        <v>0</v>
      </c>
    </row>
    <row r="996" spans="1:18" x14ac:dyDescent="0.25">
      <c r="A996" t="s">
        <v>1016</v>
      </c>
      <c r="B996" s="1">
        <v>45965</v>
      </c>
      <c r="C996" t="s">
        <v>13</v>
      </c>
      <c r="D996">
        <v>89</v>
      </c>
      <c r="E996" t="s">
        <v>20</v>
      </c>
      <c r="F996">
        <v>4</v>
      </c>
      <c r="G996" t="s">
        <v>23</v>
      </c>
      <c r="H996">
        <v>1</v>
      </c>
      <c r="I996">
        <v>40</v>
      </c>
      <c r="J996">
        <v>15</v>
      </c>
      <c r="K996" t="s">
        <v>17</v>
      </c>
      <c r="L996" t="s">
        <v>17</v>
      </c>
      <c r="M996">
        <f>IF(Table1[[#This Row],[ألغى الاشتراك]]="نعم",1,0)</f>
        <v>0</v>
      </c>
      <c r="N996">
        <f>IF(Table1[[#This Row],[وسيلة الدفع]]="بطاقة",1,0)</f>
        <v>0</v>
      </c>
      <c r="O996">
        <f>IF(Table1[[#This Row],[وسيلة الدفع]]="محفظة",1,0)</f>
        <v>0</v>
      </c>
      <c r="P996">
        <f>IF(Table1[[#This Row],[وسيلة الدفع]]="تحويل",1,0)</f>
        <v>1</v>
      </c>
      <c r="Q996">
        <f>IF(Table1[[#This Row],[حضر التهيئة]]="نعم",1,0)</f>
        <v>0</v>
      </c>
      <c r="R996">
        <f>IF(Table1[[#This Row],[دورة الفوترة]]="شهري",1,0)</f>
        <v>0</v>
      </c>
    </row>
    <row r="997" spans="1:18" x14ac:dyDescent="0.25">
      <c r="A997" t="s">
        <v>1017</v>
      </c>
      <c r="B997" s="1">
        <v>45513</v>
      </c>
      <c r="C997" t="s">
        <v>28</v>
      </c>
      <c r="D997">
        <v>39</v>
      </c>
      <c r="E997" t="s">
        <v>14</v>
      </c>
      <c r="F997">
        <v>6</v>
      </c>
      <c r="G997" t="s">
        <v>15</v>
      </c>
      <c r="H997">
        <v>1</v>
      </c>
      <c r="I997">
        <v>4</v>
      </c>
      <c r="J997">
        <v>0</v>
      </c>
      <c r="K997" t="s">
        <v>16</v>
      </c>
      <c r="L997" t="s">
        <v>17</v>
      </c>
      <c r="M997">
        <f>IF(Table1[[#This Row],[ألغى الاشتراك]]="نعم",1,0)</f>
        <v>0</v>
      </c>
      <c r="N997">
        <f>IF(Table1[[#This Row],[وسيلة الدفع]]="بطاقة",1,0)</f>
        <v>1</v>
      </c>
      <c r="O997">
        <f>IF(Table1[[#This Row],[وسيلة الدفع]]="محفظة",1,0)</f>
        <v>0</v>
      </c>
      <c r="P997">
        <f>IF(Table1[[#This Row],[وسيلة الدفع]]="تحويل",1,0)</f>
        <v>0</v>
      </c>
      <c r="Q997">
        <f>IF(Table1[[#This Row],[حضر التهيئة]]="نعم",1,0)</f>
        <v>1</v>
      </c>
      <c r="R997">
        <f>IF(Table1[[#This Row],[دورة الفوترة]]="شهري",1,0)</f>
        <v>1</v>
      </c>
    </row>
    <row r="998" spans="1:18" x14ac:dyDescent="0.25">
      <c r="A998" t="s">
        <v>1018</v>
      </c>
      <c r="B998" s="1">
        <v>45902</v>
      </c>
      <c r="C998" t="s">
        <v>13</v>
      </c>
      <c r="D998">
        <v>89</v>
      </c>
      <c r="E998" t="s">
        <v>14</v>
      </c>
      <c r="F998">
        <v>9</v>
      </c>
      <c r="G998" t="s">
        <v>21</v>
      </c>
      <c r="H998">
        <v>8</v>
      </c>
      <c r="I998">
        <v>51</v>
      </c>
      <c r="J998">
        <v>0</v>
      </c>
      <c r="K998" t="s">
        <v>17</v>
      </c>
      <c r="L998" t="s">
        <v>17</v>
      </c>
      <c r="M998">
        <f>IF(Table1[[#This Row],[ألغى الاشتراك]]="نعم",1,0)</f>
        <v>0</v>
      </c>
      <c r="N998">
        <f>IF(Table1[[#This Row],[وسيلة الدفع]]="بطاقة",1,0)</f>
        <v>0</v>
      </c>
      <c r="O998">
        <f>IF(Table1[[#This Row],[وسيلة الدفع]]="محفظة",1,0)</f>
        <v>1</v>
      </c>
      <c r="P998">
        <f>IF(Table1[[#This Row],[وسيلة الدفع]]="تحويل",1,0)</f>
        <v>0</v>
      </c>
      <c r="Q998">
        <f>IF(Table1[[#This Row],[حضر التهيئة]]="نعم",1,0)</f>
        <v>0</v>
      </c>
      <c r="R998">
        <f>IF(Table1[[#This Row],[دورة الفوترة]]="شهري",1,0)</f>
        <v>1</v>
      </c>
    </row>
    <row r="999" spans="1:18" x14ac:dyDescent="0.25">
      <c r="A999" t="s">
        <v>1019</v>
      </c>
      <c r="B999" s="1">
        <v>45989</v>
      </c>
      <c r="C999" t="s">
        <v>28</v>
      </c>
      <c r="D999">
        <v>39</v>
      </c>
      <c r="E999" t="s">
        <v>14</v>
      </c>
      <c r="F999">
        <v>22</v>
      </c>
      <c r="G999" t="s">
        <v>23</v>
      </c>
      <c r="H999">
        <v>11</v>
      </c>
      <c r="I999">
        <v>58</v>
      </c>
      <c r="J999">
        <v>15</v>
      </c>
      <c r="K999" t="s">
        <v>16</v>
      </c>
      <c r="L999" t="s">
        <v>16</v>
      </c>
      <c r="M999">
        <f>IF(Table1[[#This Row],[ألغى الاشتراك]]="نعم",1,0)</f>
        <v>1</v>
      </c>
      <c r="N999">
        <f>IF(Table1[[#This Row],[وسيلة الدفع]]="بطاقة",1,0)</f>
        <v>0</v>
      </c>
      <c r="O999">
        <f>IF(Table1[[#This Row],[وسيلة الدفع]]="محفظة",1,0)</f>
        <v>0</v>
      </c>
      <c r="P999">
        <f>IF(Table1[[#This Row],[وسيلة الدفع]]="تحويل",1,0)</f>
        <v>1</v>
      </c>
      <c r="Q999">
        <f>IF(Table1[[#This Row],[حضر التهيئة]]="نعم",1,0)</f>
        <v>1</v>
      </c>
      <c r="R999">
        <f>IF(Table1[[#This Row],[دورة الفوترة]]="شهري",1,0)</f>
        <v>1</v>
      </c>
    </row>
    <row r="1000" spans="1:18" x14ac:dyDescent="0.25">
      <c r="A1000" t="s">
        <v>1020</v>
      </c>
      <c r="B1000" s="1">
        <v>45383</v>
      </c>
      <c r="C1000" t="s">
        <v>28</v>
      </c>
      <c r="D1000">
        <v>39</v>
      </c>
      <c r="E1000" t="s">
        <v>14</v>
      </c>
      <c r="F1000">
        <v>30</v>
      </c>
      <c r="G1000" t="s">
        <v>21</v>
      </c>
      <c r="H1000">
        <v>9</v>
      </c>
      <c r="I1000">
        <v>40</v>
      </c>
      <c r="J1000">
        <v>0</v>
      </c>
      <c r="K1000" t="s">
        <v>17</v>
      </c>
      <c r="L1000" t="s">
        <v>17</v>
      </c>
      <c r="M1000">
        <f>IF(Table1[[#This Row],[ألغى الاشتراك]]="نعم",1,0)</f>
        <v>0</v>
      </c>
      <c r="N1000">
        <f>IF(Table1[[#This Row],[وسيلة الدفع]]="بطاقة",1,0)</f>
        <v>0</v>
      </c>
      <c r="O1000">
        <f>IF(Table1[[#This Row],[وسيلة الدفع]]="محفظة",1,0)</f>
        <v>1</v>
      </c>
      <c r="P1000">
        <f>IF(Table1[[#This Row],[وسيلة الدفع]]="تحويل",1,0)</f>
        <v>0</v>
      </c>
      <c r="Q1000">
        <f>IF(Table1[[#This Row],[حضر التهيئة]]="نعم",1,0)</f>
        <v>0</v>
      </c>
      <c r="R1000">
        <f>IF(Table1[[#This Row],[دورة الفوترة]]="شهري",1,0)</f>
        <v>1</v>
      </c>
    </row>
    <row r="1001" spans="1:18" x14ac:dyDescent="0.25">
      <c r="A1001" t="s">
        <v>1021</v>
      </c>
      <c r="B1001" s="1">
        <v>45446</v>
      </c>
      <c r="C1001" t="s">
        <v>19</v>
      </c>
      <c r="D1001">
        <v>189</v>
      </c>
      <c r="E1001" t="s">
        <v>20</v>
      </c>
      <c r="F1001">
        <v>13</v>
      </c>
      <c r="G1001" t="s">
        <v>21</v>
      </c>
      <c r="H1001">
        <v>2</v>
      </c>
      <c r="I1001">
        <v>3</v>
      </c>
      <c r="J1001">
        <v>10</v>
      </c>
      <c r="K1001" t="s">
        <v>16</v>
      </c>
      <c r="L1001" t="s">
        <v>17</v>
      </c>
      <c r="M1001">
        <f>IF(Table1[[#This Row],[ألغى الاشتراك]]="نعم",1,0)</f>
        <v>0</v>
      </c>
      <c r="N1001">
        <f>IF(Table1[[#This Row],[وسيلة الدفع]]="بطاقة",1,0)</f>
        <v>0</v>
      </c>
      <c r="O1001">
        <f>IF(Table1[[#This Row],[وسيلة الدفع]]="محفظة",1,0)</f>
        <v>1</v>
      </c>
      <c r="P1001">
        <f>IF(Table1[[#This Row],[وسيلة الدفع]]="تحويل",1,0)</f>
        <v>0</v>
      </c>
      <c r="Q1001">
        <f>IF(Table1[[#This Row],[حضر التهيئة]]="نعم",1,0)</f>
        <v>1</v>
      </c>
      <c r="R1001">
        <f>IF(Table1[[#This Row],[دورة الفوترة]]="شهري",1,0)</f>
        <v>0</v>
      </c>
    </row>
    <row r="1002" spans="1:18" x14ac:dyDescent="0.25">
      <c r="A1002" t="s">
        <v>1022</v>
      </c>
      <c r="B1002" s="1">
        <v>45509</v>
      </c>
      <c r="C1002" t="s">
        <v>28</v>
      </c>
      <c r="D1002">
        <v>39</v>
      </c>
      <c r="E1002" t="s">
        <v>20</v>
      </c>
      <c r="F1002">
        <v>25</v>
      </c>
      <c r="G1002" t="s">
        <v>21</v>
      </c>
      <c r="H1002">
        <v>0</v>
      </c>
      <c r="I1002">
        <v>15</v>
      </c>
      <c r="J1002">
        <v>25</v>
      </c>
      <c r="K1002" t="s">
        <v>17</v>
      </c>
      <c r="L1002" t="s">
        <v>17</v>
      </c>
      <c r="M1002">
        <f>IF(Table1[[#This Row],[ألغى الاشتراك]]="نعم",1,0)</f>
        <v>0</v>
      </c>
      <c r="N1002">
        <f>IF(Table1[[#This Row],[وسيلة الدفع]]="بطاقة",1,0)</f>
        <v>0</v>
      </c>
      <c r="O1002">
        <f>IF(Table1[[#This Row],[وسيلة الدفع]]="محفظة",1,0)</f>
        <v>1</v>
      </c>
      <c r="P1002">
        <f>IF(Table1[[#This Row],[وسيلة الدفع]]="تحويل",1,0)</f>
        <v>0</v>
      </c>
      <c r="Q1002">
        <f>IF(Table1[[#This Row],[حضر التهيئة]]="نعم",1,0)</f>
        <v>0</v>
      </c>
      <c r="R1002">
        <f>IF(Table1[[#This Row],[دورة الفوترة]]="شهري",1,0)</f>
        <v>0</v>
      </c>
    </row>
    <row r="1003" spans="1:18" x14ac:dyDescent="0.25">
      <c r="A1003" t="s">
        <v>1023</v>
      </c>
      <c r="B1003" s="1">
        <v>45795</v>
      </c>
      <c r="C1003" t="s">
        <v>28</v>
      </c>
      <c r="D1003">
        <v>39</v>
      </c>
      <c r="E1003" t="s">
        <v>14</v>
      </c>
      <c r="F1003">
        <v>1</v>
      </c>
      <c r="G1003" t="s">
        <v>23</v>
      </c>
      <c r="H1003">
        <v>4</v>
      </c>
      <c r="I1003">
        <v>5</v>
      </c>
      <c r="J1003">
        <v>0</v>
      </c>
      <c r="K1003" t="s">
        <v>16</v>
      </c>
      <c r="L1003" t="s">
        <v>16</v>
      </c>
      <c r="M1003">
        <f>IF(Table1[[#This Row],[ألغى الاشتراك]]="نعم",1,0)</f>
        <v>1</v>
      </c>
      <c r="N1003">
        <f>IF(Table1[[#This Row],[وسيلة الدفع]]="بطاقة",1,0)</f>
        <v>0</v>
      </c>
      <c r="O1003">
        <f>IF(Table1[[#This Row],[وسيلة الدفع]]="محفظة",1,0)</f>
        <v>0</v>
      </c>
      <c r="P1003">
        <f>IF(Table1[[#This Row],[وسيلة الدفع]]="تحويل",1,0)</f>
        <v>1</v>
      </c>
      <c r="Q1003">
        <f>IF(Table1[[#This Row],[حضر التهيئة]]="نعم",1,0)</f>
        <v>1</v>
      </c>
      <c r="R1003">
        <f>IF(Table1[[#This Row],[دورة الفوترة]]="شهري",1,0)</f>
        <v>1</v>
      </c>
    </row>
    <row r="1004" spans="1:18" x14ac:dyDescent="0.25">
      <c r="A1004" t="s">
        <v>1024</v>
      </c>
      <c r="B1004" s="1">
        <v>45969</v>
      </c>
      <c r="C1004" t="s">
        <v>28</v>
      </c>
      <c r="D1004">
        <v>39</v>
      </c>
      <c r="E1004" t="s">
        <v>20</v>
      </c>
      <c r="F1004">
        <v>6</v>
      </c>
      <c r="G1004" t="s">
        <v>23</v>
      </c>
      <c r="H1004">
        <v>0</v>
      </c>
      <c r="I1004">
        <v>44</v>
      </c>
      <c r="J1004">
        <v>15</v>
      </c>
      <c r="K1004" t="s">
        <v>16</v>
      </c>
      <c r="L1004" t="s">
        <v>17</v>
      </c>
      <c r="M1004">
        <f>IF(Table1[[#This Row],[ألغى الاشتراك]]="نعم",1,0)</f>
        <v>0</v>
      </c>
      <c r="N1004">
        <f>IF(Table1[[#This Row],[وسيلة الدفع]]="بطاقة",1,0)</f>
        <v>0</v>
      </c>
      <c r="O1004">
        <f>IF(Table1[[#This Row],[وسيلة الدفع]]="محفظة",1,0)</f>
        <v>0</v>
      </c>
      <c r="P1004">
        <f>IF(Table1[[#This Row],[وسيلة الدفع]]="تحويل",1,0)</f>
        <v>1</v>
      </c>
      <c r="Q1004">
        <f>IF(Table1[[#This Row],[حضر التهيئة]]="نعم",1,0)</f>
        <v>1</v>
      </c>
      <c r="R1004">
        <f>IF(Table1[[#This Row],[دورة الفوترة]]="شهري",1,0)</f>
        <v>0</v>
      </c>
    </row>
    <row r="1005" spans="1:18" x14ac:dyDescent="0.25">
      <c r="A1005" t="s">
        <v>1025</v>
      </c>
      <c r="B1005" s="1">
        <v>45651</v>
      </c>
      <c r="C1005" t="s">
        <v>13</v>
      </c>
      <c r="D1005">
        <v>89</v>
      </c>
      <c r="E1005" t="s">
        <v>20</v>
      </c>
      <c r="F1005">
        <v>4</v>
      </c>
      <c r="G1005" t="s">
        <v>21</v>
      </c>
      <c r="H1005">
        <v>2</v>
      </c>
      <c r="I1005">
        <v>16</v>
      </c>
      <c r="J1005">
        <v>0</v>
      </c>
      <c r="K1005" t="s">
        <v>17</v>
      </c>
      <c r="L1005" t="s">
        <v>17</v>
      </c>
      <c r="M1005">
        <f>IF(Table1[[#This Row],[ألغى الاشتراك]]="نعم",1,0)</f>
        <v>0</v>
      </c>
      <c r="N1005">
        <f>IF(Table1[[#This Row],[وسيلة الدفع]]="بطاقة",1,0)</f>
        <v>0</v>
      </c>
      <c r="O1005">
        <f>IF(Table1[[#This Row],[وسيلة الدفع]]="محفظة",1,0)</f>
        <v>1</v>
      </c>
      <c r="P1005">
        <f>IF(Table1[[#This Row],[وسيلة الدفع]]="تحويل",1,0)</f>
        <v>0</v>
      </c>
      <c r="Q1005">
        <f>IF(Table1[[#This Row],[حضر التهيئة]]="نعم",1,0)</f>
        <v>0</v>
      </c>
      <c r="R1005">
        <f>IF(Table1[[#This Row],[دورة الفوترة]]="شهري",1,0)</f>
        <v>0</v>
      </c>
    </row>
    <row r="1006" spans="1:18" x14ac:dyDescent="0.25">
      <c r="A1006" t="s">
        <v>1026</v>
      </c>
      <c r="B1006" s="1">
        <v>45918</v>
      </c>
      <c r="C1006" t="s">
        <v>13</v>
      </c>
      <c r="D1006">
        <v>89</v>
      </c>
      <c r="E1006" t="s">
        <v>14</v>
      </c>
      <c r="F1006">
        <v>17</v>
      </c>
      <c r="G1006" t="s">
        <v>15</v>
      </c>
      <c r="H1006">
        <v>1</v>
      </c>
      <c r="I1006">
        <v>55</v>
      </c>
      <c r="J1006">
        <v>0</v>
      </c>
      <c r="K1006" t="s">
        <v>16</v>
      </c>
      <c r="L1006" t="s">
        <v>17</v>
      </c>
      <c r="M1006">
        <f>IF(Table1[[#This Row],[ألغى الاشتراك]]="نعم",1,0)</f>
        <v>0</v>
      </c>
      <c r="N1006">
        <f>IF(Table1[[#This Row],[وسيلة الدفع]]="بطاقة",1,0)</f>
        <v>1</v>
      </c>
      <c r="O1006">
        <f>IF(Table1[[#This Row],[وسيلة الدفع]]="محفظة",1,0)</f>
        <v>0</v>
      </c>
      <c r="P1006">
        <f>IF(Table1[[#This Row],[وسيلة الدفع]]="تحويل",1,0)</f>
        <v>0</v>
      </c>
      <c r="Q1006">
        <f>IF(Table1[[#This Row],[حضر التهيئة]]="نعم",1,0)</f>
        <v>1</v>
      </c>
      <c r="R1006">
        <f>IF(Table1[[#This Row],[دورة الفوترة]]="شهري",1,0)</f>
        <v>1</v>
      </c>
    </row>
    <row r="1007" spans="1:18" x14ac:dyDescent="0.25">
      <c r="A1007" t="s">
        <v>1027</v>
      </c>
      <c r="B1007" s="1">
        <v>45454</v>
      </c>
      <c r="C1007" t="s">
        <v>13</v>
      </c>
      <c r="D1007">
        <v>89</v>
      </c>
      <c r="E1007" t="s">
        <v>14</v>
      </c>
      <c r="F1007">
        <v>6</v>
      </c>
      <c r="G1007" t="s">
        <v>15</v>
      </c>
      <c r="H1007">
        <v>0</v>
      </c>
      <c r="I1007">
        <v>28</v>
      </c>
      <c r="J1007">
        <v>0</v>
      </c>
      <c r="K1007" t="s">
        <v>17</v>
      </c>
      <c r="L1007" t="s">
        <v>17</v>
      </c>
      <c r="M1007">
        <f>IF(Table1[[#This Row],[ألغى الاشتراك]]="نعم",1,0)</f>
        <v>0</v>
      </c>
      <c r="N1007">
        <f>IF(Table1[[#This Row],[وسيلة الدفع]]="بطاقة",1,0)</f>
        <v>1</v>
      </c>
      <c r="O1007">
        <f>IF(Table1[[#This Row],[وسيلة الدفع]]="محفظة",1,0)</f>
        <v>0</v>
      </c>
      <c r="P1007">
        <f>IF(Table1[[#This Row],[وسيلة الدفع]]="تحويل",1,0)</f>
        <v>0</v>
      </c>
      <c r="Q1007">
        <f>IF(Table1[[#This Row],[حضر التهيئة]]="نعم",1,0)</f>
        <v>0</v>
      </c>
      <c r="R1007">
        <f>IF(Table1[[#This Row],[دورة الفوترة]]="شهري",1,0)</f>
        <v>1</v>
      </c>
    </row>
    <row r="1008" spans="1:18" x14ac:dyDescent="0.25">
      <c r="A1008" t="s">
        <v>1028</v>
      </c>
      <c r="B1008" s="1">
        <v>45627</v>
      </c>
      <c r="C1008" t="s">
        <v>28</v>
      </c>
      <c r="D1008">
        <v>39</v>
      </c>
      <c r="E1008" t="s">
        <v>14</v>
      </c>
      <c r="F1008">
        <v>17</v>
      </c>
      <c r="G1008" t="s">
        <v>21</v>
      </c>
      <c r="H1008">
        <v>0</v>
      </c>
      <c r="I1008">
        <v>9</v>
      </c>
      <c r="J1008">
        <v>25</v>
      </c>
      <c r="K1008" t="s">
        <v>17</v>
      </c>
      <c r="L1008" t="s">
        <v>17</v>
      </c>
      <c r="M1008">
        <f>IF(Table1[[#This Row],[ألغى الاشتراك]]="نعم",1,0)</f>
        <v>0</v>
      </c>
      <c r="N1008">
        <f>IF(Table1[[#This Row],[وسيلة الدفع]]="بطاقة",1,0)</f>
        <v>0</v>
      </c>
      <c r="O1008">
        <f>IF(Table1[[#This Row],[وسيلة الدفع]]="محفظة",1,0)</f>
        <v>1</v>
      </c>
      <c r="P1008">
        <f>IF(Table1[[#This Row],[وسيلة الدفع]]="تحويل",1,0)</f>
        <v>0</v>
      </c>
      <c r="Q1008">
        <f>IF(Table1[[#This Row],[حضر التهيئة]]="نعم",1,0)</f>
        <v>0</v>
      </c>
      <c r="R1008">
        <f>IF(Table1[[#This Row],[دورة الفوترة]]="شهري",1,0)</f>
        <v>1</v>
      </c>
    </row>
    <row r="1009" spans="1:18" x14ac:dyDescent="0.25">
      <c r="A1009" t="s">
        <v>1029</v>
      </c>
      <c r="B1009" s="1">
        <v>45337</v>
      </c>
      <c r="C1009" t="s">
        <v>13</v>
      </c>
      <c r="D1009">
        <v>89</v>
      </c>
      <c r="E1009" t="s">
        <v>20</v>
      </c>
      <c r="F1009">
        <v>29</v>
      </c>
      <c r="G1009" t="s">
        <v>23</v>
      </c>
      <c r="H1009">
        <v>1</v>
      </c>
      <c r="I1009">
        <v>15</v>
      </c>
      <c r="J1009">
        <v>10</v>
      </c>
      <c r="K1009" t="s">
        <v>16</v>
      </c>
      <c r="L1009" t="s">
        <v>17</v>
      </c>
      <c r="M1009">
        <f>IF(Table1[[#This Row],[ألغى الاشتراك]]="نعم",1,0)</f>
        <v>0</v>
      </c>
      <c r="N1009">
        <f>IF(Table1[[#This Row],[وسيلة الدفع]]="بطاقة",1,0)</f>
        <v>0</v>
      </c>
      <c r="O1009">
        <f>IF(Table1[[#This Row],[وسيلة الدفع]]="محفظة",1,0)</f>
        <v>0</v>
      </c>
      <c r="P1009">
        <f>IF(Table1[[#This Row],[وسيلة الدفع]]="تحويل",1,0)</f>
        <v>1</v>
      </c>
      <c r="Q1009">
        <f>IF(Table1[[#This Row],[حضر التهيئة]]="نعم",1,0)</f>
        <v>1</v>
      </c>
      <c r="R1009">
        <f>IF(Table1[[#This Row],[دورة الفوترة]]="شهري",1,0)</f>
        <v>0</v>
      </c>
    </row>
    <row r="1010" spans="1:18" x14ac:dyDescent="0.25">
      <c r="A1010" t="s">
        <v>1030</v>
      </c>
      <c r="B1010" s="1">
        <v>45977</v>
      </c>
      <c r="C1010" t="s">
        <v>13</v>
      </c>
      <c r="D1010">
        <v>89</v>
      </c>
      <c r="E1010" t="s">
        <v>14</v>
      </c>
      <c r="F1010">
        <v>17</v>
      </c>
      <c r="G1010" t="s">
        <v>23</v>
      </c>
      <c r="H1010">
        <v>0</v>
      </c>
      <c r="I1010">
        <v>27</v>
      </c>
      <c r="J1010">
        <v>0</v>
      </c>
      <c r="K1010" t="s">
        <v>16</v>
      </c>
      <c r="L1010" t="s">
        <v>17</v>
      </c>
      <c r="M1010">
        <f>IF(Table1[[#This Row],[ألغى الاشتراك]]="نعم",1,0)</f>
        <v>0</v>
      </c>
      <c r="N1010">
        <f>IF(Table1[[#This Row],[وسيلة الدفع]]="بطاقة",1,0)</f>
        <v>0</v>
      </c>
      <c r="O1010">
        <f>IF(Table1[[#This Row],[وسيلة الدفع]]="محفظة",1,0)</f>
        <v>0</v>
      </c>
      <c r="P1010">
        <f>IF(Table1[[#This Row],[وسيلة الدفع]]="تحويل",1,0)</f>
        <v>1</v>
      </c>
      <c r="Q1010">
        <f>IF(Table1[[#This Row],[حضر التهيئة]]="نعم",1,0)</f>
        <v>1</v>
      </c>
      <c r="R1010">
        <f>IF(Table1[[#This Row],[دورة الفوترة]]="شهري",1,0)</f>
        <v>1</v>
      </c>
    </row>
    <row r="1011" spans="1:18" x14ac:dyDescent="0.25">
      <c r="A1011" t="s">
        <v>1031</v>
      </c>
      <c r="B1011" s="1">
        <v>45631</v>
      </c>
      <c r="C1011" t="s">
        <v>19</v>
      </c>
      <c r="D1011">
        <v>189</v>
      </c>
      <c r="E1011" t="s">
        <v>14</v>
      </c>
      <c r="F1011">
        <v>24</v>
      </c>
      <c r="G1011" t="s">
        <v>23</v>
      </c>
      <c r="H1011">
        <v>1</v>
      </c>
      <c r="I1011">
        <v>22</v>
      </c>
      <c r="J1011">
        <v>0</v>
      </c>
      <c r="K1011" t="s">
        <v>16</v>
      </c>
      <c r="L1011" t="s">
        <v>17</v>
      </c>
      <c r="M1011">
        <f>IF(Table1[[#This Row],[ألغى الاشتراك]]="نعم",1,0)</f>
        <v>0</v>
      </c>
      <c r="N1011">
        <f>IF(Table1[[#This Row],[وسيلة الدفع]]="بطاقة",1,0)</f>
        <v>0</v>
      </c>
      <c r="O1011">
        <f>IF(Table1[[#This Row],[وسيلة الدفع]]="محفظة",1,0)</f>
        <v>0</v>
      </c>
      <c r="P1011">
        <f>IF(Table1[[#This Row],[وسيلة الدفع]]="تحويل",1,0)</f>
        <v>1</v>
      </c>
      <c r="Q1011">
        <f>IF(Table1[[#This Row],[حضر التهيئة]]="نعم",1,0)</f>
        <v>1</v>
      </c>
      <c r="R1011">
        <f>IF(Table1[[#This Row],[دورة الفوترة]]="شهري",1,0)</f>
        <v>1</v>
      </c>
    </row>
    <row r="1012" spans="1:18" x14ac:dyDescent="0.25">
      <c r="A1012" t="s">
        <v>1032</v>
      </c>
      <c r="B1012" s="1">
        <v>45795</v>
      </c>
      <c r="C1012" t="s">
        <v>13</v>
      </c>
      <c r="D1012">
        <v>89</v>
      </c>
      <c r="E1012" t="s">
        <v>14</v>
      </c>
      <c r="F1012">
        <v>9</v>
      </c>
      <c r="G1012" t="s">
        <v>21</v>
      </c>
      <c r="H1012">
        <v>0</v>
      </c>
      <c r="I1012">
        <v>37</v>
      </c>
      <c r="J1012">
        <v>0</v>
      </c>
      <c r="K1012" t="s">
        <v>16</v>
      </c>
      <c r="L1012" t="s">
        <v>17</v>
      </c>
      <c r="M1012">
        <f>IF(Table1[[#This Row],[ألغى الاشتراك]]="نعم",1,0)</f>
        <v>0</v>
      </c>
      <c r="N1012">
        <f>IF(Table1[[#This Row],[وسيلة الدفع]]="بطاقة",1,0)</f>
        <v>0</v>
      </c>
      <c r="O1012">
        <f>IF(Table1[[#This Row],[وسيلة الدفع]]="محفظة",1,0)</f>
        <v>1</v>
      </c>
      <c r="P1012">
        <f>IF(Table1[[#This Row],[وسيلة الدفع]]="تحويل",1,0)</f>
        <v>0</v>
      </c>
      <c r="Q1012">
        <f>IF(Table1[[#This Row],[حضر التهيئة]]="نعم",1,0)</f>
        <v>1</v>
      </c>
      <c r="R1012">
        <f>IF(Table1[[#This Row],[دورة الفوترة]]="شهري",1,0)</f>
        <v>1</v>
      </c>
    </row>
    <row r="1013" spans="1:18" x14ac:dyDescent="0.25">
      <c r="A1013" t="s">
        <v>1033</v>
      </c>
      <c r="B1013" s="1">
        <v>45588</v>
      </c>
      <c r="C1013" t="s">
        <v>13</v>
      </c>
      <c r="D1013">
        <v>89</v>
      </c>
      <c r="E1013" t="s">
        <v>14</v>
      </c>
      <c r="F1013">
        <v>30</v>
      </c>
      <c r="G1013" t="s">
        <v>23</v>
      </c>
      <c r="H1013">
        <v>5</v>
      </c>
      <c r="I1013">
        <v>20</v>
      </c>
      <c r="J1013">
        <v>0</v>
      </c>
      <c r="K1013" t="s">
        <v>16</v>
      </c>
      <c r="L1013" t="s">
        <v>17</v>
      </c>
      <c r="M1013">
        <f>IF(Table1[[#This Row],[ألغى الاشتراك]]="نعم",1,0)</f>
        <v>0</v>
      </c>
      <c r="N1013">
        <f>IF(Table1[[#This Row],[وسيلة الدفع]]="بطاقة",1,0)</f>
        <v>0</v>
      </c>
      <c r="O1013">
        <f>IF(Table1[[#This Row],[وسيلة الدفع]]="محفظة",1,0)</f>
        <v>0</v>
      </c>
      <c r="P1013">
        <f>IF(Table1[[#This Row],[وسيلة الدفع]]="تحويل",1,0)</f>
        <v>1</v>
      </c>
      <c r="Q1013">
        <f>IF(Table1[[#This Row],[حضر التهيئة]]="نعم",1,0)</f>
        <v>1</v>
      </c>
      <c r="R1013">
        <f>IF(Table1[[#This Row],[دورة الفوترة]]="شهري",1,0)</f>
        <v>1</v>
      </c>
    </row>
    <row r="1014" spans="1:18" x14ac:dyDescent="0.25">
      <c r="A1014" t="s">
        <v>1034</v>
      </c>
      <c r="B1014" s="1">
        <v>45631</v>
      </c>
      <c r="C1014" t="s">
        <v>28</v>
      </c>
      <c r="D1014">
        <v>39</v>
      </c>
      <c r="E1014" t="s">
        <v>20</v>
      </c>
      <c r="F1014">
        <v>11</v>
      </c>
      <c r="G1014" t="s">
        <v>23</v>
      </c>
      <c r="H1014">
        <v>3</v>
      </c>
      <c r="I1014">
        <v>21</v>
      </c>
      <c r="J1014">
        <v>25</v>
      </c>
      <c r="K1014" t="s">
        <v>16</v>
      </c>
      <c r="L1014" t="s">
        <v>17</v>
      </c>
      <c r="M1014">
        <f>IF(Table1[[#This Row],[ألغى الاشتراك]]="نعم",1,0)</f>
        <v>0</v>
      </c>
      <c r="N1014">
        <f>IF(Table1[[#This Row],[وسيلة الدفع]]="بطاقة",1,0)</f>
        <v>0</v>
      </c>
      <c r="O1014">
        <f>IF(Table1[[#This Row],[وسيلة الدفع]]="محفظة",1,0)</f>
        <v>0</v>
      </c>
      <c r="P1014">
        <f>IF(Table1[[#This Row],[وسيلة الدفع]]="تحويل",1,0)</f>
        <v>1</v>
      </c>
      <c r="Q1014">
        <f>IF(Table1[[#This Row],[حضر التهيئة]]="نعم",1,0)</f>
        <v>1</v>
      </c>
      <c r="R1014">
        <f>IF(Table1[[#This Row],[دورة الفوترة]]="شهري",1,0)</f>
        <v>0</v>
      </c>
    </row>
    <row r="1015" spans="1:18" x14ac:dyDescent="0.25">
      <c r="A1015" t="s">
        <v>1035</v>
      </c>
      <c r="B1015" s="1">
        <v>45902</v>
      </c>
      <c r="C1015" t="s">
        <v>28</v>
      </c>
      <c r="D1015">
        <v>39</v>
      </c>
      <c r="E1015" t="s">
        <v>20</v>
      </c>
      <c r="F1015">
        <v>29</v>
      </c>
      <c r="G1015" t="s">
        <v>15</v>
      </c>
      <c r="H1015">
        <v>4</v>
      </c>
      <c r="I1015">
        <v>41</v>
      </c>
      <c r="J1015">
        <v>0</v>
      </c>
      <c r="K1015" t="s">
        <v>17</v>
      </c>
      <c r="L1015" t="s">
        <v>17</v>
      </c>
      <c r="M1015">
        <f>IF(Table1[[#This Row],[ألغى الاشتراك]]="نعم",1,0)</f>
        <v>0</v>
      </c>
      <c r="N1015">
        <f>IF(Table1[[#This Row],[وسيلة الدفع]]="بطاقة",1,0)</f>
        <v>1</v>
      </c>
      <c r="O1015">
        <f>IF(Table1[[#This Row],[وسيلة الدفع]]="محفظة",1,0)</f>
        <v>0</v>
      </c>
      <c r="P1015">
        <f>IF(Table1[[#This Row],[وسيلة الدفع]]="تحويل",1,0)</f>
        <v>0</v>
      </c>
      <c r="Q1015">
        <f>IF(Table1[[#This Row],[حضر التهيئة]]="نعم",1,0)</f>
        <v>0</v>
      </c>
      <c r="R1015">
        <f>IF(Table1[[#This Row],[دورة الفوترة]]="شهري",1,0)</f>
        <v>0</v>
      </c>
    </row>
    <row r="1016" spans="1:18" x14ac:dyDescent="0.25">
      <c r="A1016" t="s">
        <v>1036</v>
      </c>
      <c r="B1016" s="1">
        <v>45588</v>
      </c>
      <c r="C1016" t="s">
        <v>13</v>
      </c>
      <c r="D1016">
        <v>89</v>
      </c>
      <c r="E1016" t="s">
        <v>14</v>
      </c>
      <c r="F1016">
        <v>28</v>
      </c>
      <c r="G1016" t="s">
        <v>23</v>
      </c>
      <c r="H1016">
        <v>1</v>
      </c>
      <c r="I1016">
        <v>28</v>
      </c>
      <c r="J1016">
        <v>0</v>
      </c>
      <c r="K1016" t="s">
        <v>17</v>
      </c>
      <c r="L1016" t="s">
        <v>17</v>
      </c>
      <c r="M1016">
        <f>IF(Table1[[#This Row],[ألغى الاشتراك]]="نعم",1,0)</f>
        <v>0</v>
      </c>
      <c r="N1016">
        <f>IF(Table1[[#This Row],[وسيلة الدفع]]="بطاقة",1,0)</f>
        <v>0</v>
      </c>
      <c r="O1016">
        <f>IF(Table1[[#This Row],[وسيلة الدفع]]="محفظة",1,0)</f>
        <v>0</v>
      </c>
      <c r="P1016">
        <f>IF(Table1[[#This Row],[وسيلة الدفع]]="تحويل",1,0)</f>
        <v>1</v>
      </c>
      <c r="Q1016">
        <f>IF(Table1[[#This Row],[حضر التهيئة]]="نعم",1,0)</f>
        <v>0</v>
      </c>
      <c r="R1016">
        <f>IF(Table1[[#This Row],[دورة الفوترة]]="شهري",1,0)</f>
        <v>1</v>
      </c>
    </row>
    <row r="1017" spans="1:18" x14ac:dyDescent="0.25">
      <c r="A1017" t="s">
        <v>1037</v>
      </c>
      <c r="B1017" s="1">
        <v>45740</v>
      </c>
      <c r="C1017" t="s">
        <v>28</v>
      </c>
      <c r="D1017">
        <v>39</v>
      </c>
      <c r="E1017" t="s">
        <v>14</v>
      </c>
      <c r="F1017">
        <v>15</v>
      </c>
      <c r="G1017" t="s">
        <v>15</v>
      </c>
      <c r="H1017">
        <v>0</v>
      </c>
      <c r="I1017">
        <v>3</v>
      </c>
      <c r="J1017">
        <v>0</v>
      </c>
      <c r="K1017" t="s">
        <v>17</v>
      </c>
      <c r="L1017" t="s">
        <v>17</v>
      </c>
      <c r="M1017">
        <f>IF(Table1[[#This Row],[ألغى الاشتراك]]="نعم",1,0)</f>
        <v>0</v>
      </c>
      <c r="N1017">
        <f>IF(Table1[[#This Row],[وسيلة الدفع]]="بطاقة",1,0)</f>
        <v>1</v>
      </c>
      <c r="O1017">
        <f>IF(Table1[[#This Row],[وسيلة الدفع]]="محفظة",1,0)</f>
        <v>0</v>
      </c>
      <c r="P1017">
        <f>IF(Table1[[#This Row],[وسيلة الدفع]]="تحويل",1,0)</f>
        <v>0</v>
      </c>
      <c r="Q1017">
        <f>IF(Table1[[#This Row],[حضر التهيئة]]="نعم",1,0)</f>
        <v>0</v>
      </c>
      <c r="R1017">
        <f>IF(Table1[[#This Row],[دورة الفوترة]]="شهري",1,0)</f>
        <v>1</v>
      </c>
    </row>
    <row r="1018" spans="1:18" x14ac:dyDescent="0.25">
      <c r="A1018" t="s">
        <v>1038</v>
      </c>
      <c r="B1018" s="1">
        <v>45643</v>
      </c>
      <c r="C1018" t="s">
        <v>13</v>
      </c>
      <c r="D1018">
        <v>89</v>
      </c>
      <c r="E1018" t="s">
        <v>20</v>
      </c>
      <c r="F1018">
        <v>10</v>
      </c>
      <c r="G1018" t="s">
        <v>15</v>
      </c>
      <c r="H1018">
        <v>1</v>
      </c>
      <c r="I1018">
        <v>58</v>
      </c>
      <c r="J1018">
        <v>0</v>
      </c>
      <c r="K1018" t="s">
        <v>17</v>
      </c>
      <c r="L1018" t="s">
        <v>17</v>
      </c>
      <c r="M1018">
        <f>IF(Table1[[#This Row],[ألغى الاشتراك]]="نعم",1,0)</f>
        <v>0</v>
      </c>
      <c r="N1018">
        <f>IF(Table1[[#This Row],[وسيلة الدفع]]="بطاقة",1,0)</f>
        <v>1</v>
      </c>
      <c r="O1018">
        <f>IF(Table1[[#This Row],[وسيلة الدفع]]="محفظة",1,0)</f>
        <v>0</v>
      </c>
      <c r="P1018">
        <f>IF(Table1[[#This Row],[وسيلة الدفع]]="تحويل",1,0)</f>
        <v>0</v>
      </c>
      <c r="Q1018">
        <f>IF(Table1[[#This Row],[حضر التهيئة]]="نعم",1,0)</f>
        <v>0</v>
      </c>
      <c r="R1018">
        <f>IF(Table1[[#This Row],[دورة الفوترة]]="شهري",1,0)</f>
        <v>0</v>
      </c>
    </row>
    <row r="1019" spans="1:18" x14ac:dyDescent="0.25">
      <c r="A1019" t="s">
        <v>1039</v>
      </c>
      <c r="B1019" s="1">
        <v>45787</v>
      </c>
      <c r="C1019" t="s">
        <v>28</v>
      </c>
      <c r="D1019">
        <v>39</v>
      </c>
      <c r="E1019" t="s">
        <v>20</v>
      </c>
      <c r="F1019">
        <v>11</v>
      </c>
      <c r="G1019" t="s">
        <v>21</v>
      </c>
      <c r="H1019">
        <v>2</v>
      </c>
      <c r="I1019">
        <v>7</v>
      </c>
      <c r="J1019">
        <v>0</v>
      </c>
      <c r="K1019" t="s">
        <v>16</v>
      </c>
      <c r="L1019" t="s">
        <v>17</v>
      </c>
      <c r="M1019">
        <f>IF(Table1[[#This Row],[ألغى الاشتراك]]="نعم",1,0)</f>
        <v>0</v>
      </c>
      <c r="N1019">
        <f>IF(Table1[[#This Row],[وسيلة الدفع]]="بطاقة",1,0)</f>
        <v>0</v>
      </c>
      <c r="O1019">
        <f>IF(Table1[[#This Row],[وسيلة الدفع]]="محفظة",1,0)</f>
        <v>1</v>
      </c>
      <c r="P1019">
        <f>IF(Table1[[#This Row],[وسيلة الدفع]]="تحويل",1,0)</f>
        <v>0</v>
      </c>
      <c r="Q1019">
        <f>IF(Table1[[#This Row],[حضر التهيئة]]="نعم",1,0)</f>
        <v>1</v>
      </c>
      <c r="R1019">
        <f>IF(Table1[[#This Row],[دورة الفوترة]]="شهري",1,0)</f>
        <v>0</v>
      </c>
    </row>
    <row r="1020" spans="1:18" x14ac:dyDescent="0.25">
      <c r="A1020" t="s">
        <v>1040</v>
      </c>
      <c r="B1020" s="1">
        <v>45341</v>
      </c>
      <c r="C1020" t="s">
        <v>28</v>
      </c>
      <c r="D1020">
        <v>39</v>
      </c>
      <c r="E1020" t="s">
        <v>20</v>
      </c>
      <c r="F1020">
        <v>22</v>
      </c>
      <c r="G1020" t="s">
        <v>15</v>
      </c>
      <c r="H1020">
        <v>1</v>
      </c>
      <c r="I1020">
        <v>20</v>
      </c>
      <c r="J1020">
        <v>0</v>
      </c>
      <c r="K1020" t="s">
        <v>16</v>
      </c>
      <c r="L1020" t="s">
        <v>17</v>
      </c>
      <c r="M1020">
        <f>IF(Table1[[#This Row],[ألغى الاشتراك]]="نعم",1,0)</f>
        <v>0</v>
      </c>
      <c r="N1020">
        <f>IF(Table1[[#This Row],[وسيلة الدفع]]="بطاقة",1,0)</f>
        <v>1</v>
      </c>
      <c r="O1020">
        <f>IF(Table1[[#This Row],[وسيلة الدفع]]="محفظة",1,0)</f>
        <v>0</v>
      </c>
      <c r="P1020">
        <f>IF(Table1[[#This Row],[وسيلة الدفع]]="تحويل",1,0)</f>
        <v>0</v>
      </c>
      <c r="Q1020">
        <f>IF(Table1[[#This Row],[حضر التهيئة]]="نعم",1,0)</f>
        <v>1</v>
      </c>
      <c r="R1020">
        <f>IF(Table1[[#This Row],[دورة الفوترة]]="شهري",1,0)</f>
        <v>0</v>
      </c>
    </row>
    <row r="1021" spans="1:18" x14ac:dyDescent="0.25">
      <c r="A1021" t="s">
        <v>1041</v>
      </c>
      <c r="B1021" s="1">
        <v>45736</v>
      </c>
      <c r="C1021" t="s">
        <v>19</v>
      </c>
      <c r="D1021">
        <v>189</v>
      </c>
      <c r="E1021" t="s">
        <v>14</v>
      </c>
      <c r="F1021">
        <v>29</v>
      </c>
      <c r="G1021" t="s">
        <v>23</v>
      </c>
      <c r="H1021">
        <v>11</v>
      </c>
      <c r="I1021">
        <v>59</v>
      </c>
      <c r="J1021">
        <v>0</v>
      </c>
      <c r="K1021" t="s">
        <v>16</v>
      </c>
      <c r="L1021" t="s">
        <v>17</v>
      </c>
      <c r="M1021">
        <f>IF(Table1[[#This Row],[ألغى الاشتراك]]="نعم",1,0)</f>
        <v>0</v>
      </c>
      <c r="N1021">
        <f>IF(Table1[[#This Row],[وسيلة الدفع]]="بطاقة",1,0)</f>
        <v>0</v>
      </c>
      <c r="O1021">
        <f>IF(Table1[[#This Row],[وسيلة الدفع]]="محفظة",1,0)</f>
        <v>0</v>
      </c>
      <c r="P1021">
        <f>IF(Table1[[#This Row],[وسيلة الدفع]]="تحويل",1,0)</f>
        <v>1</v>
      </c>
      <c r="Q1021">
        <f>IF(Table1[[#This Row],[حضر التهيئة]]="نعم",1,0)</f>
        <v>1</v>
      </c>
      <c r="R1021">
        <f>IF(Table1[[#This Row],[دورة الفوترة]]="شهري",1,0)</f>
        <v>1</v>
      </c>
    </row>
    <row r="1022" spans="1:18" x14ac:dyDescent="0.25">
      <c r="A1022" t="s">
        <v>1042</v>
      </c>
      <c r="B1022" s="1">
        <v>45407</v>
      </c>
      <c r="C1022" t="s">
        <v>19</v>
      </c>
      <c r="D1022">
        <v>189</v>
      </c>
      <c r="E1022" t="s">
        <v>20</v>
      </c>
      <c r="F1022">
        <v>16</v>
      </c>
      <c r="G1022" t="s">
        <v>15</v>
      </c>
      <c r="H1022">
        <v>1</v>
      </c>
      <c r="I1022">
        <v>20</v>
      </c>
      <c r="J1022">
        <v>0</v>
      </c>
      <c r="K1022" t="s">
        <v>17</v>
      </c>
      <c r="L1022" t="s">
        <v>17</v>
      </c>
      <c r="M1022">
        <f>IF(Table1[[#This Row],[ألغى الاشتراك]]="نعم",1,0)</f>
        <v>0</v>
      </c>
      <c r="N1022">
        <f>IF(Table1[[#This Row],[وسيلة الدفع]]="بطاقة",1,0)</f>
        <v>1</v>
      </c>
      <c r="O1022">
        <f>IF(Table1[[#This Row],[وسيلة الدفع]]="محفظة",1,0)</f>
        <v>0</v>
      </c>
      <c r="P1022">
        <f>IF(Table1[[#This Row],[وسيلة الدفع]]="تحويل",1,0)</f>
        <v>0</v>
      </c>
      <c r="Q1022">
        <f>IF(Table1[[#This Row],[حضر التهيئة]]="نعم",1,0)</f>
        <v>0</v>
      </c>
      <c r="R1022">
        <f>IF(Table1[[#This Row],[دورة الفوترة]]="شهري",1,0)</f>
        <v>0</v>
      </c>
    </row>
    <row r="1023" spans="1:18" x14ac:dyDescent="0.25">
      <c r="A1023" t="s">
        <v>1043</v>
      </c>
      <c r="B1023" s="1">
        <v>45926</v>
      </c>
      <c r="C1023" t="s">
        <v>13</v>
      </c>
      <c r="D1023">
        <v>89</v>
      </c>
      <c r="E1023" t="s">
        <v>14</v>
      </c>
      <c r="F1023">
        <v>11</v>
      </c>
      <c r="G1023" t="s">
        <v>23</v>
      </c>
      <c r="H1023">
        <v>1</v>
      </c>
      <c r="I1023">
        <v>55</v>
      </c>
      <c r="J1023">
        <v>0</v>
      </c>
      <c r="K1023" t="s">
        <v>16</v>
      </c>
      <c r="L1023" t="s">
        <v>16</v>
      </c>
      <c r="M1023">
        <f>IF(Table1[[#This Row],[ألغى الاشتراك]]="نعم",1,0)</f>
        <v>1</v>
      </c>
      <c r="N1023">
        <f>IF(Table1[[#This Row],[وسيلة الدفع]]="بطاقة",1,0)</f>
        <v>0</v>
      </c>
      <c r="O1023">
        <f>IF(Table1[[#This Row],[وسيلة الدفع]]="محفظة",1,0)</f>
        <v>0</v>
      </c>
      <c r="P1023">
        <f>IF(Table1[[#This Row],[وسيلة الدفع]]="تحويل",1,0)</f>
        <v>1</v>
      </c>
      <c r="Q1023">
        <f>IF(Table1[[#This Row],[حضر التهيئة]]="نعم",1,0)</f>
        <v>1</v>
      </c>
      <c r="R1023">
        <f>IF(Table1[[#This Row],[دورة الفوترة]]="شهري",1,0)</f>
        <v>1</v>
      </c>
    </row>
    <row r="1024" spans="1:18" x14ac:dyDescent="0.25">
      <c r="A1024" t="s">
        <v>1044</v>
      </c>
      <c r="B1024" s="1">
        <v>45862</v>
      </c>
      <c r="C1024" t="s">
        <v>13</v>
      </c>
      <c r="D1024">
        <v>89</v>
      </c>
      <c r="E1024" t="s">
        <v>20</v>
      </c>
      <c r="F1024">
        <v>22</v>
      </c>
      <c r="G1024" t="s">
        <v>15</v>
      </c>
      <c r="H1024">
        <v>9</v>
      </c>
      <c r="I1024">
        <v>58</v>
      </c>
      <c r="J1024">
        <v>15</v>
      </c>
      <c r="K1024" t="s">
        <v>17</v>
      </c>
      <c r="L1024" t="s">
        <v>17</v>
      </c>
      <c r="M1024">
        <f>IF(Table1[[#This Row],[ألغى الاشتراك]]="نعم",1,0)</f>
        <v>0</v>
      </c>
      <c r="N1024">
        <f>IF(Table1[[#This Row],[وسيلة الدفع]]="بطاقة",1,0)</f>
        <v>1</v>
      </c>
      <c r="O1024">
        <f>IF(Table1[[#This Row],[وسيلة الدفع]]="محفظة",1,0)</f>
        <v>0</v>
      </c>
      <c r="P1024">
        <f>IF(Table1[[#This Row],[وسيلة الدفع]]="تحويل",1,0)</f>
        <v>0</v>
      </c>
      <c r="Q1024">
        <f>IF(Table1[[#This Row],[حضر التهيئة]]="نعم",1,0)</f>
        <v>0</v>
      </c>
      <c r="R1024">
        <f>IF(Table1[[#This Row],[دورة الفوترة]]="شهري",1,0)</f>
        <v>0</v>
      </c>
    </row>
    <row r="1025" spans="1:18" x14ac:dyDescent="0.25">
      <c r="A1025" t="s">
        <v>1045</v>
      </c>
      <c r="B1025" s="1">
        <v>45529</v>
      </c>
      <c r="C1025" t="s">
        <v>13</v>
      </c>
      <c r="D1025">
        <v>89</v>
      </c>
      <c r="E1025" t="s">
        <v>14</v>
      </c>
      <c r="F1025">
        <v>30</v>
      </c>
      <c r="G1025" t="s">
        <v>15</v>
      </c>
      <c r="H1025">
        <v>10</v>
      </c>
      <c r="I1025">
        <v>18</v>
      </c>
      <c r="J1025">
        <v>0</v>
      </c>
      <c r="K1025" t="s">
        <v>17</v>
      </c>
      <c r="L1025" t="s">
        <v>17</v>
      </c>
      <c r="M1025">
        <f>IF(Table1[[#This Row],[ألغى الاشتراك]]="نعم",1,0)</f>
        <v>0</v>
      </c>
      <c r="N1025">
        <f>IF(Table1[[#This Row],[وسيلة الدفع]]="بطاقة",1,0)</f>
        <v>1</v>
      </c>
      <c r="O1025">
        <f>IF(Table1[[#This Row],[وسيلة الدفع]]="محفظة",1,0)</f>
        <v>0</v>
      </c>
      <c r="P1025">
        <f>IF(Table1[[#This Row],[وسيلة الدفع]]="تحويل",1,0)</f>
        <v>0</v>
      </c>
      <c r="Q1025">
        <f>IF(Table1[[#This Row],[حضر التهيئة]]="نعم",1,0)</f>
        <v>0</v>
      </c>
      <c r="R1025">
        <f>IF(Table1[[#This Row],[دورة الفوترة]]="شهري",1,0)</f>
        <v>1</v>
      </c>
    </row>
    <row r="1026" spans="1:18" x14ac:dyDescent="0.25">
      <c r="A1026" t="s">
        <v>1046</v>
      </c>
      <c r="B1026" s="1">
        <v>45663</v>
      </c>
      <c r="C1026" t="s">
        <v>19</v>
      </c>
      <c r="D1026">
        <v>189</v>
      </c>
      <c r="E1026" t="s">
        <v>14</v>
      </c>
      <c r="F1026">
        <v>27</v>
      </c>
      <c r="G1026" t="s">
        <v>15</v>
      </c>
      <c r="H1026">
        <v>0</v>
      </c>
      <c r="I1026">
        <v>3</v>
      </c>
      <c r="J1026">
        <v>0</v>
      </c>
      <c r="K1026" t="s">
        <v>16</v>
      </c>
      <c r="L1026" t="s">
        <v>17</v>
      </c>
      <c r="M1026">
        <f>IF(Table1[[#This Row],[ألغى الاشتراك]]="نعم",1,0)</f>
        <v>0</v>
      </c>
      <c r="N1026">
        <f>IF(Table1[[#This Row],[وسيلة الدفع]]="بطاقة",1,0)</f>
        <v>1</v>
      </c>
      <c r="O1026">
        <f>IF(Table1[[#This Row],[وسيلة الدفع]]="محفظة",1,0)</f>
        <v>0</v>
      </c>
      <c r="P1026">
        <f>IF(Table1[[#This Row],[وسيلة الدفع]]="تحويل",1,0)</f>
        <v>0</v>
      </c>
      <c r="Q1026">
        <f>IF(Table1[[#This Row],[حضر التهيئة]]="نعم",1,0)</f>
        <v>1</v>
      </c>
      <c r="R1026">
        <f>IF(Table1[[#This Row],[دورة الفوترة]]="شهري",1,0)</f>
        <v>1</v>
      </c>
    </row>
    <row r="1027" spans="1:18" x14ac:dyDescent="0.25">
      <c r="A1027" t="s">
        <v>1047</v>
      </c>
      <c r="B1027" s="1">
        <v>45846</v>
      </c>
      <c r="C1027" t="s">
        <v>19</v>
      </c>
      <c r="D1027">
        <v>189</v>
      </c>
      <c r="E1027" t="s">
        <v>14</v>
      </c>
      <c r="F1027">
        <v>18</v>
      </c>
      <c r="G1027" t="s">
        <v>23</v>
      </c>
      <c r="H1027">
        <v>3</v>
      </c>
      <c r="I1027">
        <v>46</v>
      </c>
      <c r="J1027">
        <v>15</v>
      </c>
      <c r="K1027" t="s">
        <v>16</v>
      </c>
      <c r="L1027" t="s">
        <v>17</v>
      </c>
      <c r="M1027">
        <f>IF(Table1[[#This Row],[ألغى الاشتراك]]="نعم",1,0)</f>
        <v>0</v>
      </c>
      <c r="N1027">
        <f>IF(Table1[[#This Row],[وسيلة الدفع]]="بطاقة",1,0)</f>
        <v>0</v>
      </c>
      <c r="O1027">
        <f>IF(Table1[[#This Row],[وسيلة الدفع]]="محفظة",1,0)</f>
        <v>0</v>
      </c>
      <c r="P1027">
        <f>IF(Table1[[#This Row],[وسيلة الدفع]]="تحويل",1,0)</f>
        <v>1</v>
      </c>
      <c r="Q1027">
        <f>IF(Table1[[#This Row],[حضر التهيئة]]="نعم",1,0)</f>
        <v>1</v>
      </c>
      <c r="R1027">
        <f>IF(Table1[[#This Row],[دورة الفوترة]]="شهري",1,0)</f>
        <v>1</v>
      </c>
    </row>
    <row r="1028" spans="1:18" x14ac:dyDescent="0.25">
      <c r="A1028" t="s">
        <v>1048</v>
      </c>
      <c r="B1028" s="1">
        <v>45635</v>
      </c>
      <c r="C1028" t="s">
        <v>19</v>
      </c>
      <c r="D1028">
        <v>189</v>
      </c>
      <c r="E1028" t="s">
        <v>14</v>
      </c>
      <c r="F1028">
        <v>26</v>
      </c>
      <c r="G1028" t="s">
        <v>21</v>
      </c>
      <c r="H1028">
        <v>10</v>
      </c>
      <c r="I1028">
        <v>28</v>
      </c>
      <c r="J1028">
        <v>0</v>
      </c>
      <c r="K1028" t="s">
        <v>16</v>
      </c>
      <c r="L1028" t="s">
        <v>17</v>
      </c>
      <c r="M1028">
        <f>IF(Table1[[#This Row],[ألغى الاشتراك]]="نعم",1,0)</f>
        <v>0</v>
      </c>
      <c r="N1028">
        <f>IF(Table1[[#This Row],[وسيلة الدفع]]="بطاقة",1,0)</f>
        <v>0</v>
      </c>
      <c r="O1028">
        <f>IF(Table1[[#This Row],[وسيلة الدفع]]="محفظة",1,0)</f>
        <v>1</v>
      </c>
      <c r="P1028">
        <f>IF(Table1[[#This Row],[وسيلة الدفع]]="تحويل",1,0)</f>
        <v>0</v>
      </c>
      <c r="Q1028">
        <f>IF(Table1[[#This Row],[حضر التهيئة]]="نعم",1,0)</f>
        <v>1</v>
      </c>
      <c r="R1028">
        <f>IF(Table1[[#This Row],[دورة الفوترة]]="شهري",1,0)</f>
        <v>1</v>
      </c>
    </row>
    <row r="1029" spans="1:18" x14ac:dyDescent="0.25">
      <c r="A1029" t="s">
        <v>1049</v>
      </c>
      <c r="B1029" s="1">
        <v>45914</v>
      </c>
      <c r="C1029" t="s">
        <v>19</v>
      </c>
      <c r="D1029">
        <v>189</v>
      </c>
      <c r="E1029" t="s">
        <v>20</v>
      </c>
      <c r="F1029">
        <v>9</v>
      </c>
      <c r="G1029" t="s">
        <v>15</v>
      </c>
      <c r="H1029">
        <v>10</v>
      </c>
      <c r="I1029">
        <v>9</v>
      </c>
      <c r="J1029">
        <v>0</v>
      </c>
      <c r="K1029" t="s">
        <v>17</v>
      </c>
      <c r="L1029" t="s">
        <v>16</v>
      </c>
      <c r="M1029">
        <f>IF(Table1[[#This Row],[ألغى الاشتراك]]="نعم",1,0)</f>
        <v>1</v>
      </c>
      <c r="N1029">
        <f>IF(Table1[[#This Row],[وسيلة الدفع]]="بطاقة",1,0)</f>
        <v>1</v>
      </c>
      <c r="O1029">
        <f>IF(Table1[[#This Row],[وسيلة الدفع]]="محفظة",1,0)</f>
        <v>0</v>
      </c>
      <c r="P1029">
        <f>IF(Table1[[#This Row],[وسيلة الدفع]]="تحويل",1,0)</f>
        <v>0</v>
      </c>
      <c r="Q1029">
        <f>IF(Table1[[#This Row],[حضر التهيئة]]="نعم",1,0)</f>
        <v>0</v>
      </c>
      <c r="R1029">
        <f>IF(Table1[[#This Row],[دورة الفوترة]]="شهري",1,0)</f>
        <v>0</v>
      </c>
    </row>
    <row r="1030" spans="1:18" x14ac:dyDescent="0.25">
      <c r="A1030" t="s">
        <v>1050</v>
      </c>
      <c r="B1030" s="1">
        <v>45858</v>
      </c>
      <c r="C1030" t="s">
        <v>19</v>
      </c>
      <c r="D1030">
        <v>189</v>
      </c>
      <c r="E1030" t="s">
        <v>14</v>
      </c>
      <c r="F1030">
        <v>14</v>
      </c>
      <c r="G1030" t="s">
        <v>15</v>
      </c>
      <c r="H1030">
        <v>1</v>
      </c>
      <c r="I1030">
        <v>20</v>
      </c>
      <c r="J1030">
        <v>15</v>
      </c>
      <c r="K1030" t="s">
        <v>17</v>
      </c>
      <c r="L1030" t="s">
        <v>17</v>
      </c>
      <c r="M1030">
        <f>IF(Table1[[#This Row],[ألغى الاشتراك]]="نعم",1,0)</f>
        <v>0</v>
      </c>
      <c r="N1030">
        <f>IF(Table1[[#This Row],[وسيلة الدفع]]="بطاقة",1,0)</f>
        <v>1</v>
      </c>
      <c r="O1030">
        <f>IF(Table1[[#This Row],[وسيلة الدفع]]="محفظة",1,0)</f>
        <v>0</v>
      </c>
      <c r="P1030">
        <f>IF(Table1[[#This Row],[وسيلة الدفع]]="تحويل",1,0)</f>
        <v>0</v>
      </c>
      <c r="Q1030">
        <f>IF(Table1[[#This Row],[حضر التهيئة]]="نعم",1,0)</f>
        <v>0</v>
      </c>
      <c r="R1030">
        <f>IF(Table1[[#This Row],[دورة الفوترة]]="شهري",1,0)</f>
        <v>1</v>
      </c>
    </row>
    <row r="1031" spans="1:18" x14ac:dyDescent="0.25">
      <c r="A1031" t="s">
        <v>1051</v>
      </c>
      <c r="B1031" s="1">
        <v>45407</v>
      </c>
      <c r="C1031" t="s">
        <v>19</v>
      </c>
      <c r="D1031">
        <v>189</v>
      </c>
      <c r="E1031" t="s">
        <v>14</v>
      </c>
      <c r="F1031">
        <v>4</v>
      </c>
      <c r="G1031" t="s">
        <v>21</v>
      </c>
      <c r="H1031">
        <v>0</v>
      </c>
      <c r="I1031">
        <v>10</v>
      </c>
      <c r="J1031">
        <v>0</v>
      </c>
      <c r="K1031" t="s">
        <v>17</v>
      </c>
      <c r="L1031" t="s">
        <v>17</v>
      </c>
      <c r="M1031">
        <f>IF(Table1[[#This Row],[ألغى الاشتراك]]="نعم",1,0)</f>
        <v>0</v>
      </c>
      <c r="N1031">
        <f>IF(Table1[[#This Row],[وسيلة الدفع]]="بطاقة",1,0)</f>
        <v>0</v>
      </c>
      <c r="O1031">
        <f>IF(Table1[[#This Row],[وسيلة الدفع]]="محفظة",1,0)</f>
        <v>1</v>
      </c>
      <c r="P1031">
        <f>IF(Table1[[#This Row],[وسيلة الدفع]]="تحويل",1,0)</f>
        <v>0</v>
      </c>
      <c r="Q1031">
        <f>IF(Table1[[#This Row],[حضر التهيئة]]="نعم",1,0)</f>
        <v>0</v>
      </c>
      <c r="R1031">
        <f>IF(Table1[[#This Row],[دورة الفوترة]]="شهري",1,0)</f>
        <v>1</v>
      </c>
    </row>
    <row r="1032" spans="1:18" x14ac:dyDescent="0.25">
      <c r="A1032" t="s">
        <v>1052</v>
      </c>
      <c r="B1032" s="1">
        <v>45454</v>
      </c>
      <c r="C1032" t="s">
        <v>13</v>
      </c>
      <c r="D1032">
        <v>89</v>
      </c>
      <c r="E1032" t="s">
        <v>20</v>
      </c>
      <c r="F1032">
        <v>25</v>
      </c>
      <c r="G1032" t="s">
        <v>15</v>
      </c>
      <c r="H1032">
        <v>0</v>
      </c>
      <c r="I1032">
        <v>51</v>
      </c>
      <c r="J1032">
        <v>10</v>
      </c>
      <c r="K1032" t="s">
        <v>16</v>
      </c>
      <c r="L1032" t="s">
        <v>17</v>
      </c>
      <c r="M1032">
        <f>IF(Table1[[#This Row],[ألغى الاشتراك]]="نعم",1,0)</f>
        <v>0</v>
      </c>
      <c r="N1032">
        <f>IF(Table1[[#This Row],[وسيلة الدفع]]="بطاقة",1,0)</f>
        <v>1</v>
      </c>
      <c r="O1032">
        <f>IF(Table1[[#This Row],[وسيلة الدفع]]="محفظة",1,0)</f>
        <v>0</v>
      </c>
      <c r="P1032">
        <f>IF(Table1[[#This Row],[وسيلة الدفع]]="تحويل",1,0)</f>
        <v>0</v>
      </c>
      <c r="Q1032">
        <f>IF(Table1[[#This Row],[حضر التهيئة]]="نعم",1,0)</f>
        <v>1</v>
      </c>
      <c r="R1032">
        <f>IF(Table1[[#This Row],[دورة الفوترة]]="شهري",1,0)</f>
        <v>0</v>
      </c>
    </row>
    <row r="1033" spans="1:18" x14ac:dyDescent="0.25">
      <c r="A1033" t="s">
        <v>1053</v>
      </c>
      <c r="B1033" s="1">
        <v>45505</v>
      </c>
      <c r="C1033" t="s">
        <v>19</v>
      </c>
      <c r="D1033">
        <v>189</v>
      </c>
      <c r="E1033" t="s">
        <v>14</v>
      </c>
      <c r="F1033">
        <v>25</v>
      </c>
      <c r="G1033" t="s">
        <v>21</v>
      </c>
      <c r="H1033">
        <v>0</v>
      </c>
      <c r="I1033">
        <v>47</v>
      </c>
      <c r="J1033">
        <v>25</v>
      </c>
      <c r="K1033" t="s">
        <v>17</v>
      </c>
      <c r="L1033" t="s">
        <v>17</v>
      </c>
      <c r="M1033">
        <f>IF(Table1[[#This Row],[ألغى الاشتراك]]="نعم",1,0)</f>
        <v>0</v>
      </c>
      <c r="N1033">
        <f>IF(Table1[[#This Row],[وسيلة الدفع]]="بطاقة",1,0)</f>
        <v>0</v>
      </c>
      <c r="O1033">
        <f>IF(Table1[[#This Row],[وسيلة الدفع]]="محفظة",1,0)</f>
        <v>1</v>
      </c>
      <c r="P1033">
        <f>IF(Table1[[#This Row],[وسيلة الدفع]]="تحويل",1,0)</f>
        <v>0</v>
      </c>
      <c r="Q1033">
        <f>IF(Table1[[#This Row],[حضر التهيئة]]="نعم",1,0)</f>
        <v>0</v>
      </c>
      <c r="R1033">
        <f>IF(Table1[[#This Row],[دورة الفوترة]]="شهري",1,0)</f>
        <v>1</v>
      </c>
    </row>
    <row r="1034" spans="1:18" x14ac:dyDescent="0.25">
      <c r="A1034" t="s">
        <v>1054</v>
      </c>
      <c r="B1034" s="1">
        <v>45799</v>
      </c>
      <c r="C1034" t="s">
        <v>28</v>
      </c>
      <c r="D1034">
        <v>39</v>
      </c>
      <c r="E1034" t="s">
        <v>14</v>
      </c>
      <c r="F1034">
        <v>15</v>
      </c>
      <c r="G1034" t="s">
        <v>23</v>
      </c>
      <c r="H1034">
        <v>8</v>
      </c>
      <c r="I1034">
        <v>31</v>
      </c>
      <c r="J1034">
        <v>0</v>
      </c>
      <c r="K1034" t="s">
        <v>17</v>
      </c>
      <c r="L1034" t="s">
        <v>17</v>
      </c>
      <c r="M1034">
        <f>IF(Table1[[#This Row],[ألغى الاشتراك]]="نعم",1,0)</f>
        <v>0</v>
      </c>
      <c r="N1034">
        <f>IF(Table1[[#This Row],[وسيلة الدفع]]="بطاقة",1,0)</f>
        <v>0</v>
      </c>
      <c r="O1034">
        <f>IF(Table1[[#This Row],[وسيلة الدفع]]="محفظة",1,0)</f>
        <v>0</v>
      </c>
      <c r="P1034">
        <f>IF(Table1[[#This Row],[وسيلة الدفع]]="تحويل",1,0)</f>
        <v>1</v>
      </c>
      <c r="Q1034">
        <f>IF(Table1[[#This Row],[حضر التهيئة]]="نعم",1,0)</f>
        <v>0</v>
      </c>
      <c r="R1034">
        <f>IF(Table1[[#This Row],[دورة الفوترة]]="شهري",1,0)</f>
        <v>1</v>
      </c>
    </row>
    <row r="1035" spans="1:18" x14ac:dyDescent="0.25">
      <c r="A1035" t="s">
        <v>1055</v>
      </c>
      <c r="B1035" s="1">
        <v>45580</v>
      </c>
      <c r="C1035" t="s">
        <v>28</v>
      </c>
      <c r="D1035">
        <v>39</v>
      </c>
      <c r="E1035" t="s">
        <v>14</v>
      </c>
      <c r="F1035">
        <v>8</v>
      </c>
      <c r="G1035" t="s">
        <v>21</v>
      </c>
      <c r="H1035">
        <v>1</v>
      </c>
      <c r="I1035">
        <v>48</v>
      </c>
      <c r="J1035">
        <v>0</v>
      </c>
      <c r="K1035" t="s">
        <v>17</v>
      </c>
      <c r="L1035" t="s">
        <v>17</v>
      </c>
      <c r="M1035">
        <f>IF(Table1[[#This Row],[ألغى الاشتراك]]="نعم",1,0)</f>
        <v>0</v>
      </c>
      <c r="N1035">
        <f>IF(Table1[[#This Row],[وسيلة الدفع]]="بطاقة",1,0)</f>
        <v>0</v>
      </c>
      <c r="O1035">
        <f>IF(Table1[[#This Row],[وسيلة الدفع]]="محفظة",1,0)</f>
        <v>1</v>
      </c>
      <c r="P1035">
        <f>IF(Table1[[#This Row],[وسيلة الدفع]]="تحويل",1,0)</f>
        <v>0</v>
      </c>
      <c r="Q1035">
        <f>IF(Table1[[#This Row],[حضر التهيئة]]="نعم",1,0)</f>
        <v>0</v>
      </c>
      <c r="R1035">
        <f>IF(Table1[[#This Row],[دورة الفوترة]]="شهري",1,0)</f>
        <v>1</v>
      </c>
    </row>
    <row r="1036" spans="1:18" x14ac:dyDescent="0.25">
      <c r="A1036" t="s">
        <v>1056</v>
      </c>
      <c r="B1036" s="1">
        <v>45858</v>
      </c>
      <c r="C1036" t="s">
        <v>28</v>
      </c>
      <c r="D1036">
        <v>39</v>
      </c>
      <c r="E1036" t="s">
        <v>14</v>
      </c>
      <c r="F1036">
        <v>17</v>
      </c>
      <c r="G1036" t="s">
        <v>21</v>
      </c>
      <c r="H1036">
        <v>0</v>
      </c>
      <c r="I1036">
        <v>49</v>
      </c>
      <c r="J1036">
        <v>0</v>
      </c>
      <c r="K1036" t="s">
        <v>16</v>
      </c>
      <c r="L1036" t="s">
        <v>17</v>
      </c>
      <c r="M1036">
        <f>IF(Table1[[#This Row],[ألغى الاشتراك]]="نعم",1,0)</f>
        <v>0</v>
      </c>
      <c r="N1036">
        <f>IF(Table1[[#This Row],[وسيلة الدفع]]="بطاقة",1,0)</f>
        <v>0</v>
      </c>
      <c r="O1036">
        <f>IF(Table1[[#This Row],[وسيلة الدفع]]="محفظة",1,0)</f>
        <v>1</v>
      </c>
      <c r="P1036">
        <f>IF(Table1[[#This Row],[وسيلة الدفع]]="تحويل",1,0)</f>
        <v>0</v>
      </c>
      <c r="Q1036">
        <f>IF(Table1[[#This Row],[حضر التهيئة]]="نعم",1,0)</f>
        <v>1</v>
      </c>
      <c r="R1036">
        <f>IF(Table1[[#This Row],[دورة الفوترة]]="شهري",1,0)</f>
        <v>1</v>
      </c>
    </row>
    <row r="1037" spans="1:18" x14ac:dyDescent="0.25">
      <c r="A1037" t="s">
        <v>1057</v>
      </c>
      <c r="B1037" s="1">
        <v>45513</v>
      </c>
      <c r="C1037" t="s">
        <v>28</v>
      </c>
      <c r="D1037">
        <v>39</v>
      </c>
      <c r="E1037" t="s">
        <v>14</v>
      </c>
      <c r="F1037">
        <v>22</v>
      </c>
      <c r="G1037" t="s">
        <v>21</v>
      </c>
      <c r="H1037">
        <v>0</v>
      </c>
      <c r="I1037">
        <v>38</v>
      </c>
      <c r="J1037">
        <v>0</v>
      </c>
      <c r="K1037" t="s">
        <v>17</v>
      </c>
      <c r="L1037" t="s">
        <v>17</v>
      </c>
      <c r="M1037">
        <f>IF(Table1[[#This Row],[ألغى الاشتراك]]="نعم",1,0)</f>
        <v>0</v>
      </c>
      <c r="N1037">
        <f>IF(Table1[[#This Row],[وسيلة الدفع]]="بطاقة",1,0)</f>
        <v>0</v>
      </c>
      <c r="O1037">
        <f>IF(Table1[[#This Row],[وسيلة الدفع]]="محفظة",1,0)</f>
        <v>1</v>
      </c>
      <c r="P1037">
        <f>IF(Table1[[#This Row],[وسيلة الدفع]]="تحويل",1,0)</f>
        <v>0</v>
      </c>
      <c r="Q1037">
        <f>IF(Table1[[#This Row],[حضر التهيئة]]="نعم",1,0)</f>
        <v>0</v>
      </c>
      <c r="R1037">
        <f>IF(Table1[[#This Row],[دورة الفوترة]]="شهري",1,0)</f>
        <v>1</v>
      </c>
    </row>
    <row r="1038" spans="1:18" x14ac:dyDescent="0.25">
      <c r="A1038" t="s">
        <v>1058</v>
      </c>
      <c r="B1038" s="1">
        <v>45659</v>
      </c>
      <c r="C1038" t="s">
        <v>19</v>
      </c>
      <c r="D1038">
        <v>189</v>
      </c>
      <c r="E1038" t="s">
        <v>20</v>
      </c>
      <c r="F1038">
        <v>13</v>
      </c>
      <c r="G1038" t="s">
        <v>23</v>
      </c>
      <c r="H1038">
        <v>2</v>
      </c>
      <c r="I1038">
        <v>53</v>
      </c>
      <c r="J1038">
        <v>0</v>
      </c>
      <c r="K1038" t="s">
        <v>17</v>
      </c>
      <c r="L1038" t="s">
        <v>17</v>
      </c>
      <c r="M1038">
        <f>IF(Table1[[#This Row],[ألغى الاشتراك]]="نعم",1,0)</f>
        <v>0</v>
      </c>
      <c r="N1038">
        <f>IF(Table1[[#This Row],[وسيلة الدفع]]="بطاقة",1,0)</f>
        <v>0</v>
      </c>
      <c r="O1038">
        <f>IF(Table1[[#This Row],[وسيلة الدفع]]="محفظة",1,0)</f>
        <v>0</v>
      </c>
      <c r="P1038">
        <f>IF(Table1[[#This Row],[وسيلة الدفع]]="تحويل",1,0)</f>
        <v>1</v>
      </c>
      <c r="Q1038">
        <f>IF(Table1[[#This Row],[حضر التهيئة]]="نعم",1,0)</f>
        <v>0</v>
      </c>
      <c r="R1038">
        <f>IF(Table1[[#This Row],[دورة الفوترة]]="شهري",1,0)</f>
        <v>0</v>
      </c>
    </row>
    <row r="1039" spans="1:18" x14ac:dyDescent="0.25">
      <c r="A1039" t="s">
        <v>1059</v>
      </c>
      <c r="B1039" s="1">
        <v>45866</v>
      </c>
      <c r="C1039" t="s">
        <v>19</v>
      </c>
      <c r="D1039">
        <v>189</v>
      </c>
      <c r="E1039" t="s">
        <v>20</v>
      </c>
      <c r="F1039">
        <v>8</v>
      </c>
      <c r="G1039" t="s">
        <v>15</v>
      </c>
      <c r="H1039">
        <v>2</v>
      </c>
      <c r="I1039">
        <v>26</v>
      </c>
      <c r="J1039">
        <v>15</v>
      </c>
      <c r="K1039" t="s">
        <v>16</v>
      </c>
      <c r="L1039" t="s">
        <v>17</v>
      </c>
      <c r="M1039">
        <f>IF(Table1[[#This Row],[ألغى الاشتراك]]="نعم",1,0)</f>
        <v>0</v>
      </c>
      <c r="N1039">
        <f>IF(Table1[[#This Row],[وسيلة الدفع]]="بطاقة",1,0)</f>
        <v>1</v>
      </c>
      <c r="O1039">
        <f>IF(Table1[[#This Row],[وسيلة الدفع]]="محفظة",1,0)</f>
        <v>0</v>
      </c>
      <c r="P1039">
        <f>IF(Table1[[#This Row],[وسيلة الدفع]]="تحويل",1,0)</f>
        <v>0</v>
      </c>
      <c r="Q1039">
        <f>IF(Table1[[#This Row],[حضر التهيئة]]="نعم",1,0)</f>
        <v>1</v>
      </c>
      <c r="R1039">
        <f>IF(Table1[[#This Row],[دورة الفوترة]]="شهري",1,0)</f>
        <v>0</v>
      </c>
    </row>
    <row r="1040" spans="1:18" x14ac:dyDescent="0.25">
      <c r="A1040" t="s">
        <v>1060</v>
      </c>
      <c r="B1040" s="1">
        <v>45787</v>
      </c>
      <c r="C1040" t="s">
        <v>19</v>
      </c>
      <c r="D1040">
        <v>189</v>
      </c>
      <c r="E1040" t="s">
        <v>20</v>
      </c>
      <c r="F1040">
        <v>30</v>
      </c>
      <c r="G1040" t="s">
        <v>23</v>
      </c>
      <c r="H1040">
        <v>2</v>
      </c>
      <c r="I1040">
        <v>42</v>
      </c>
      <c r="J1040">
        <v>5</v>
      </c>
      <c r="K1040" t="s">
        <v>16</v>
      </c>
      <c r="L1040" t="s">
        <v>17</v>
      </c>
      <c r="M1040">
        <f>IF(Table1[[#This Row],[ألغى الاشتراك]]="نعم",1,0)</f>
        <v>0</v>
      </c>
      <c r="N1040">
        <f>IF(Table1[[#This Row],[وسيلة الدفع]]="بطاقة",1,0)</f>
        <v>0</v>
      </c>
      <c r="O1040">
        <f>IF(Table1[[#This Row],[وسيلة الدفع]]="محفظة",1,0)</f>
        <v>0</v>
      </c>
      <c r="P1040">
        <f>IF(Table1[[#This Row],[وسيلة الدفع]]="تحويل",1,0)</f>
        <v>1</v>
      </c>
      <c r="Q1040">
        <f>IF(Table1[[#This Row],[حضر التهيئة]]="نعم",1,0)</f>
        <v>1</v>
      </c>
      <c r="R1040">
        <f>IF(Table1[[#This Row],[دورة الفوترة]]="شهري",1,0)</f>
        <v>0</v>
      </c>
    </row>
    <row r="1041" spans="1:18" x14ac:dyDescent="0.25">
      <c r="A1041" t="s">
        <v>1061</v>
      </c>
      <c r="B1041" s="1">
        <v>45862</v>
      </c>
      <c r="C1041" t="s">
        <v>13</v>
      </c>
      <c r="D1041">
        <v>89</v>
      </c>
      <c r="E1041" t="s">
        <v>14</v>
      </c>
      <c r="F1041">
        <v>14</v>
      </c>
      <c r="G1041" t="s">
        <v>15</v>
      </c>
      <c r="H1041">
        <v>8</v>
      </c>
      <c r="I1041">
        <v>30</v>
      </c>
      <c r="J1041">
        <v>15</v>
      </c>
      <c r="K1041" t="s">
        <v>16</v>
      </c>
      <c r="L1041" t="s">
        <v>17</v>
      </c>
      <c r="M1041">
        <f>IF(Table1[[#This Row],[ألغى الاشتراك]]="نعم",1,0)</f>
        <v>0</v>
      </c>
      <c r="N1041">
        <f>IF(Table1[[#This Row],[وسيلة الدفع]]="بطاقة",1,0)</f>
        <v>1</v>
      </c>
      <c r="O1041">
        <f>IF(Table1[[#This Row],[وسيلة الدفع]]="محفظة",1,0)</f>
        <v>0</v>
      </c>
      <c r="P1041">
        <f>IF(Table1[[#This Row],[وسيلة الدفع]]="تحويل",1,0)</f>
        <v>0</v>
      </c>
      <c r="Q1041">
        <f>IF(Table1[[#This Row],[حضر التهيئة]]="نعم",1,0)</f>
        <v>1</v>
      </c>
      <c r="R1041">
        <f>IF(Table1[[#This Row],[دورة الفوترة]]="شهري",1,0)</f>
        <v>1</v>
      </c>
    </row>
    <row r="1042" spans="1:18" x14ac:dyDescent="0.25">
      <c r="A1042" t="s">
        <v>1062</v>
      </c>
      <c r="B1042" s="1">
        <v>45803</v>
      </c>
      <c r="C1042" t="s">
        <v>28</v>
      </c>
      <c r="D1042">
        <v>39</v>
      </c>
      <c r="E1042" t="s">
        <v>20</v>
      </c>
      <c r="F1042">
        <v>8</v>
      </c>
      <c r="G1042" t="s">
        <v>15</v>
      </c>
      <c r="H1042">
        <v>3</v>
      </c>
      <c r="I1042">
        <v>2</v>
      </c>
      <c r="J1042">
        <v>5</v>
      </c>
      <c r="K1042" t="s">
        <v>17</v>
      </c>
      <c r="L1042" t="s">
        <v>16</v>
      </c>
      <c r="M1042">
        <f>IF(Table1[[#This Row],[ألغى الاشتراك]]="نعم",1,0)</f>
        <v>1</v>
      </c>
      <c r="N1042">
        <f>IF(Table1[[#This Row],[وسيلة الدفع]]="بطاقة",1,0)</f>
        <v>1</v>
      </c>
      <c r="O1042">
        <f>IF(Table1[[#This Row],[وسيلة الدفع]]="محفظة",1,0)</f>
        <v>0</v>
      </c>
      <c r="P1042">
        <f>IF(Table1[[#This Row],[وسيلة الدفع]]="تحويل",1,0)</f>
        <v>0</v>
      </c>
      <c r="Q1042">
        <f>IF(Table1[[#This Row],[حضر التهيئة]]="نعم",1,0)</f>
        <v>0</v>
      </c>
      <c r="R1042">
        <f>IF(Table1[[#This Row],[دورة الفوترة]]="شهري",1,0)</f>
        <v>0</v>
      </c>
    </row>
    <row r="1043" spans="1:18" x14ac:dyDescent="0.25">
      <c r="A1043" t="s">
        <v>1063</v>
      </c>
      <c r="B1043" s="1">
        <v>45572</v>
      </c>
      <c r="C1043" t="s">
        <v>28</v>
      </c>
      <c r="D1043">
        <v>39</v>
      </c>
      <c r="E1043" t="s">
        <v>14</v>
      </c>
      <c r="F1043">
        <v>18</v>
      </c>
      <c r="G1043" t="s">
        <v>15</v>
      </c>
      <c r="H1043">
        <v>1</v>
      </c>
      <c r="I1043">
        <v>22</v>
      </c>
      <c r="J1043">
        <v>0</v>
      </c>
      <c r="K1043" t="s">
        <v>17</v>
      </c>
      <c r="L1043" t="s">
        <v>17</v>
      </c>
      <c r="M1043">
        <f>IF(Table1[[#This Row],[ألغى الاشتراك]]="نعم",1,0)</f>
        <v>0</v>
      </c>
      <c r="N1043">
        <f>IF(Table1[[#This Row],[وسيلة الدفع]]="بطاقة",1,0)</f>
        <v>1</v>
      </c>
      <c r="O1043">
        <f>IF(Table1[[#This Row],[وسيلة الدفع]]="محفظة",1,0)</f>
        <v>0</v>
      </c>
      <c r="P1043">
        <f>IF(Table1[[#This Row],[وسيلة الدفع]]="تحويل",1,0)</f>
        <v>0</v>
      </c>
      <c r="Q1043">
        <f>IF(Table1[[#This Row],[حضر التهيئة]]="نعم",1,0)</f>
        <v>0</v>
      </c>
      <c r="R1043">
        <f>IF(Table1[[#This Row],[دورة الفوترة]]="شهري",1,0)</f>
        <v>1</v>
      </c>
    </row>
    <row r="1044" spans="1:18" x14ac:dyDescent="0.25">
      <c r="A1044" t="s">
        <v>1064</v>
      </c>
      <c r="B1044" s="1">
        <v>45647</v>
      </c>
      <c r="C1044" t="s">
        <v>13</v>
      </c>
      <c r="D1044">
        <v>89</v>
      </c>
      <c r="E1044" t="s">
        <v>14</v>
      </c>
      <c r="F1044">
        <v>25</v>
      </c>
      <c r="G1044" t="s">
        <v>21</v>
      </c>
      <c r="H1044">
        <v>2</v>
      </c>
      <c r="I1044">
        <v>23</v>
      </c>
      <c r="J1044">
        <v>25</v>
      </c>
      <c r="K1044" t="s">
        <v>16</v>
      </c>
      <c r="L1044" t="s">
        <v>17</v>
      </c>
      <c r="M1044">
        <f>IF(Table1[[#This Row],[ألغى الاشتراك]]="نعم",1,0)</f>
        <v>0</v>
      </c>
      <c r="N1044">
        <f>IF(Table1[[#This Row],[وسيلة الدفع]]="بطاقة",1,0)</f>
        <v>0</v>
      </c>
      <c r="O1044">
        <f>IF(Table1[[#This Row],[وسيلة الدفع]]="محفظة",1,0)</f>
        <v>1</v>
      </c>
      <c r="P1044">
        <f>IF(Table1[[#This Row],[وسيلة الدفع]]="تحويل",1,0)</f>
        <v>0</v>
      </c>
      <c r="Q1044">
        <f>IF(Table1[[#This Row],[حضر التهيئة]]="نعم",1,0)</f>
        <v>1</v>
      </c>
      <c r="R1044">
        <f>IF(Table1[[#This Row],[دورة الفوترة]]="شهري",1,0)</f>
        <v>1</v>
      </c>
    </row>
    <row r="1045" spans="1:18" x14ac:dyDescent="0.25">
      <c r="A1045" t="s">
        <v>1065</v>
      </c>
      <c r="B1045" s="1">
        <v>45795</v>
      </c>
      <c r="C1045" t="s">
        <v>13</v>
      </c>
      <c r="D1045">
        <v>89</v>
      </c>
      <c r="E1045" t="s">
        <v>14</v>
      </c>
      <c r="F1045">
        <v>29</v>
      </c>
      <c r="G1045" t="s">
        <v>15</v>
      </c>
      <c r="H1045">
        <v>2</v>
      </c>
      <c r="I1045">
        <v>27</v>
      </c>
      <c r="J1045">
        <v>0</v>
      </c>
      <c r="K1045" t="s">
        <v>17</v>
      </c>
      <c r="L1045" t="s">
        <v>17</v>
      </c>
      <c r="M1045">
        <f>IF(Table1[[#This Row],[ألغى الاشتراك]]="نعم",1,0)</f>
        <v>0</v>
      </c>
      <c r="N1045">
        <f>IF(Table1[[#This Row],[وسيلة الدفع]]="بطاقة",1,0)</f>
        <v>1</v>
      </c>
      <c r="O1045">
        <f>IF(Table1[[#This Row],[وسيلة الدفع]]="محفظة",1,0)</f>
        <v>0</v>
      </c>
      <c r="P1045">
        <f>IF(Table1[[#This Row],[وسيلة الدفع]]="تحويل",1,0)</f>
        <v>0</v>
      </c>
      <c r="Q1045">
        <f>IF(Table1[[#This Row],[حضر التهيئة]]="نعم",1,0)</f>
        <v>0</v>
      </c>
      <c r="R1045">
        <f>IF(Table1[[#This Row],[دورة الفوترة]]="شهري",1,0)</f>
        <v>1</v>
      </c>
    </row>
    <row r="1046" spans="1:18" x14ac:dyDescent="0.25">
      <c r="A1046" t="s">
        <v>1066</v>
      </c>
      <c r="B1046" s="1">
        <v>45345</v>
      </c>
      <c r="C1046" t="s">
        <v>13</v>
      </c>
      <c r="D1046">
        <v>89</v>
      </c>
      <c r="E1046" t="s">
        <v>20</v>
      </c>
      <c r="F1046">
        <v>16</v>
      </c>
      <c r="G1046" t="s">
        <v>21</v>
      </c>
      <c r="H1046">
        <v>0</v>
      </c>
      <c r="I1046">
        <v>30</v>
      </c>
      <c r="J1046">
        <v>0</v>
      </c>
      <c r="K1046" t="s">
        <v>16</v>
      </c>
      <c r="L1046" t="s">
        <v>17</v>
      </c>
      <c r="M1046">
        <f>IF(Table1[[#This Row],[ألغى الاشتراك]]="نعم",1,0)</f>
        <v>0</v>
      </c>
      <c r="N1046">
        <f>IF(Table1[[#This Row],[وسيلة الدفع]]="بطاقة",1,0)</f>
        <v>0</v>
      </c>
      <c r="O1046">
        <f>IF(Table1[[#This Row],[وسيلة الدفع]]="محفظة",1,0)</f>
        <v>1</v>
      </c>
      <c r="P1046">
        <f>IF(Table1[[#This Row],[وسيلة الدفع]]="تحويل",1,0)</f>
        <v>0</v>
      </c>
      <c r="Q1046">
        <f>IF(Table1[[#This Row],[حضر التهيئة]]="نعم",1,0)</f>
        <v>1</v>
      </c>
      <c r="R1046">
        <f>IF(Table1[[#This Row],[دورة الفوترة]]="شهري",1,0)</f>
        <v>0</v>
      </c>
    </row>
    <row r="1047" spans="1:18" x14ac:dyDescent="0.25">
      <c r="A1047" t="s">
        <v>1067</v>
      </c>
      <c r="B1047" s="1">
        <v>45985</v>
      </c>
      <c r="C1047" t="s">
        <v>28</v>
      </c>
      <c r="D1047">
        <v>39</v>
      </c>
      <c r="E1047" t="s">
        <v>14</v>
      </c>
      <c r="F1047">
        <v>9</v>
      </c>
      <c r="G1047" t="s">
        <v>23</v>
      </c>
      <c r="H1047">
        <v>2</v>
      </c>
      <c r="I1047">
        <v>19</v>
      </c>
      <c r="J1047">
        <v>0</v>
      </c>
      <c r="K1047" t="s">
        <v>17</v>
      </c>
      <c r="L1047" t="s">
        <v>17</v>
      </c>
      <c r="M1047">
        <f>IF(Table1[[#This Row],[ألغى الاشتراك]]="نعم",1,0)</f>
        <v>0</v>
      </c>
      <c r="N1047">
        <f>IF(Table1[[#This Row],[وسيلة الدفع]]="بطاقة",1,0)</f>
        <v>0</v>
      </c>
      <c r="O1047">
        <f>IF(Table1[[#This Row],[وسيلة الدفع]]="محفظة",1,0)</f>
        <v>0</v>
      </c>
      <c r="P1047">
        <f>IF(Table1[[#This Row],[وسيلة الدفع]]="تحويل",1,0)</f>
        <v>1</v>
      </c>
      <c r="Q1047">
        <f>IF(Table1[[#This Row],[حضر التهيئة]]="نعم",1,0)</f>
        <v>0</v>
      </c>
      <c r="R1047">
        <f>IF(Table1[[#This Row],[دورة الفوترة]]="شهري",1,0)</f>
        <v>1</v>
      </c>
    </row>
    <row r="1048" spans="1:18" x14ac:dyDescent="0.25">
      <c r="A1048" t="s">
        <v>1068</v>
      </c>
      <c r="B1048" s="1">
        <v>45505</v>
      </c>
      <c r="C1048" t="s">
        <v>28</v>
      </c>
      <c r="D1048">
        <v>39</v>
      </c>
      <c r="E1048" t="s">
        <v>14</v>
      </c>
      <c r="F1048">
        <v>6</v>
      </c>
      <c r="G1048" t="s">
        <v>23</v>
      </c>
      <c r="H1048">
        <v>2</v>
      </c>
      <c r="I1048">
        <v>22</v>
      </c>
      <c r="J1048">
        <v>0</v>
      </c>
      <c r="K1048" t="s">
        <v>16</v>
      </c>
      <c r="L1048" t="s">
        <v>17</v>
      </c>
      <c r="M1048">
        <f>IF(Table1[[#This Row],[ألغى الاشتراك]]="نعم",1,0)</f>
        <v>0</v>
      </c>
      <c r="N1048">
        <f>IF(Table1[[#This Row],[وسيلة الدفع]]="بطاقة",1,0)</f>
        <v>0</v>
      </c>
      <c r="O1048">
        <f>IF(Table1[[#This Row],[وسيلة الدفع]]="محفظة",1,0)</f>
        <v>0</v>
      </c>
      <c r="P1048">
        <f>IF(Table1[[#This Row],[وسيلة الدفع]]="تحويل",1,0)</f>
        <v>1</v>
      </c>
      <c r="Q1048">
        <f>IF(Table1[[#This Row],[حضر التهيئة]]="نعم",1,0)</f>
        <v>1</v>
      </c>
      <c r="R1048">
        <f>IF(Table1[[#This Row],[دورة الفوترة]]="شهري",1,0)</f>
        <v>1</v>
      </c>
    </row>
    <row r="1049" spans="1:18" x14ac:dyDescent="0.25">
      <c r="A1049" t="s">
        <v>1069</v>
      </c>
      <c r="B1049" s="1">
        <v>45663</v>
      </c>
      <c r="C1049" t="s">
        <v>19</v>
      </c>
      <c r="D1049">
        <v>189</v>
      </c>
      <c r="E1049" t="s">
        <v>14</v>
      </c>
      <c r="F1049">
        <v>23</v>
      </c>
      <c r="G1049" t="s">
        <v>15</v>
      </c>
      <c r="H1049">
        <v>1</v>
      </c>
      <c r="I1049">
        <v>35</v>
      </c>
      <c r="J1049">
        <v>0</v>
      </c>
      <c r="K1049" t="s">
        <v>17</v>
      </c>
      <c r="L1049" t="s">
        <v>17</v>
      </c>
      <c r="M1049">
        <f>IF(Table1[[#This Row],[ألغى الاشتراك]]="نعم",1,0)</f>
        <v>0</v>
      </c>
      <c r="N1049">
        <f>IF(Table1[[#This Row],[وسيلة الدفع]]="بطاقة",1,0)</f>
        <v>1</v>
      </c>
      <c r="O1049">
        <f>IF(Table1[[#This Row],[وسيلة الدفع]]="محفظة",1,0)</f>
        <v>0</v>
      </c>
      <c r="P1049">
        <f>IF(Table1[[#This Row],[وسيلة الدفع]]="تحويل",1,0)</f>
        <v>0</v>
      </c>
      <c r="Q1049">
        <f>IF(Table1[[#This Row],[حضر التهيئة]]="نعم",1,0)</f>
        <v>0</v>
      </c>
      <c r="R1049">
        <f>IF(Table1[[#This Row],[دورة الفوترة]]="شهري",1,0)</f>
        <v>1</v>
      </c>
    </row>
    <row r="1050" spans="1:18" x14ac:dyDescent="0.25">
      <c r="A1050" t="s">
        <v>1070</v>
      </c>
      <c r="B1050" s="1">
        <v>45329</v>
      </c>
      <c r="C1050" t="s">
        <v>13</v>
      </c>
      <c r="D1050">
        <v>89</v>
      </c>
      <c r="E1050" t="s">
        <v>20</v>
      </c>
      <c r="F1050">
        <v>28</v>
      </c>
      <c r="G1050" t="s">
        <v>15</v>
      </c>
      <c r="H1050">
        <v>2</v>
      </c>
      <c r="I1050">
        <v>56</v>
      </c>
      <c r="J1050">
        <v>0</v>
      </c>
      <c r="K1050" t="s">
        <v>17</v>
      </c>
      <c r="L1050" t="s">
        <v>17</v>
      </c>
      <c r="M1050">
        <f>IF(Table1[[#This Row],[ألغى الاشتراك]]="نعم",1,0)</f>
        <v>0</v>
      </c>
      <c r="N1050">
        <f>IF(Table1[[#This Row],[وسيلة الدفع]]="بطاقة",1,0)</f>
        <v>1</v>
      </c>
      <c r="O1050">
        <f>IF(Table1[[#This Row],[وسيلة الدفع]]="محفظة",1,0)</f>
        <v>0</v>
      </c>
      <c r="P1050">
        <f>IF(Table1[[#This Row],[وسيلة الدفع]]="تحويل",1,0)</f>
        <v>0</v>
      </c>
      <c r="Q1050">
        <f>IF(Table1[[#This Row],[حضر التهيئة]]="نعم",1,0)</f>
        <v>0</v>
      </c>
      <c r="R1050">
        <f>IF(Table1[[#This Row],[دورة الفوترة]]="شهري",1,0)</f>
        <v>0</v>
      </c>
    </row>
    <row r="1051" spans="1:18" x14ac:dyDescent="0.25">
      <c r="A1051" t="s">
        <v>1071</v>
      </c>
      <c r="B1051" s="1">
        <v>45724</v>
      </c>
      <c r="C1051" t="s">
        <v>19</v>
      </c>
      <c r="D1051">
        <v>189</v>
      </c>
      <c r="E1051" t="s">
        <v>14</v>
      </c>
      <c r="F1051">
        <v>7</v>
      </c>
      <c r="G1051" t="s">
        <v>21</v>
      </c>
      <c r="H1051">
        <v>4</v>
      </c>
      <c r="I1051">
        <v>27</v>
      </c>
      <c r="J1051">
        <v>0</v>
      </c>
      <c r="K1051" t="s">
        <v>16</v>
      </c>
      <c r="L1051" t="s">
        <v>17</v>
      </c>
      <c r="M1051">
        <f>IF(Table1[[#This Row],[ألغى الاشتراك]]="نعم",1,0)</f>
        <v>0</v>
      </c>
      <c r="N1051">
        <f>IF(Table1[[#This Row],[وسيلة الدفع]]="بطاقة",1,0)</f>
        <v>0</v>
      </c>
      <c r="O1051">
        <f>IF(Table1[[#This Row],[وسيلة الدفع]]="محفظة",1,0)</f>
        <v>1</v>
      </c>
      <c r="P1051">
        <f>IF(Table1[[#This Row],[وسيلة الدفع]]="تحويل",1,0)</f>
        <v>0</v>
      </c>
      <c r="Q1051">
        <f>IF(Table1[[#This Row],[حضر التهيئة]]="نعم",1,0)</f>
        <v>1</v>
      </c>
      <c r="R1051">
        <f>IF(Table1[[#This Row],[دورة الفوترة]]="شهري",1,0)</f>
        <v>1</v>
      </c>
    </row>
    <row r="1052" spans="1:18" x14ac:dyDescent="0.25">
      <c r="A1052" t="s">
        <v>1072</v>
      </c>
      <c r="B1052" s="1">
        <v>45627</v>
      </c>
      <c r="C1052" t="s">
        <v>28</v>
      </c>
      <c r="D1052">
        <v>39</v>
      </c>
      <c r="E1052" t="s">
        <v>20</v>
      </c>
      <c r="F1052">
        <v>8</v>
      </c>
      <c r="G1052" t="s">
        <v>23</v>
      </c>
      <c r="H1052">
        <v>2</v>
      </c>
      <c r="I1052">
        <v>44</v>
      </c>
      <c r="J1052">
        <v>0</v>
      </c>
      <c r="K1052" t="s">
        <v>17</v>
      </c>
      <c r="L1052" t="s">
        <v>17</v>
      </c>
      <c r="M1052">
        <f>IF(Table1[[#This Row],[ألغى الاشتراك]]="نعم",1,0)</f>
        <v>0</v>
      </c>
      <c r="N1052">
        <f>IF(Table1[[#This Row],[وسيلة الدفع]]="بطاقة",1,0)</f>
        <v>0</v>
      </c>
      <c r="O1052">
        <f>IF(Table1[[#This Row],[وسيلة الدفع]]="محفظة",1,0)</f>
        <v>0</v>
      </c>
      <c r="P1052">
        <f>IF(Table1[[#This Row],[وسيلة الدفع]]="تحويل",1,0)</f>
        <v>1</v>
      </c>
      <c r="Q1052">
        <f>IF(Table1[[#This Row],[حضر التهيئة]]="نعم",1,0)</f>
        <v>0</v>
      </c>
      <c r="R1052">
        <f>IF(Table1[[#This Row],[دورة الفوترة]]="شهري",1,0)</f>
        <v>0</v>
      </c>
    </row>
    <row r="1053" spans="1:18" x14ac:dyDescent="0.25">
      <c r="A1053" t="s">
        <v>1073</v>
      </c>
      <c r="B1053" s="1">
        <v>45914</v>
      </c>
      <c r="C1053" t="s">
        <v>13</v>
      </c>
      <c r="D1053">
        <v>89</v>
      </c>
      <c r="E1053" t="s">
        <v>14</v>
      </c>
      <c r="F1053">
        <v>11</v>
      </c>
      <c r="G1053" t="s">
        <v>23</v>
      </c>
      <c r="H1053">
        <v>6</v>
      </c>
      <c r="I1053">
        <v>7</v>
      </c>
      <c r="J1053">
        <v>0</v>
      </c>
      <c r="K1053" t="s">
        <v>16</v>
      </c>
      <c r="L1053" t="s">
        <v>17</v>
      </c>
      <c r="M1053">
        <f>IF(Table1[[#This Row],[ألغى الاشتراك]]="نعم",1,0)</f>
        <v>0</v>
      </c>
      <c r="N1053">
        <f>IF(Table1[[#This Row],[وسيلة الدفع]]="بطاقة",1,0)</f>
        <v>0</v>
      </c>
      <c r="O1053">
        <f>IF(Table1[[#This Row],[وسيلة الدفع]]="محفظة",1,0)</f>
        <v>0</v>
      </c>
      <c r="P1053">
        <f>IF(Table1[[#This Row],[وسيلة الدفع]]="تحويل",1,0)</f>
        <v>1</v>
      </c>
      <c r="Q1053">
        <f>IF(Table1[[#This Row],[حضر التهيئة]]="نعم",1,0)</f>
        <v>1</v>
      </c>
      <c r="R1053">
        <f>IF(Table1[[#This Row],[دورة الفوترة]]="شهري",1,0)</f>
        <v>1</v>
      </c>
    </row>
    <row r="1054" spans="1:18" x14ac:dyDescent="0.25">
      <c r="A1054" t="s">
        <v>1074</v>
      </c>
      <c r="B1054" s="1">
        <v>45584</v>
      </c>
      <c r="C1054" t="s">
        <v>13</v>
      </c>
      <c r="D1054">
        <v>89</v>
      </c>
      <c r="E1054" t="s">
        <v>20</v>
      </c>
      <c r="F1054">
        <v>10</v>
      </c>
      <c r="G1054" t="s">
        <v>15</v>
      </c>
      <c r="H1054">
        <v>2</v>
      </c>
      <c r="I1054">
        <v>58</v>
      </c>
      <c r="J1054">
        <v>0</v>
      </c>
      <c r="K1054" t="s">
        <v>16</v>
      </c>
      <c r="L1054" t="s">
        <v>17</v>
      </c>
      <c r="M1054">
        <f>IF(Table1[[#This Row],[ألغى الاشتراك]]="نعم",1,0)</f>
        <v>0</v>
      </c>
      <c r="N1054">
        <f>IF(Table1[[#This Row],[وسيلة الدفع]]="بطاقة",1,0)</f>
        <v>1</v>
      </c>
      <c r="O1054">
        <f>IF(Table1[[#This Row],[وسيلة الدفع]]="محفظة",1,0)</f>
        <v>0</v>
      </c>
      <c r="P1054">
        <f>IF(Table1[[#This Row],[وسيلة الدفع]]="تحويل",1,0)</f>
        <v>0</v>
      </c>
      <c r="Q1054">
        <f>IF(Table1[[#This Row],[حضر التهيئة]]="نعم",1,0)</f>
        <v>1</v>
      </c>
      <c r="R1054">
        <f>IF(Table1[[#This Row],[دورة الفوترة]]="شهري",1,0)</f>
        <v>0</v>
      </c>
    </row>
    <row r="1055" spans="1:18" x14ac:dyDescent="0.25">
      <c r="A1055" t="s">
        <v>1075</v>
      </c>
      <c r="B1055" s="1">
        <v>45387</v>
      </c>
      <c r="C1055" t="s">
        <v>19</v>
      </c>
      <c r="D1055">
        <v>189</v>
      </c>
      <c r="E1055" t="s">
        <v>14</v>
      </c>
      <c r="F1055">
        <v>29</v>
      </c>
      <c r="G1055" t="s">
        <v>23</v>
      </c>
      <c r="H1055">
        <v>2</v>
      </c>
      <c r="I1055">
        <v>53</v>
      </c>
      <c r="J1055">
        <v>25</v>
      </c>
      <c r="K1055" t="s">
        <v>16</v>
      </c>
      <c r="L1055" t="s">
        <v>17</v>
      </c>
      <c r="M1055">
        <f>IF(Table1[[#This Row],[ألغى الاشتراك]]="نعم",1,0)</f>
        <v>0</v>
      </c>
      <c r="N1055">
        <f>IF(Table1[[#This Row],[وسيلة الدفع]]="بطاقة",1,0)</f>
        <v>0</v>
      </c>
      <c r="O1055">
        <f>IF(Table1[[#This Row],[وسيلة الدفع]]="محفظة",1,0)</f>
        <v>0</v>
      </c>
      <c r="P1055">
        <f>IF(Table1[[#This Row],[وسيلة الدفع]]="تحويل",1,0)</f>
        <v>1</v>
      </c>
      <c r="Q1055">
        <f>IF(Table1[[#This Row],[حضر التهيئة]]="نعم",1,0)</f>
        <v>1</v>
      </c>
      <c r="R1055">
        <f>IF(Table1[[#This Row],[دورة الفوترة]]="شهري",1,0)</f>
        <v>1</v>
      </c>
    </row>
    <row r="1056" spans="1:18" x14ac:dyDescent="0.25">
      <c r="A1056" t="s">
        <v>1076</v>
      </c>
      <c r="B1056" s="1">
        <v>45783</v>
      </c>
      <c r="C1056" t="s">
        <v>28</v>
      </c>
      <c r="D1056">
        <v>39</v>
      </c>
      <c r="E1056" t="s">
        <v>20</v>
      </c>
      <c r="F1056">
        <v>3</v>
      </c>
      <c r="G1056" t="s">
        <v>23</v>
      </c>
      <c r="H1056">
        <v>0</v>
      </c>
      <c r="I1056">
        <v>9</v>
      </c>
      <c r="J1056">
        <v>0</v>
      </c>
      <c r="K1056" t="s">
        <v>17</v>
      </c>
      <c r="L1056" t="s">
        <v>17</v>
      </c>
      <c r="M1056">
        <f>IF(Table1[[#This Row],[ألغى الاشتراك]]="نعم",1,0)</f>
        <v>0</v>
      </c>
      <c r="N1056">
        <f>IF(Table1[[#This Row],[وسيلة الدفع]]="بطاقة",1,0)</f>
        <v>0</v>
      </c>
      <c r="O1056">
        <f>IF(Table1[[#This Row],[وسيلة الدفع]]="محفظة",1,0)</f>
        <v>0</v>
      </c>
      <c r="P1056">
        <f>IF(Table1[[#This Row],[وسيلة الدفع]]="تحويل",1,0)</f>
        <v>1</v>
      </c>
      <c r="Q1056">
        <f>IF(Table1[[#This Row],[حضر التهيئة]]="نعم",1,0)</f>
        <v>0</v>
      </c>
      <c r="R1056">
        <f>IF(Table1[[#This Row],[دورة الفوترة]]="شهري",1,0)</f>
        <v>0</v>
      </c>
    </row>
    <row r="1057" spans="1:18" x14ac:dyDescent="0.25">
      <c r="A1057" t="s">
        <v>1077</v>
      </c>
      <c r="B1057" s="1">
        <v>45446</v>
      </c>
      <c r="C1057" t="s">
        <v>19</v>
      </c>
      <c r="D1057">
        <v>189</v>
      </c>
      <c r="E1057" t="s">
        <v>14</v>
      </c>
      <c r="F1057">
        <v>26</v>
      </c>
      <c r="G1057" t="s">
        <v>23</v>
      </c>
      <c r="H1057">
        <v>0</v>
      </c>
      <c r="I1057">
        <v>46</v>
      </c>
      <c r="J1057">
        <v>0</v>
      </c>
      <c r="K1057" t="s">
        <v>16</v>
      </c>
      <c r="L1057" t="s">
        <v>17</v>
      </c>
      <c r="M1057">
        <f>IF(Table1[[#This Row],[ألغى الاشتراك]]="نعم",1,0)</f>
        <v>0</v>
      </c>
      <c r="N1057">
        <f>IF(Table1[[#This Row],[وسيلة الدفع]]="بطاقة",1,0)</f>
        <v>0</v>
      </c>
      <c r="O1057">
        <f>IF(Table1[[#This Row],[وسيلة الدفع]]="محفظة",1,0)</f>
        <v>0</v>
      </c>
      <c r="P1057">
        <f>IF(Table1[[#This Row],[وسيلة الدفع]]="تحويل",1,0)</f>
        <v>1</v>
      </c>
      <c r="Q1057">
        <f>IF(Table1[[#This Row],[حضر التهيئة]]="نعم",1,0)</f>
        <v>1</v>
      </c>
      <c r="R1057">
        <f>IF(Table1[[#This Row],[دورة الفوترة]]="شهري",1,0)</f>
        <v>1</v>
      </c>
    </row>
    <row r="1058" spans="1:18" x14ac:dyDescent="0.25">
      <c r="A1058" t="s">
        <v>1078</v>
      </c>
      <c r="B1058" s="1">
        <v>45521</v>
      </c>
      <c r="C1058" t="s">
        <v>13</v>
      </c>
      <c r="D1058">
        <v>89</v>
      </c>
      <c r="E1058" t="s">
        <v>14</v>
      </c>
      <c r="F1058">
        <v>9</v>
      </c>
      <c r="G1058" t="s">
        <v>21</v>
      </c>
      <c r="H1058">
        <v>10</v>
      </c>
      <c r="I1058">
        <v>3</v>
      </c>
      <c r="J1058">
        <v>25</v>
      </c>
      <c r="K1058" t="s">
        <v>17</v>
      </c>
      <c r="L1058" t="s">
        <v>16</v>
      </c>
      <c r="M1058">
        <f>IF(Table1[[#This Row],[ألغى الاشتراك]]="نعم",1,0)</f>
        <v>1</v>
      </c>
      <c r="N1058">
        <f>IF(Table1[[#This Row],[وسيلة الدفع]]="بطاقة",1,0)</f>
        <v>0</v>
      </c>
      <c r="O1058">
        <f>IF(Table1[[#This Row],[وسيلة الدفع]]="محفظة",1,0)</f>
        <v>1</v>
      </c>
      <c r="P1058">
        <f>IF(Table1[[#This Row],[وسيلة الدفع]]="تحويل",1,0)</f>
        <v>0</v>
      </c>
      <c r="Q1058">
        <f>IF(Table1[[#This Row],[حضر التهيئة]]="نعم",1,0)</f>
        <v>0</v>
      </c>
      <c r="R1058">
        <f>IF(Table1[[#This Row],[دورة الفوترة]]="شهري",1,0)</f>
        <v>1</v>
      </c>
    </row>
    <row r="1059" spans="1:18" x14ac:dyDescent="0.25">
      <c r="A1059" t="s">
        <v>1079</v>
      </c>
      <c r="B1059" s="1">
        <v>45918</v>
      </c>
      <c r="C1059" t="s">
        <v>13</v>
      </c>
      <c r="D1059">
        <v>89</v>
      </c>
      <c r="E1059" t="s">
        <v>20</v>
      </c>
      <c r="F1059">
        <v>21</v>
      </c>
      <c r="G1059" t="s">
        <v>23</v>
      </c>
      <c r="H1059">
        <v>2</v>
      </c>
      <c r="I1059">
        <v>31</v>
      </c>
      <c r="J1059">
        <v>0</v>
      </c>
      <c r="K1059" t="s">
        <v>16</v>
      </c>
      <c r="L1059" t="s">
        <v>17</v>
      </c>
      <c r="M1059">
        <f>IF(Table1[[#This Row],[ألغى الاشتراك]]="نعم",1,0)</f>
        <v>0</v>
      </c>
      <c r="N1059">
        <f>IF(Table1[[#This Row],[وسيلة الدفع]]="بطاقة",1,0)</f>
        <v>0</v>
      </c>
      <c r="O1059">
        <f>IF(Table1[[#This Row],[وسيلة الدفع]]="محفظة",1,0)</f>
        <v>0</v>
      </c>
      <c r="P1059">
        <f>IF(Table1[[#This Row],[وسيلة الدفع]]="تحويل",1,0)</f>
        <v>1</v>
      </c>
      <c r="Q1059">
        <f>IF(Table1[[#This Row],[حضر التهيئة]]="نعم",1,0)</f>
        <v>1</v>
      </c>
      <c r="R1059">
        <f>IF(Table1[[#This Row],[دورة الفوترة]]="شهري",1,0)</f>
        <v>0</v>
      </c>
    </row>
    <row r="1060" spans="1:18" x14ac:dyDescent="0.25">
      <c r="A1060" t="s">
        <v>1080</v>
      </c>
      <c r="B1060" s="1">
        <v>45349</v>
      </c>
      <c r="C1060" t="s">
        <v>19</v>
      </c>
      <c r="D1060">
        <v>189</v>
      </c>
      <c r="E1060" t="s">
        <v>20</v>
      </c>
      <c r="F1060">
        <v>2</v>
      </c>
      <c r="G1060" t="s">
        <v>15</v>
      </c>
      <c r="H1060">
        <v>1</v>
      </c>
      <c r="I1060">
        <v>38</v>
      </c>
      <c r="J1060">
        <v>0</v>
      </c>
      <c r="K1060" t="s">
        <v>16</v>
      </c>
      <c r="L1060" t="s">
        <v>17</v>
      </c>
      <c r="M1060">
        <f>IF(Table1[[#This Row],[ألغى الاشتراك]]="نعم",1,0)</f>
        <v>0</v>
      </c>
      <c r="N1060">
        <f>IF(Table1[[#This Row],[وسيلة الدفع]]="بطاقة",1,0)</f>
        <v>1</v>
      </c>
      <c r="O1060">
        <f>IF(Table1[[#This Row],[وسيلة الدفع]]="محفظة",1,0)</f>
        <v>0</v>
      </c>
      <c r="P1060">
        <f>IF(Table1[[#This Row],[وسيلة الدفع]]="تحويل",1,0)</f>
        <v>0</v>
      </c>
      <c r="Q1060">
        <f>IF(Table1[[#This Row],[حضر التهيئة]]="نعم",1,0)</f>
        <v>1</v>
      </c>
      <c r="R1060">
        <f>IF(Table1[[#This Row],[دورة الفوترة]]="شهري",1,0)</f>
        <v>0</v>
      </c>
    </row>
    <row r="1061" spans="1:18" x14ac:dyDescent="0.25">
      <c r="A1061" t="s">
        <v>1081</v>
      </c>
      <c r="B1061" s="1">
        <v>45631</v>
      </c>
      <c r="C1061" t="s">
        <v>19</v>
      </c>
      <c r="D1061">
        <v>189</v>
      </c>
      <c r="E1061" t="s">
        <v>20</v>
      </c>
      <c r="F1061">
        <v>1</v>
      </c>
      <c r="G1061" t="s">
        <v>23</v>
      </c>
      <c r="H1061">
        <v>10</v>
      </c>
      <c r="I1061">
        <v>3</v>
      </c>
      <c r="J1061">
        <v>25</v>
      </c>
      <c r="K1061" t="s">
        <v>17</v>
      </c>
      <c r="L1061" t="s">
        <v>17</v>
      </c>
      <c r="M1061">
        <f>IF(Table1[[#This Row],[ألغى الاشتراك]]="نعم",1,0)</f>
        <v>0</v>
      </c>
      <c r="N1061">
        <f>IF(Table1[[#This Row],[وسيلة الدفع]]="بطاقة",1,0)</f>
        <v>0</v>
      </c>
      <c r="O1061">
        <f>IF(Table1[[#This Row],[وسيلة الدفع]]="محفظة",1,0)</f>
        <v>0</v>
      </c>
      <c r="P1061">
        <f>IF(Table1[[#This Row],[وسيلة الدفع]]="تحويل",1,0)</f>
        <v>1</v>
      </c>
      <c r="Q1061">
        <f>IF(Table1[[#This Row],[حضر التهيئة]]="نعم",1,0)</f>
        <v>0</v>
      </c>
      <c r="R1061">
        <f>IF(Table1[[#This Row],[دورة الفوترة]]="شهري",1,0)</f>
        <v>0</v>
      </c>
    </row>
    <row r="1062" spans="1:18" x14ac:dyDescent="0.25">
      <c r="A1062" t="s">
        <v>1082</v>
      </c>
      <c r="B1062" s="1">
        <v>45922</v>
      </c>
      <c r="C1062" t="s">
        <v>13</v>
      </c>
      <c r="D1062">
        <v>89</v>
      </c>
      <c r="E1062" t="s">
        <v>14</v>
      </c>
      <c r="F1062">
        <v>1</v>
      </c>
      <c r="G1062" t="s">
        <v>15</v>
      </c>
      <c r="H1062">
        <v>1</v>
      </c>
      <c r="I1062">
        <v>23</v>
      </c>
      <c r="J1062">
        <v>0</v>
      </c>
      <c r="K1062" t="s">
        <v>17</v>
      </c>
      <c r="L1062" t="s">
        <v>17</v>
      </c>
      <c r="M1062">
        <f>IF(Table1[[#This Row],[ألغى الاشتراك]]="نعم",1,0)</f>
        <v>0</v>
      </c>
      <c r="N1062">
        <f>IF(Table1[[#This Row],[وسيلة الدفع]]="بطاقة",1,0)</f>
        <v>1</v>
      </c>
      <c r="O1062">
        <f>IF(Table1[[#This Row],[وسيلة الدفع]]="محفظة",1,0)</f>
        <v>0</v>
      </c>
      <c r="P1062">
        <f>IF(Table1[[#This Row],[وسيلة الدفع]]="تحويل",1,0)</f>
        <v>0</v>
      </c>
      <c r="Q1062">
        <f>IF(Table1[[#This Row],[حضر التهيئة]]="نعم",1,0)</f>
        <v>0</v>
      </c>
      <c r="R1062">
        <f>IF(Table1[[#This Row],[دورة الفوترة]]="شهري",1,0)</f>
        <v>1</v>
      </c>
    </row>
    <row r="1063" spans="1:18" x14ac:dyDescent="0.25">
      <c r="A1063" t="s">
        <v>1083</v>
      </c>
      <c r="B1063" s="1">
        <v>45349</v>
      </c>
      <c r="C1063" t="s">
        <v>28</v>
      </c>
      <c r="D1063">
        <v>39</v>
      </c>
      <c r="E1063" t="s">
        <v>14</v>
      </c>
      <c r="F1063">
        <v>14</v>
      </c>
      <c r="G1063" t="s">
        <v>15</v>
      </c>
      <c r="H1063">
        <v>2</v>
      </c>
      <c r="I1063">
        <v>18</v>
      </c>
      <c r="J1063">
        <v>0</v>
      </c>
      <c r="K1063" t="s">
        <v>17</v>
      </c>
      <c r="L1063" t="s">
        <v>17</v>
      </c>
      <c r="M1063">
        <f>IF(Table1[[#This Row],[ألغى الاشتراك]]="نعم",1,0)</f>
        <v>0</v>
      </c>
      <c r="N1063">
        <f>IF(Table1[[#This Row],[وسيلة الدفع]]="بطاقة",1,0)</f>
        <v>1</v>
      </c>
      <c r="O1063">
        <f>IF(Table1[[#This Row],[وسيلة الدفع]]="محفظة",1,0)</f>
        <v>0</v>
      </c>
      <c r="P1063">
        <f>IF(Table1[[#This Row],[وسيلة الدفع]]="تحويل",1,0)</f>
        <v>0</v>
      </c>
      <c r="Q1063">
        <f>IF(Table1[[#This Row],[حضر التهيئة]]="نعم",1,0)</f>
        <v>0</v>
      </c>
      <c r="R1063">
        <f>IF(Table1[[#This Row],[دورة الفوترة]]="شهري",1,0)</f>
        <v>1</v>
      </c>
    </row>
    <row r="1064" spans="1:18" x14ac:dyDescent="0.25">
      <c r="A1064" t="s">
        <v>1084</v>
      </c>
      <c r="B1064" s="1">
        <v>45720</v>
      </c>
      <c r="C1064" t="s">
        <v>28</v>
      </c>
      <c r="D1064">
        <v>39</v>
      </c>
      <c r="E1064" t="s">
        <v>20</v>
      </c>
      <c r="F1064">
        <v>29</v>
      </c>
      <c r="G1064" t="s">
        <v>23</v>
      </c>
      <c r="H1064">
        <v>1</v>
      </c>
      <c r="I1064">
        <v>13</v>
      </c>
      <c r="J1064">
        <v>0</v>
      </c>
      <c r="K1064" t="s">
        <v>17</v>
      </c>
      <c r="L1064" t="s">
        <v>17</v>
      </c>
      <c r="M1064">
        <f>IF(Table1[[#This Row],[ألغى الاشتراك]]="نعم",1,0)</f>
        <v>0</v>
      </c>
      <c r="N1064">
        <f>IF(Table1[[#This Row],[وسيلة الدفع]]="بطاقة",1,0)</f>
        <v>0</v>
      </c>
      <c r="O1064">
        <f>IF(Table1[[#This Row],[وسيلة الدفع]]="محفظة",1,0)</f>
        <v>0</v>
      </c>
      <c r="P1064">
        <f>IF(Table1[[#This Row],[وسيلة الدفع]]="تحويل",1,0)</f>
        <v>1</v>
      </c>
      <c r="Q1064">
        <f>IF(Table1[[#This Row],[حضر التهيئة]]="نعم",1,0)</f>
        <v>0</v>
      </c>
      <c r="R1064">
        <f>IF(Table1[[#This Row],[دورة الفوترة]]="شهري",1,0)</f>
        <v>0</v>
      </c>
    </row>
    <row r="1065" spans="1:18" x14ac:dyDescent="0.25">
      <c r="A1065" t="s">
        <v>1085</v>
      </c>
      <c r="B1065" s="1">
        <v>45635</v>
      </c>
      <c r="C1065" t="s">
        <v>28</v>
      </c>
      <c r="D1065">
        <v>39</v>
      </c>
      <c r="E1065" t="s">
        <v>14</v>
      </c>
      <c r="F1065">
        <v>10</v>
      </c>
      <c r="G1065" t="s">
        <v>21</v>
      </c>
      <c r="H1065">
        <v>10</v>
      </c>
      <c r="I1065">
        <v>28</v>
      </c>
      <c r="J1065">
        <v>0</v>
      </c>
      <c r="K1065" t="s">
        <v>16</v>
      </c>
      <c r="L1065" t="s">
        <v>16</v>
      </c>
      <c r="M1065">
        <f>IF(Table1[[#This Row],[ألغى الاشتراك]]="نعم",1,0)</f>
        <v>1</v>
      </c>
      <c r="N1065">
        <f>IF(Table1[[#This Row],[وسيلة الدفع]]="بطاقة",1,0)</f>
        <v>0</v>
      </c>
      <c r="O1065">
        <f>IF(Table1[[#This Row],[وسيلة الدفع]]="محفظة",1,0)</f>
        <v>1</v>
      </c>
      <c r="P1065">
        <f>IF(Table1[[#This Row],[وسيلة الدفع]]="تحويل",1,0)</f>
        <v>0</v>
      </c>
      <c r="Q1065">
        <f>IF(Table1[[#This Row],[حضر التهيئة]]="نعم",1,0)</f>
        <v>1</v>
      </c>
      <c r="R1065">
        <f>IF(Table1[[#This Row],[دورة الفوترة]]="شهري",1,0)</f>
        <v>1</v>
      </c>
    </row>
    <row r="1066" spans="1:18" x14ac:dyDescent="0.25">
      <c r="A1066" t="s">
        <v>1086</v>
      </c>
      <c r="B1066" s="1">
        <v>45446</v>
      </c>
      <c r="C1066" t="s">
        <v>19</v>
      </c>
      <c r="D1066">
        <v>189</v>
      </c>
      <c r="E1066" t="s">
        <v>14</v>
      </c>
      <c r="F1066">
        <v>21</v>
      </c>
      <c r="G1066" t="s">
        <v>21</v>
      </c>
      <c r="H1066">
        <v>0</v>
      </c>
      <c r="I1066">
        <v>11</v>
      </c>
      <c r="J1066">
        <v>10</v>
      </c>
      <c r="K1066" t="s">
        <v>16</v>
      </c>
      <c r="L1066" t="s">
        <v>17</v>
      </c>
      <c r="M1066">
        <f>IF(Table1[[#This Row],[ألغى الاشتراك]]="نعم",1,0)</f>
        <v>0</v>
      </c>
      <c r="N1066">
        <f>IF(Table1[[#This Row],[وسيلة الدفع]]="بطاقة",1,0)</f>
        <v>0</v>
      </c>
      <c r="O1066">
        <f>IF(Table1[[#This Row],[وسيلة الدفع]]="محفظة",1,0)</f>
        <v>1</v>
      </c>
      <c r="P1066">
        <f>IF(Table1[[#This Row],[وسيلة الدفع]]="تحويل",1,0)</f>
        <v>0</v>
      </c>
      <c r="Q1066">
        <f>IF(Table1[[#This Row],[حضر التهيئة]]="نعم",1,0)</f>
        <v>1</v>
      </c>
      <c r="R1066">
        <f>IF(Table1[[#This Row],[دورة الفوترة]]="شهري",1,0)</f>
        <v>1</v>
      </c>
    </row>
    <row r="1067" spans="1:18" x14ac:dyDescent="0.25">
      <c r="A1067" t="s">
        <v>1087</v>
      </c>
      <c r="B1067" s="1">
        <v>45985</v>
      </c>
      <c r="C1067" t="s">
        <v>19</v>
      </c>
      <c r="D1067">
        <v>189</v>
      </c>
      <c r="E1067" t="s">
        <v>14</v>
      </c>
      <c r="F1067">
        <v>7</v>
      </c>
      <c r="G1067" t="s">
        <v>15</v>
      </c>
      <c r="H1067">
        <v>1</v>
      </c>
      <c r="I1067">
        <v>37</v>
      </c>
      <c r="J1067">
        <v>0</v>
      </c>
      <c r="K1067" t="s">
        <v>16</v>
      </c>
      <c r="L1067" t="s">
        <v>17</v>
      </c>
      <c r="M1067">
        <f>IF(Table1[[#This Row],[ألغى الاشتراك]]="نعم",1,0)</f>
        <v>0</v>
      </c>
      <c r="N1067">
        <f>IF(Table1[[#This Row],[وسيلة الدفع]]="بطاقة",1,0)</f>
        <v>1</v>
      </c>
      <c r="O1067">
        <f>IF(Table1[[#This Row],[وسيلة الدفع]]="محفظة",1,0)</f>
        <v>0</v>
      </c>
      <c r="P1067">
        <f>IF(Table1[[#This Row],[وسيلة الدفع]]="تحويل",1,0)</f>
        <v>0</v>
      </c>
      <c r="Q1067">
        <f>IF(Table1[[#This Row],[حضر التهيئة]]="نعم",1,0)</f>
        <v>1</v>
      </c>
      <c r="R1067">
        <f>IF(Table1[[#This Row],[دورة الفوترة]]="شهري",1,0)</f>
        <v>1</v>
      </c>
    </row>
    <row r="1068" spans="1:18" x14ac:dyDescent="0.25">
      <c r="A1068" t="s">
        <v>1088</v>
      </c>
      <c r="B1068" s="1">
        <v>45517</v>
      </c>
      <c r="C1068" t="s">
        <v>28</v>
      </c>
      <c r="D1068">
        <v>39</v>
      </c>
      <c r="E1068" t="s">
        <v>20</v>
      </c>
      <c r="F1068">
        <v>26</v>
      </c>
      <c r="G1068" t="s">
        <v>15</v>
      </c>
      <c r="H1068">
        <v>2</v>
      </c>
      <c r="I1068">
        <v>22</v>
      </c>
      <c r="J1068">
        <v>0</v>
      </c>
      <c r="K1068" t="s">
        <v>17</v>
      </c>
      <c r="L1068" t="s">
        <v>17</v>
      </c>
      <c r="M1068">
        <f>IF(Table1[[#This Row],[ألغى الاشتراك]]="نعم",1,0)</f>
        <v>0</v>
      </c>
      <c r="N1068">
        <f>IF(Table1[[#This Row],[وسيلة الدفع]]="بطاقة",1,0)</f>
        <v>1</v>
      </c>
      <c r="O1068">
        <f>IF(Table1[[#This Row],[وسيلة الدفع]]="محفظة",1,0)</f>
        <v>0</v>
      </c>
      <c r="P1068">
        <f>IF(Table1[[#This Row],[وسيلة الدفع]]="تحويل",1,0)</f>
        <v>0</v>
      </c>
      <c r="Q1068">
        <f>IF(Table1[[#This Row],[حضر التهيئة]]="نعم",1,0)</f>
        <v>0</v>
      </c>
      <c r="R1068">
        <f>IF(Table1[[#This Row],[دورة الفوترة]]="شهري",1,0)</f>
        <v>0</v>
      </c>
    </row>
    <row r="1069" spans="1:18" x14ac:dyDescent="0.25">
      <c r="A1069" t="s">
        <v>1089</v>
      </c>
      <c r="B1069" s="1">
        <v>45795</v>
      </c>
      <c r="C1069" t="s">
        <v>13</v>
      </c>
      <c r="D1069">
        <v>89</v>
      </c>
      <c r="E1069" t="s">
        <v>20</v>
      </c>
      <c r="F1069">
        <v>9</v>
      </c>
      <c r="G1069" t="s">
        <v>23</v>
      </c>
      <c r="H1069">
        <v>0</v>
      </c>
      <c r="I1069">
        <v>49</v>
      </c>
      <c r="J1069">
        <v>0</v>
      </c>
      <c r="K1069" t="s">
        <v>17</v>
      </c>
      <c r="L1069" t="s">
        <v>17</v>
      </c>
      <c r="M1069">
        <f>IF(Table1[[#This Row],[ألغى الاشتراك]]="نعم",1,0)</f>
        <v>0</v>
      </c>
      <c r="N1069">
        <f>IF(Table1[[#This Row],[وسيلة الدفع]]="بطاقة",1,0)</f>
        <v>0</v>
      </c>
      <c r="O1069">
        <f>IF(Table1[[#This Row],[وسيلة الدفع]]="محفظة",1,0)</f>
        <v>0</v>
      </c>
      <c r="P1069">
        <f>IF(Table1[[#This Row],[وسيلة الدفع]]="تحويل",1,0)</f>
        <v>1</v>
      </c>
      <c r="Q1069">
        <f>IF(Table1[[#This Row],[حضر التهيئة]]="نعم",1,0)</f>
        <v>0</v>
      </c>
      <c r="R1069">
        <f>IF(Table1[[#This Row],[دورة الفوترة]]="شهري",1,0)</f>
        <v>0</v>
      </c>
    </row>
    <row r="1070" spans="1:18" x14ac:dyDescent="0.25">
      <c r="A1070" t="s">
        <v>1090</v>
      </c>
      <c r="B1070" s="1">
        <v>45720</v>
      </c>
      <c r="C1070" t="s">
        <v>28</v>
      </c>
      <c r="D1070">
        <v>39</v>
      </c>
      <c r="E1070" t="s">
        <v>14</v>
      </c>
      <c r="F1070">
        <v>4</v>
      </c>
      <c r="G1070" t="s">
        <v>21</v>
      </c>
      <c r="H1070">
        <v>2</v>
      </c>
      <c r="I1070">
        <v>6</v>
      </c>
      <c r="J1070">
        <v>15</v>
      </c>
      <c r="K1070" t="s">
        <v>17</v>
      </c>
      <c r="L1070" t="s">
        <v>17</v>
      </c>
      <c r="M1070">
        <f>IF(Table1[[#This Row],[ألغى الاشتراك]]="نعم",1,0)</f>
        <v>0</v>
      </c>
      <c r="N1070">
        <f>IF(Table1[[#This Row],[وسيلة الدفع]]="بطاقة",1,0)</f>
        <v>0</v>
      </c>
      <c r="O1070">
        <f>IF(Table1[[#This Row],[وسيلة الدفع]]="محفظة",1,0)</f>
        <v>1</v>
      </c>
      <c r="P1070">
        <f>IF(Table1[[#This Row],[وسيلة الدفع]]="تحويل",1,0)</f>
        <v>0</v>
      </c>
      <c r="Q1070">
        <f>IF(Table1[[#This Row],[حضر التهيئة]]="نعم",1,0)</f>
        <v>0</v>
      </c>
      <c r="R1070">
        <f>IF(Table1[[#This Row],[دورة الفوترة]]="شهري",1,0)</f>
        <v>1</v>
      </c>
    </row>
    <row r="1071" spans="1:18" x14ac:dyDescent="0.25">
      <c r="A1071" t="s">
        <v>1091</v>
      </c>
      <c r="B1071" s="1">
        <v>45387</v>
      </c>
      <c r="C1071" t="s">
        <v>13</v>
      </c>
      <c r="D1071">
        <v>89</v>
      </c>
      <c r="E1071" t="s">
        <v>14</v>
      </c>
      <c r="F1071">
        <v>22</v>
      </c>
      <c r="G1071" t="s">
        <v>23</v>
      </c>
      <c r="H1071">
        <v>1</v>
      </c>
      <c r="I1071">
        <v>8</v>
      </c>
      <c r="J1071">
        <v>0</v>
      </c>
      <c r="K1071" t="s">
        <v>17</v>
      </c>
      <c r="L1071" t="s">
        <v>17</v>
      </c>
      <c r="M1071">
        <f>IF(Table1[[#This Row],[ألغى الاشتراك]]="نعم",1,0)</f>
        <v>0</v>
      </c>
      <c r="N1071">
        <f>IF(Table1[[#This Row],[وسيلة الدفع]]="بطاقة",1,0)</f>
        <v>0</v>
      </c>
      <c r="O1071">
        <f>IF(Table1[[#This Row],[وسيلة الدفع]]="محفظة",1,0)</f>
        <v>0</v>
      </c>
      <c r="P1071">
        <f>IF(Table1[[#This Row],[وسيلة الدفع]]="تحويل",1,0)</f>
        <v>1</v>
      </c>
      <c r="Q1071">
        <f>IF(Table1[[#This Row],[حضر التهيئة]]="نعم",1,0)</f>
        <v>0</v>
      </c>
      <c r="R1071">
        <f>IF(Table1[[#This Row],[دورة الفوترة]]="شهري",1,0)</f>
        <v>1</v>
      </c>
    </row>
    <row r="1072" spans="1:18" x14ac:dyDescent="0.25">
      <c r="A1072" t="s">
        <v>1092</v>
      </c>
      <c r="B1072" s="1">
        <v>45329</v>
      </c>
      <c r="C1072" t="s">
        <v>19</v>
      </c>
      <c r="D1072">
        <v>189</v>
      </c>
      <c r="E1072" t="s">
        <v>20</v>
      </c>
      <c r="F1072">
        <v>25</v>
      </c>
      <c r="G1072" t="s">
        <v>23</v>
      </c>
      <c r="H1072">
        <v>3</v>
      </c>
      <c r="I1072">
        <v>53</v>
      </c>
      <c r="J1072">
        <v>10</v>
      </c>
      <c r="K1072" t="s">
        <v>17</v>
      </c>
      <c r="L1072" t="s">
        <v>16</v>
      </c>
      <c r="M1072">
        <f>IF(Table1[[#This Row],[ألغى الاشتراك]]="نعم",1,0)</f>
        <v>1</v>
      </c>
      <c r="N1072">
        <f>IF(Table1[[#This Row],[وسيلة الدفع]]="بطاقة",1,0)</f>
        <v>0</v>
      </c>
      <c r="O1072">
        <f>IF(Table1[[#This Row],[وسيلة الدفع]]="محفظة",1,0)</f>
        <v>0</v>
      </c>
      <c r="P1072">
        <f>IF(Table1[[#This Row],[وسيلة الدفع]]="تحويل",1,0)</f>
        <v>1</v>
      </c>
      <c r="Q1072">
        <f>IF(Table1[[#This Row],[حضر التهيئة]]="نعم",1,0)</f>
        <v>0</v>
      </c>
      <c r="R1072">
        <f>IF(Table1[[#This Row],[دورة الفوترة]]="شهري",1,0)</f>
        <v>0</v>
      </c>
    </row>
    <row r="1073" spans="1:18" x14ac:dyDescent="0.25">
      <c r="A1073" t="s">
        <v>1093</v>
      </c>
      <c r="B1073" s="1">
        <v>45627</v>
      </c>
      <c r="C1073" t="s">
        <v>28</v>
      </c>
      <c r="D1073">
        <v>39</v>
      </c>
      <c r="E1073" t="s">
        <v>14</v>
      </c>
      <c r="F1073">
        <v>29</v>
      </c>
      <c r="G1073" t="s">
        <v>23</v>
      </c>
      <c r="H1073">
        <v>4</v>
      </c>
      <c r="I1073">
        <v>25</v>
      </c>
      <c r="J1073">
        <v>25</v>
      </c>
      <c r="K1073" t="s">
        <v>17</v>
      </c>
      <c r="L1073" t="s">
        <v>17</v>
      </c>
      <c r="M1073">
        <f>IF(Table1[[#This Row],[ألغى الاشتراك]]="نعم",1,0)</f>
        <v>0</v>
      </c>
      <c r="N1073">
        <f>IF(Table1[[#This Row],[وسيلة الدفع]]="بطاقة",1,0)</f>
        <v>0</v>
      </c>
      <c r="O1073">
        <f>IF(Table1[[#This Row],[وسيلة الدفع]]="محفظة",1,0)</f>
        <v>0</v>
      </c>
      <c r="P1073">
        <f>IF(Table1[[#This Row],[وسيلة الدفع]]="تحويل",1,0)</f>
        <v>1</v>
      </c>
      <c r="Q1073">
        <f>IF(Table1[[#This Row],[حضر التهيئة]]="نعم",1,0)</f>
        <v>0</v>
      </c>
      <c r="R1073">
        <f>IF(Table1[[#This Row],[دورة الفوترة]]="شهري",1,0)</f>
        <v>1</v>
      </c>
    </row>
    <row r="1074" spans="1:18" x14ac:dyDescent="0.25">
      <c r="A1074" t="s">
        <v>1094</v>
      </c>
      <c r="B1074" s="1">
        <v>45470</v>
      </c>
      <c r="C1074" t="s">
        <v>28</v>
      </c>
      <c r="D1074">
        <v>39</v>
      </c>
      <c r="E1074" t="s">
        <v>14</v>
      </c>
      <c r="F1074">
        <v>23</v>
      </c>
      <c r="G1074" t="s">
        <v>15</v>
      </c>
      <c r="H1074">
        <v>1</v>
      </c>
      <c r="I1074">
        <v>25</v>
      </c>
      <c r="J1074">
        <v>10</v>
      </c>
      <c r="K1074" t="s">
        <v>16</v>
      </c>
      <c r="L1074" t="s">
        <v>17</v>
      </c>
      <c r="M1074">
        <f>IF(Table1[[#This Row],[ألغى الاشتراك]]="نعم",1,0)</f>
        <v>0</v>
      </c>
      <c r="N1074">
        <f>IF(Table1[[#This Row],[وسيلة الدفع]]="بطاقة",1,0)</f>
        <v>1</v>
      </c>
      <c r="O1074">
        <f>IF(Table1[[#This Row],[وسيلة الدفع]]="محفظة",1,0)</f>
        <v>0</v>
      </c>
      <c r="P1074">
        <f>IF(Table1[[#This Row],[وسيلة الدفع]]="تحويل",1,0)</f>
        <v>0</v>
      </c>
      <c r="Q1074">
        <f>IF(Table1[[#This Row],[حضر التهيئة]]="نعم",1,0)</f>
        <v>1</v>
      </c>
      <c r="R1074">
        <f>IF(Table1[[#This Row],[دورة الفوترة]]="شهري",1,0)</f>
        <v>1</v>
      </c>
    </row>
    <row r="1075" spans="1:18" x14ac:dyDescent="0.25">
      <c r="A1075" t="s">
        <v>1095</v>
      </c>
      <c r="B1075" s="1">
        <v>45732</v>
      </c>
      <c r="C1075" t="s">
        <v>13</v>
      </c>
      <c r="D1075">
        <v>89</v>
      </c>
      <c r="E1075" t="s">
        <v>20</v>
      </c>
      <c r="F1075">
        <v>1</v>
      </c>
      <c r="G1075" t="s">
        <v>21</v>
      </c>
      <c r="H1075">
        <v>1</v>
      </c>
      <c r="I1075">
        <v>57</v>
      </c>
      <c r="J1075">
        <v>0</v>
      </c>
      <c r="K1075" t="s">
        <v>16</v>
      </c>
      <c r="L1075" t="s">
        <v>17</v>
      </c>
      <c r="M1075">
        <f>IF(Table1[[#This Row],[ألغى الاشتراك]]="نعم",1,0)</f>
        <v>0</v>
      </c>
      <c r="N1075">
        <f>IF(Table1[[#This Row],[وسيلة الدفع]]="بطاقة",1,0)</f>
        <v>0</v>
      </c>
      <c r="O1075">
        <f>IF(Table1[[#This Row],[وسيلة الدفع]]="محفظة",1,0)</f>
        <v>1</v>
      </c>
      <c r="P1075">
        <f>IF(Table1[[#This Row],[وسيلة الدفع]]="تحويل",1,0)</f>
        <v>0</v>
      </c>
      <c r="Q1075">
        <f>IF(Table1[[#This Row],[حضر التهيئة]]="نعم",1,0)</f>
        <v>1</v>
      </c>
      <c r="R1075">
        <f>IF(Table1[[#This Row],[دورة الفوترة]]="شهري",1,0)</f>
        <v>0</v>
      </c>
    </row>
    <row r="1076" spans="1:18" x14ac:dyDescent="0.25">
      <c r="A1076" t="s">
        <v>1096</v>
      </c>
      <c r="B1076" s="1">
        <v>45651</v>
      </c>
      <c r="C1076" t="s">
        <v>13</v>
      </c>
      <c r="D1076">
        <v>89</v>
      </c>
      <c r="E1076" t="s">
        <v>20</v>
      </c>
      <c r="F1076">
        <v>28</v>
      </c>
      <c r="G1076" t="s">
        <v>23</v>
      </c>
      <c r="H1076">
        <v>1</v>
      </c>
      <c r="I1076">
        <v>20</v>
      </c>
      <c r="J1076">
        <v>0</v>
      </c>
      <c r="K1076" t="s">
        <v>17</v>
      </c>
      <c r="L1076" t="s">
        <v>17</v>
      </c>
      <c r="M1076">
        <f>IF(Table1[[#This Row],[ألغى الاشتراك]]="نعم",1,0)</f>
        <v>0</v>
      </c>
      <c r="N1076">
        <f>IF(Table1[[#This Row],[وسيلة الدفع]]="بطاقة",1,0)</f>
        <v>0</v>
      </c>
      <c r="O1076">
        <f>IF(Table1[[#This Row],[وسيلة الدفع]]="محفظة",1,0)</f>
        <v>0</v>
      </c>
      <c r="P1076">
        <f>IF(Table1[[#This Row],[وسيلة الدفع]]="تحويل",1,0)</f>
        <v>1</v>
      </c>
      <c r="Q1076">
        <f>IF(Table1[[#This Row],[حضر التهيئة]]="نعم",1,0)</f>
        <v>0</v>
      </c>
      <c r="R1076">
        <f>IF(Table1[[#This Row],[دورة الفوترة]]="شهري",1,0)</f>
        <v>0</v>
      </c>
    </row>
    <row r="1077" spans="1:18" x14ac:dyDescent="0.25">
      <c r="A1077" t="s">
        <v>1097</v>
      </c>
      <c r="B1077" s="1">
        <v>45576</v>
      </c>
      <c r="C1077" t="s">
        <v>13</v>
      </c>
      <c r="D1077">
        <v>89</v>
      </c>
      <c r="E1077" t="s">
        <v>20</v>
      </c>
      <c r="F1077">
        <v>29</v>
      </c>
      <c r="G1077" t="s">
        <v>21</v>
      </c>
      <c r="H1077">
        <v>0</v>
      </c>
      <c r="I1077">
        <v>3</v>
      </c>
      <c r="J1077">
        <v>10</v>
      </c>
      <c r="K1077" t="s">
        <v>16</v>
      </c>
      <c r="L1077" t="s">
        <v>17</v>
      </c>
      <c r="M1077">
        <f>IF(Table1[[#This Row],[ألغى الاشتراك]]="نعم",1,0)</f>
        <v>0</v>
      </c>
      <c r="N1077">
        <f>IF(Table1[[#This Row],[وسيلة الدفع]]="بطاقة",1,0)</f>
        <v>0</v>
      </c>
      <c r="O1077">
        <f>IF(Table1[[#This Row],[وسيلة الدفع]]="محفظة",1,0)</f>
        <v>1</v>
      </c>
      <c r="P1077">
        <f>IF(Table1[[#This Row],[وسيلة الدفع]]="تحويل",1,0)</f>
        <v>0</v>
      </c>
      <c r="Q1077">
        <f>IF(Table1[[#This Row],[حضر التهيئة]]="نعم",1,0)</f>
        <v>1</v>
      </c>
      <c r="R1077">
        <f>IF(Table1[[#This Row],[دورة الفوترة]]="شهري",1,0)</f>
        <v>0</v>
      </c>
    </row>
    <row r="1078" spans="1:18" x14ac:dyDescent="0.25">
      <c r="A1078" t="s">
        <v>1098</v>
      </c>
      <c r="B1078" s="1">
        <v>45505</v>
      </c>
      <c r="C1078" t="s">
        <v>19</v>
      </c>
      <c r="D1078">
        <v>189</v>
      </c>
      <c r="E1078" t="s">
        <v>14</v>
      </c>
      <c r="F1078">
        <v>29</v>
      </c>
      <c r="G1078" t="s">
        <v>21</v>
      </c>
      <c r="H1078">
        <v>4</v>
      </c>
      <c r="I1078">
        <v>43</v>
      </c>
      <c r="J1078">
        <v>25</v>
      </c>
      <c r="K1078" t="s">
        <v>16</v>
      </c>
      <c r="L1078" t="s">
        <v>17</v>
      </c>
      <c r="M1078">
        <f>IF(Table1[[#This Row],[ألغى الاشتراك]]="نعم",1,0)</f>
        <v>0</v>
      </c>
      <c r="N1078">
        <f>IF(Table1[[#This Row],[وسيلة الدفع]]="بطاقة",1,0)</f>
        <v>0</v>
      </c>
      <c r="O1078">
        <f>IF(Table1[[#This Row],[وسيلة الدفع]]="محفظة",1,0)</f>
        <v>1</v>
      </c>
      <c r="P1078">
        <f>IF(Table1[[#This Row],[وسيلة الدفع]]="تحويل",1,0)</f>
        <v>0</v>
      </c>
      <c r="Q1078">
        <f>IF(Table1[[#This Row],[حضر التهيئة]]="نعم",1,0)</f>
        <v>1</v>
      </c>
      <c r="R1078">
        <f>IF(Table1[[#This Row],[دورة الفوترة]]="شهري",1,0)</f>
        <v>1</v>
      </c>
    </row>
    <row r="1079" spans="1:18" x14ac:dyDescent="0.25">
      <c r="A1079" t="s">
        <v>1099</v>
      </c>
      <c r="B1079" s="1">
        <v>45783</v>
      </c>
      <c r="C1079" t="s">
        <v>28</v>
      </c>
      <c r="D1079">
        <v>39</v>
      </c>
      <c r="E1079" t="s">
        <v>20</v>
      </c>
      <c r="F1079">
        <v>23</v>
      </c>
      <c r="G1079" t="s">
        <v>23</v>
      </c>
      <c r="H1079">
        <v>4</v>
      </c>
      <c r="I1079">
        <v>15</v>
      </c>
      <c r="J1079">
        <v>0</v>
      </c>
      <c r="K1079" t="s">
        <v>16</v>
      </c>
      <c r="L1079" t="s">
        <v>17</v>
      </c>
      <c r="M1079">
        <f>IF(Table1[[#This Row],[ألغى الاشتراك]]="نعم",1,0)</f>
        <v>0</v>
      </c>
      <c r="N1079">
        <f>IF(Table1[[#This Row],[وسيلة الدفع]]="بطاقة",1,0)</f>
        <v>0</v>
      </c>
      <c r="O1079">
        <f>IF(Table1[[#This Row],[وسيلة الدفع]]="محفظة",1,0)</f>
        <v>0</v>
      </c>
      <c r="P1079">
        <f>IF(Table1[[#This Row],[وسيلة الدفع]]="تحويل",1,0)</f>
        <v>1</v>
      </c>
      <c r="Q1079">
        <f>IF(Table1[[#This Row],[حضر التهيئة]]="نعم",1,0)</f>
        <v>1</v>
      </c>
      <c r="R1079">
        <f>IF(Table1[[#This Row],[دورة الفوترة]]="شهري",1,0)</f>
        <v>0</v>
      </c>
    </row>
    <row r="1080" spans="1:18" x14ac:dyDescent="0.25">
      <c r="A1080" t="s">
        <v>1100</v>
      </c>
      <c r="B1080" s="1">
        <v>45846</v>
      </c>
      <c r="C1080" t="s">
        <v>28</v>
      </c>
      <c r="D1080">
        <v>39</v>
      </c>
      <c r="E1080" t="s">
        <v>14</v>
      </c>
      <c r="F1080">
        <v>18</v>
      </c>
      <c r="G1080" t="s">
        <v>15</v>
      </c>
      <c r="H1080">
        <v>0</v>
      </c>
      <c r="I1080">
        <v>36</v>
      </c>
      <c r="J1080">
        <v>15</v>
      </c>
      <c r="K1080" t="s">
        <v>17</v>
      </c>
      <c r="L1080" t="s">
        <v>17</v>
      </c>
      <c r="M1080">
        <f>IF(Table1[[#This Row],[ألغى الاشتراك]]="نعم",1,0)</f>
        <v>0</v>
      </c>
      <c r="N1080">
        <f>IF(Table1[[#This Row],[وسيلة الدفع]]="بطاقة",1,0)</f>
        <v>1</v>
      </c>
      <c r="O1080">
        <f>IF(Table1[[#This Row],[وسيلة الدفع]]="محفظة",1,0)</f>
        <v>0</v>
      </c>
      <c r="P1080">
        <f>IF(Table1[[#This Row],[وسيلة الدفع]]="تحويل",1,0)</f>
        <v>0</v>
      </c>
      <c r="Q1080">
        <f>IF(Table1[[#This Row],[حضر التهيئة]]="نعم",1,0)</f>
        <v>0</v>
      </c>
      <c r="R1080">
        <f>IF(Table1[[#This Row],[دورة الفوترة]]="شهري",1,0)</f>
        <v>1</v>
      </c>
    </row>
    <row r="1081" spans="1:18" x14ac:dyDescent="0.25">
      <c r="A1081" t="s">
        <v>1101</v>
      </c>
      <c r="B1081" s="1">
        <v>45787</v>
      </c>
      <c r="C1081" t="s">
        <v>19</v>
      </c>
      <c r="D1081">
        <v>189</v>
      </c>
      <c r="E1081" t="s">
        <v>20</v>
      </c>
      <c r="F1081">
        <v>16</v>
      </c>
      <c r="G1081" t="s">
        <v>21</v>
      </c>
      <c r="H1081">
        <v>2</v>
      </c>
      <c r="I1081">
        <v>24</v>
      </c>
      <c r="J1081">
        <v>5</v>
      </c>
      <c r="K1081" t="s">
        <v>16</v>
      </c>
      <c r="L1081" t="s">
        <v>17</v>
      </c>
      <c r="M1081">
        <f>IF(Table1[[#This Row],[ألغى الاشتراك]]="نعم",1,0)</f>
        <v>0</v>
      </c>
      <c r="N1081">
        <f>IF(Table1[[#This Row],[وسيلة الدفع]]="بطاقة",1,0)</f>
        <v>0</v>
      </c>
      <c r="O1081">
        <f>IF(Table1[[#This Row],[وسيلة الدفع]]="محفظة",1,0)</f>
        <v>1</v>
      </c>
      <c r="P1081">
        <f>IF(Table1[[#This Row],[وسيلة الدفع]]="تحويل",1,0)</f>
        <v>0</v>
      </c>
      <c r="Q1081">
        <f>IF(Table1[[#This Row],[حضر التهيئة]]="نعم",1,0)</f>
        <v>1</v>
      </c>
      <c r="R1081">
        <f>IF(Table1[[#This Row],[دورة الفوترة]]="شهري",1,0)</f>
        <v>0</v>
      </c>
    </row>
    <row r="1082" spans="1:18" x14ac:dyDescent="0.25">
      <c r="A1082" t="s">
        <v>1102</v>
      </c>
      <c r="B1082" s="1">
        <v>45850</v>
      </c>
      <c r="C1082" t="s">
        <v>13</v>
      </c>
      <c r="D1082">
        <v>89</v>
      </c>
      <c r="E1082" t="s">
        <v>20</v>
      </c>
      <c r="F1082">
        <v>10</v>
      </c>
      <c r="G1082" t="s">
        <v>15</v>
      </c>
      <c r="H1082">
        <v>6</v>
      </c>
      <c r="I1082">
        <v>56</v>
      </c>
      <c r="J1082">
        <v>15</v>
      </c>
      <c r="K1082" t="s">
        <v>17</v>
      </c>
      <c r="L1082" t="s">
        <v>17</v>
      </c>
      <c r="M1082">
        <f>IF(Table1[[#This Row],[ألغى الاشتراك]]="نعم",1,0)</f>
        <v>0</v>
      </c>
      <c r="N1082">
        <f>IF(Table1[[#This Row],[وسيلة الدفع]]="بطاقة",1,0)</f>
        <v>1</v>
      </c>
      <c r="O1082">
        <f>IF(Table1[[#This Row],[وسيلة الدفع]]="محفظة",1,0)</f>
        <v>0</v>
      </c>
      <c r="P1082">
        <f>IF(Table1[[#This Row],[وسيلة الدفع]]="تحويل",1,0)</f>
        <v>0</v>
      </c>
      <c r="Q1082">
        <f>IF(Table1[[#This Row],[حضر التهيئة]]="نعم",1,0)</f>
        <v>0</v>
      </c>
      <c r="R1082">
        <f>IF(Table1[[#This Row],[دورة الفوترة]]="شهري",1,0)</f>
        <v>0</v>
      </c>
    </row>
    <row r="1083" spans="1:18" x14ac:dyDescent="0.25">
      <c r="A1083" t="s">
        <v>1103</v>
      </c>
      <c r="B1083" s="1">
        <v>45679</v>
      </c>
      <c r="C1083" t="s">
        <v>19</v>
      </c>
      <c r="D1083">
        <v>189</v>
      </c>
      <c r="E1083" t="s">
        <v>20</v>
      </c>
      <c r="F1083">
        <v>6</v>
      </c>
      <c r="G1083" t="s">
        <v>23</v>
      </c>
      <c r="H1083">
        <v>0</v>
      </c>
      <c r="I1083">
        <v>14</v>
      </c>
      <c r="J1083">
        <v>5</v>
      </c>
      <c r="K1083" t="s">
        <v>17</v>
      </c>
      <c r="L1083" t="s">
        <v>17</v>
      </c>
      <c r="M1083">
        <f>IF(Table1[[#This Row],[ألغى الاشتراك]]="نعم",1,0)</f>
        <v>0</v>
      </c>
      <c r="N1083">
        <f>IF(Table1[[#This Row],[وسيلة الدفع]]="بطاقة",1,0)</f>
        <v>0</v>
      </c>
      <c r="O1083">
        <f>IF(Table1[[#This Row],[وسيلة الدفع]]="محفظة",1,0)</f>
        <v>0</v>
      </c>
      <c r="P1083">
        <f>IF(Table1[[#This Row],[وسيلة الدفع]]="تحويل",1,0)</f>
        <v>1</v>
      </c>
      <c r="Q1083">
        <f>IF(Table1[[#This Row],[حضر التهيئة]]="نعم",1,0)</f>
        <v>0</v>
      </c>
      <c r="R1083">
        <f>IF(Table1[[#This Row],[دورة الفوترة]]="شهري",1,0)</f>
        <v>0</v>
      </c>
    </row>
    <row r="1084" spans="1:18" x14ac:dyDescent="0.25">
      <c r="A1084" t="s">
        <v>1104</v>
      </c>
      <c r="B1084" s="1">
        <v>45580</v>
      </c>
      <c r="C1084" t="s">
        <v>19</v>
      </c>
      <c r="D1084">
        <v>189</v>
      </c>
      <c r="E1084" t="s">
        <v>14</v>
      </c>
      <c r="F1084">
        <v>28</v>
      </c>
      <c r="G1084" t="s">
        <v>23</v>
      </c>
      <c r="H1084">
        <v>0</v>
      </c>
      <c r="I1084">
        <v>26</v>
      </c>
      <c r="J1084">
        <v>0</v>
      </c>
      <c r="K1084" t="s">
        <v>17</v>
      </c>
      <c r="L1084" t="s">
        <v>17</v>
      </c>
      <c r="M1084">
        <f>IF(Table1[[#This Row],[ألغى الاشتراك]]="نعم",1,0)</f>
        <v>0</v>
      </c>
      <c r="N1084">
        <f>IF(Table1[[#This Row],[وسيلة الدفع]]="بطاقة",1,0)</f>
        <v>0</v>
      </c>
      <c r="O1084">
        <f>IF(Table1[[#This Row],[وسيلة الدفع]]="محفظة",1,0)</f>
        <v>0</v>
      </c>
      <c r="P1084">
        <f>IF(Table1[[#This Row],[وسيلة الدفع]]="تحويل",1,0)</f>
        <v>1</v>
      </c>
      <c r="Q1084">
        <f>IF(Table1[[#This Row],[حضر التهيئة]]="نعم",1,0)</f>
        <v>0</v>
      </c>
      <c r="R1084">
        <f>IF(Table1[[#This Row],[دورة الفوترة]]="شهري",1,0)</f>
        <v>1</v>
      </c>
    </row>
    <row r="1085" spans="1:18" x14ac:dyDescent="0.25">
      <c r="A1085" t="s">
        <v>1105</v>
      </c>
      <c r="B1085" s="1">
        <v>45969</v>
      </c>
      <c r="C1085" t="s">
        <v>19</v>
      </c>
      <c r="D1085">
        <v>189</v>
      </c>
      <c r="E1085" t="s">
        <v>20</v>
      </c>
      <c r="F1085">
        <v>11</v>
      </c>
      <c r="G1085" t="s">
        <v>23</v>
      </c>
      <c r="H1085">
        <v>1</v>
      </c>
      <c r="I1085">
        <v>47</v>
      </c>
      <c r="J1085">
        <v>0</v>
      </c>
      <c r="K1085" t="s">
        <v>17</v>
      </c>
      <c r="L1085" t="s">
        <v>17</v>
      </c>
      <c r="M1085">
        <f>IF(Table1[[#This Row],[ألغى الاشتراك]]="نعم",1,0)</f>
        <v>0</v>
      </c>
      <c r="N1085">
        <f>IF(Table1[[#This Row],[وسيلة الدفع]]="بطاقة",1,0)</f>
        <v>0</v>
      </c>
      <c r="O1085">
        <f>IF(Table1[[#This Row],[وسيلة الدفع]]="محفظة",1,0)</f>
        <v>0</v>
      </c>
      <c r="P1085">
        <f>IF(Table1[[#This Row],[وسيلة الدفع]]="تحويل",1,0)</f>
        <v>1</v>
      </c>
      <c r="Q1085">
        <f>IF(Table1[[#This Row],[حضر التهيئة]]="نعم",1,0)</f>
        <v>0</v>
      </c>
      <c r="R1085">
        <f>IF(Table1[[#This Row],[دورة الفوترة]]="شهري",1,0)</f>
        <v>0</v>
      </c>
    </row>
    <row r="1086" spans="1:18" x14ac:dyDescent="0.25">
      <c r="A1086" t="s">
        <v>1106</v>
      </c>
      <c r="B1086" s="1">
        <v>45521</v>
      </c>
      <c r="C1086" t="s">
        <v>13</v>
      </c>
      <c r="D1086">
        <v>89</v>
      </c>
      <c r="E1086" t="s">
        <v>14</v>
      </c>
      <c r="F1086">
        <v>2</v>
      </c>
      <c r="G1086" t="s">
        <v>15</v>
      </c>
      <c r="H1086">
        <v>0</v>
      </c>
      <c r="I1086">
        <v>58</v>
      </c>
      <c r="J1086">
        <v>0</v>
      </c>
      <c r="K1086" t="s">
        <v>16</v>
      </c>
      <c r="L1086" t="s">
        <v>17</v>
      </c>
      <c r="M1086">
        <f>IF(Table1[[#This Row],[ألغى الاشتراك]]="نعم",1,0)</f>
        <v>0</v>
      </c>
      <c r="N1086">
        <f>IF(Table1[[#This Row],[وسيلة الدفع]]="بطاقة",1,0)</f>
        <v>1</v>
      </c>
      <c r="O1086">
        <f>IF(Table1[[#This Row],[وسيلة الدفع]]="محفظة",1,0)</f>
        <v>0</v>
      </c>
      <c r="P1086">
        <f>IF(Table1[[#This Row],[وسيلة الدفع]]="تحويل",1,0)</f>
        <v>0</v>
      </c>
      <c r="Q1086">
        <f>IF(Table1[[#This Row],[حضر التهيئة]]="نعم",1,0)</f>
        <v>1</v>
      </c>
      <c r="R1086">
        <f>IF(Table1[[#This Row],[دورة الفوترة]]="شهري",1,0)</f>
        <v>1</v>
      </c>
    </row>
    <row r="1087" spans="1:18" x14ac:dyDescent="0.25">
      <c r="A1087" t="s">
        <v>1107</v>
      </c>
      <c r="B1087" s="1">
        <v>45325</v>
      </c>
      <c r="C1087" t="s">
        <v>13</v>
      </c>
      <c r="D1087">
        <v>89</v>
      </c>
      <c r="E1087" t="s">
        <v>14</v>
      </c>
      <c r="F1087">
        <v>5</v>
      </c>
      <c r="G1087" t="s">
        <v>21</v>
      </c>
      <c r="H1087">
        <v>9</v>
      </c>
      <c r="I1087">
        <v>29</v>
      </c>
      <c r="J1087">
        <v>10</v>
      </c>
      <c r="K1087" t="s">
        <v>16</v>
      </c>
      <c r="L1087" t="s">
        <v>17</v>
      </c>
      <c r="M1087">
        <f>IF(Table1[[#This Row],[ألغى الاشتراك]]="نعم",1,0)</f>
        <v>0</v>
      </c>
      <c r="N1087">
        <f>IF(Table1[[#This Row],[وسيلة الدفع]]="بطاقة",1,0)</f>
        <v>0</v>
      </c>
      <c r="O1087">
        <f>IF(Table1[[#This Row],[وسيلة الدفع]]="محفظة",1,0)</f>
        <v>1</v>
      </c>
      <c r="P1087">
        <f>IF(Table1[[#This Row],[وسيلة الدفع]]="تحويل",1,0)</f>
        <v>0</v>
      </c>
      <c r="Q1087">
        <f>IF(Table1[[#This Row],[حضر التهيئة]]="نعم",1,0)</f>
        <v>1</v>
      </c>
      <c r="R1087">
        <f>IF(Table1[[#This Row],[دورة الفوترة]]="شهري",1,0)</f>
        <v>1</v>
      </c>
    </row>
    <row r="1088" spans="1:18" x14ac:dyDescent="0.25">
      <c r="A1088" t="s">
        <v>1108</v>
      </c>
      <c r="B1088" s="1">
        <v>45977</v>
      </c>
      <c r="C1088" t="s">
        <v>13</v>
      </c>
      <c r="D1088">
        <v>89</v>
      </c>
      <c r="E1088" t="s">
        <v>14</v>
      </c>
      <c r="F1088">
        <v>1</v>
      </c>
      <c r="G1088" t="s">
        <v>21</v>
      </c>
      <c r="H1088">
        <v>0</v>
      </c>
      <c r="I1088">
        <v>7</v>
      </c>
      <c r="J1088">
        <v>0</v>
      </c>
      <c r="K1088" t="s">
        <v>16</v>
      </c>
      <c r="L1088" t="s">
        <v>17</v>
      </c>
      <c r="M1088">
        <f>IF(Table1[[#This Row],[ألغى الاشتراك]]="نعم",1,0)</f>
        <v>0</v>
      </c>
      <c r="N1088">
        <f>IF(Table1[[#This Row],[وسيلة الدفع]]="بطاقة",1,0)</f>
        <v>0</v>
      </c>
      <c r="O1088">
        <f>IF(Table1[[#This Row],[وسيلة الدفع]]="محفظة",1,0)</f>
        <v>1</v>
      </c>
      <c r="P1088">
        <f>IF(Table1[[#This Row],[وسيلة الدفع]]="تحويل",1,0)</f>
        <v>0</v>
      </c>
      <c r="Q1088">
        <f>IF(Table1[[#This Row],[حضر التهيئة]]="نعم",1,0)</f>
        <v>1</v>
      </c>
      <c r="R1088">
        <f>IF(Table1[[#This Row],[دورة الفوترة]]="شهري",1,0)</f>
        <v>1</v>
      </c>
    </row>
    <row r="1089" spans="1:18" x14ac:dyDescent="0.25">
      <c r="A1089" t="s">
        <v>1109</v>
      </c>
      <c r="B1089" s="1">
        <v>45779</v>
      </c>
      <c r="C1089" t="s">
        <v>28</v>
      </c>
      <c r="D1089">
        <v>39</v>
      </c>
      <c r="E1089" t="s">
        <v>20</v>
      </c>
      <c r="F1089">
        <v>2</v>
      </c>
      <c r="G1089" t="s">
        <v>15</v>
      </c>
      <c r="H1089">
        <v>1</v>
      </c>
      <c r="I1089">
        <v>6</v>
      </c>
      <c r="J1089">
        <v>5</v>
      </c>
      <c r="K1089" t="s">
        <v>17</v>
      </c>
      <c r="L1089" t="s">
        <v>17</v>
      </c>
      <c r="M1089">
        <f>IF(Table1[[#This Row],[ألغى الاشتراك]]="نعم",1,0)</f>
        <v>0</v>
      </c>
      <c r="N1089">
        <f>IF(Table1[[#This Row],[وسيلة الدفع]]="بطاقة",1,0)</f>
        <v>1</v>
      </c>
      <c r="O1089">
        <f>IF(Table1[[#This Row],[وسيلة الدفع]]="محفظة",1,0)</f>
        <v>0</v>
      </c>
      <c r="P1089">
        <f>IF(Table1[[#This Row],[وسيلة الدفع]]="تحويل",1,0)</f>
        <v>0</v>
      </c>
      <c r="Q1089">
        <f>IF(Table1[[#This Row],[حضر التهيئة]]="نعم",1,0)</f>
        <v>0</v>
      </c>
      <c r="R1089">
        <f>IF(Table1[[#This Row],[دورة الفوترة]]="شهري",1,0)</f>
        <v>0</v>
      </c>
    </row>
    <row r="1090" spans="1:18" x14ac:dyDescent="0.25">
      <c r="A1090" t="s">
        <v>1110</v>
      </c>
      <c r="B1090" s="1">
        <v>45584</v>
      </c>
      <c r="C1090" t="s">
        <v>28</v>
      </c>
      <c r="D1090">
        <v>39</v>
      </c>
      <c r="E1090" t="s">
        <v>14</v>
      </c>
      <c r="F1090">
        <v>2</v>
      </c>
      <c r="G1090" t="s">
        <v>15</v>
      </c>
      <c r="H1090">
        <v>0</v>
      </c>
      <c r="I1090">
        <v>10</v>
      </c>
      <c r="J1090">
        <v>0</v>
      </c>
      <c r="K1090" t="s">
        <v>17</v>
      </c>
      <c r="L1090" t="s">
        <v>17</v>
      </c>
      <c r="M1090">
        <f>IF(Table1[[#This Row],[ألغى الاشتراك]]="نعم",1,0)</f>
        <v>0</v>
      </c>
      <c r="N1090">
        <f>IF(Table1[[#This Row],[وسيلة الدفع]]="بطاقة",1,0)</f>
        <v>1</v>
      </c>
      <c r="O1090">
        <f>IF(Table1[[#This Row],[وسيلة الدفع]]="محفظة",1,0)</f>
        <v>0</v>
      </c>
      <c r="P1090">
        <f>IF(Table1[[#This Row],[وسيلة الدفع]]="تحويل",1,0)</f>
        <v>0</v>
      </c>
      <c r="Q1090">
        <f>IF(Table1[[#This Row],[حضر التهيئة]]="نعم",1,0)</f>
        <v>0</v>
      </c>
      <c r="R1090">
        <f>IF(Table1[[#This Row],[دورة الفوترة]]="شهري",1,0)</f>
        <v>1</v>
      </c>
    </row>
    <row r="1091" spans="1:18" x14ac:dyDescent="0.25">
      <c r="A1091" t="s">
        <v>1111</v>
      </c>
      <c r="B1091" s="1">
        <v>45736</v>
      </c>
      <c r="C1091" t="s">
        <v>13</v>
      </c>
      <c r="D1091">
        <v>89</v>
      </c>
      <c r="E1091" t="s">
        <v>20</v>
      </c>
      <c r="F1091">
        <v>21</v>
      </c>
      <c r="G1091" t="s">
        <v>23</v>
      </c>
      <c r="H1091">
        <v>2</v>
      </c>
      <c r="I1091">
        <v>25</v>
      </c>
      <c r="J1091">
        <v>0</v>
      </c>
      <c r="K1091" t="s">
        <v>16</v>
      </c>
      <c r="L1091" t="s">
        <v>17</v>
      </c>
      <c r="M1091">
        <f>IF(Table1[[#This Row],[ألغى الاشتراك]]="نعم",1,0)</f>
        <v>0</v>
      </c>
      <c r="N1091">
        <f>IF(Table1[[#This Row],[وسيلة الدفع]]="بطاقة",1,0)</f>
        <v>0</v>
      </c>
      <c r="O1091">
        <f>IF(Table1[[#This Row],[وسيلة الدفع]]="محفظة",1,0)</f>
        <v>0</v>
      </c>
      <c r="P1091">
        <f>IF(Table1[[#This Row],[وسيلة الدفع]]="تحويل",1,0)</f>
        <v>1</v>
      </c>
      <c r="Q1091">
        <f>IF(Table1[[#This Row],[حضر التهيئة]]="نعم",1,0)</f>
        <v>1</v>
      </c>
      <c r="R1091">
        <f>IF(Table1[[#This Row],[دورة الفوترة]]="شهري",1,0)</f>
        <v>0</v>
      </c>
    </row>
    <row r="1092" spans="1:18" x14ac:dyDescent="0.25">
      <c r="A1092" t="s">
        <v>1112</v>
      </c>
      <c r="B1092" s="1">
        <v>45529</v>
      </c>
      <c r="C1092" t="s">
        <v>13</v>
      </c>
      <c r="D1092">
        <v>89</v>
      </c>
      <c r="E1092" t="s">
        <v>20</v>
      </c>
      <c r="F1092">
        <v>18</v>
      </c>
      <c r="G1092" t="s">
        <v>15</v>
      </c>
      <c r="H1092">
        <v>2</v>
      </c>
      <c r="I1092">
        <v>6</v>
      </c>
      <c r="J1092">
        <v>0</v>
      </c>
      <c r="K1092" t="s">
        <v>17</v>
      </c>
      <c r="L1092" t="s">
        <v>17</v>
      </c>
      <c r="M1092">
        <f>IF(Table1[[#This Row],[ألغى الاشتراك]]="نعم",1,0)</f>
        <v>0</v>
      </c>
      <c r="N1092">
        <f>IF(Table1[[#This Row],[وسيلة الدفع]]="بطاقة",1,0)</f>
        <v>1</v>
      </c>
      <c r="O1092">
        <f>IF(Table1[[#This Row],[وسيلة الدفع]]="محفظة",1,0)</f>
        <v>0</v>
      </c>
      <c r="P1092">
        <f>IF(Table1[[#This Row],[وسيلة الدفع]]="تحويل",1,0)</f>
        <v>0</v>
      </c>
      <c r="Q1092">
        <f>IF(Table1[[#This Row],[حضر التهيئة]]="نعم",1,0)</f>
        <v>0</v>
      </c>
      <c r="R1092">
        <f>IF(Table1[[#This Row],[دورة الفوترة]]="شهري",1,0)</f>
        <v>0</v>
      </c>
    </row>
    <row r="1093" spans="1:18" x14ac:dyDescent="0.25">
      <c r="A1093" t="s">
        <v>1113</v>
      </c>
      <c r="B1093" s="1">
        <v>45906</v>
      </c>
      <c r="C1093" t="s">
        <v>13</v>
      </c>
      <c r="D1093">
        <v>89</v>
      </c>
      <c r="E1093" t="s">
        <v>14</v>
      </c>
      <c r="F1093">
        <v>7</v>
      </c>
      <c r="G1093" t="s">
        <v>23</v>
      </c>
      <c r="H1093">
        <v>2</v>
      </c>
      <c r="I1093">
        <v>53</v>
      </c>
      <c r="J1093">
        <v>0</v>
      </c>
      <c r="K1093" t="s">
        <v>16</v>
      </c>
      <c r="L1093" t="s">
        <v>17</v>
      </c>
      <c r="M1093">
        <f>IF(Table1[[#This Row],[ألغى الاشتراك]]="نعم",1,0)</f>
        <v>0</v>
      </c>
      <c r="N1093">
        <f>IF(Table1[[#This Row],[وسيلة الدفع]]="بطاقة",1,0)</f>
        <v>0</v>
      </c>
      <c r="O1093">
        <f>IF(Table1[[#This Row],[وسيلة الدفع]]="محفظة",1,0)</f>
        <v>0</v>
      </c>
      <c r="P1093">
        <f>IF(Table1[[#This Row],[وسيلة الدفع]]="تحويل",1,0)</f>
        <v>1</v>
      </c>
      <c r="Q1093">
        <f>IF(Table1[[#This Row],[حضر التهيئة]]="نعم",1,0)</f>
        <v>1</v>
      </c>
      <c r="R1093">
        <f>IF(Table1[[#This Row],[دورة الفوترة]]="شهري",1,0)</f>
        <v>1</v>
      </c>
    </row>
    <row r="1094" spans="1:18" x14ac:dyDescent="0.25">
      <c r="A1094" t="s">
        <v>1114</v>
      </c>
      <c r="B1094" s="1">
        <v>45446</v>
      </c>
      <c r="C1094" t="s">
        <v>13</v>
      </c>
      <c r="D1094">
        <v>89</v>
      </c>
      <c r="E1094" t="s">
        <v>14</v>
      </c>
      <c r="F1094">
        <v>2</v>
      </c>
      <c r="G1094" t="s">
        <v>15</v>
      </c>
      <c r="H1094">
        <v>1</v>
      </c>
      <c r="I1094">
        <v>14</v>
      </c>
      <c r="J1094">
        <v>0</v>
      </c>
      <c r="K1094" t="s">
        <v>17</v>
      </c>
      <c r="L1094" t="s">
        <v>17</v>
      </c>
      <c r="M1094">
        <f>IF(Table1[[#This Row],[ألغى الاشتراك]]="نعم",1,0)</f>
        <v>0</v>
      </c>
      <c r="N1094">
        <f>IF(Table1[[#This Row],[وسيلة الدفع]]="بطاقة",1,0)</f>
        <v>1</v>
      </c>
      <c r="O1094">
        <f>IF(Table1[[#This Row],[وسيلة الدفع]]="محفظة",1,0)</f>
        <v>0</v>
      </c>
      <c r="P1094">
        <f>IF(Table1[[#This Row],[وسيلة الدفع]]="تحويل",1,0)</f>
        <v>0</v>
      </c>
      <c r="Q1094">
        <f>IF(Table1[[#This Row],[حضر التهيئة]]="نعم",1,0)</f>
        <v>0</v>
      </c>
      <c r="R1094">
        <f>IF(Table1[[#This Row],[دورة الفوترة]]="شهري",1,0)</f>
        <v>1</v>
      </c>
    </row>
    <row r="1095" spans="1:18" x14ac:dyDescent="0.25">
      <c r="A1095" t="s">
        <v>1115</v>
      </c>
      <c r="B1095" s="1">
        <v>45846</v>
      </c>
      <c r="C1095" t="s">
        <v>13</v>
      </c>
      <c r="D1095">
        <v>89</v>
      </c>
      <c r="E1095" t="s">
        <v>14</v>
      </c>
      <c r="F1095">
        <v>5</v>
      </c>
      <c r="G1095" t="s">
        <v>21</v>
      </c>
      <c r="H1095">
        <v>10</v>
      </c>
      <c r="I1095">
        <v>37</v>
      </c>
      <c r="J1095">
        <v>0</v>
      </c>
      <c r="K1095" t="s">
        <v>17</v>
      </c>
      <c r="L1095" t="s">
        <v>17</v>
      </c>
      <c r="M1095">
        <f>IF(Table1[[#This Row],[ألغى الاشتراك]]="نعم",1,0)</f>
        <v>0</v>
      </c>
      <c r="N1095">
        <f>IF(Table1[[#This Row],[وسيلة الدفع]]="بطاقة",1,0)</f>
        <v>0</v>
      </c>
      <c r="O1095">
        <f>IF(Table1[[#This Row],[وسيلة الدفع]]="محفظة",1,0)</f>
        <v>1</v>
      </c>
      <c r="P1095">
        <f>IF(Table1[[#This Row],[وسيلة الدفع]]="تحويل",1,0)</f>
        <v>0</v>
      </c>
      <c r="Q1095">
        <f>IF(Table1[[#This Row],[حضر التهيئة]]="نعم",1,0)</f>
        <v>0</v>
      </c>
      <c r="R1095">
        <f>IF(Table1[[#This Row],[دورة الفوترة]]="شهري",1,0)</f>
        <v>1</v>
      </c>
    </row>
    <row r="1096" spans="1:18" x14ac:dyDescent="0.25">
      <c r="A1096" t="s">
        <v>1116</v>
      </c>
      <c r="B1096" s="1">
        <v>45787</v>
      </c>
      <c r="C1096" t="s">
        <v>28</v>
      </c>
      <c r="D1096">
        <v>39</v>
      </c>
      <c r="E1096" t="s">
        <v>14</v>
      </c>
      <c r="F1096">
        <v>30</v>
      </c>
      <c r="G1096" t="s">
        <v>23</v>
      </c>
      <c r="H1096">
        <v>3</v>
      </c>
      <c r="I1096">
        <v>24</v>
      </c>
      <c r="J1096">
        <v>5</v>
      </c>
      <c r="K1096" t="s">
        <v>16</v>
      </c>
      <c r="L1096" t="s">
        <v>17</v>
      </c>
      <c r="M1096">
        <f>IF(Table1[[#This Row],[ألغى الاشتراك]]="نعم",1,0)</f>
        <v>0</v>
      </c>
      <c r="N1096">
        <f>IF(Table1[[#This Row],[وسيلة الدفع]]="بطاقة",1,0)</f>
        <v>0</v>
      </c>
      <c r="O1096">
        <f>IF(Table1[[#This Row],[وسيلة الدفع]]="محفظة",1,0)</f>
        <v>0</v>
      </c>
      <c r="P1096">
        <f>IF(Table1[[#This Row],[وسيلة الدفع]]="تحويل",1,0)</f>
        <v>1</v>
      </c>
      <c r="Q1096">
        <f>IF(Table1[[#This Row],[حضر التهيئة]]="نعم",1,0)</f>
        <v>1</v>
      </c>
      <c r="R1096">
        <f>IF(Table1[[#This Row],[دورة الفوترة]]="شهري",1,0)</f>
        <v>1</v>
      </c>
    </row>
    <row r="1097" spans="1:18" x14ac:dyDescent="0.25">
      <c r="A1097" t="s">
        <v>1117</v>
      </c>
      <c r="B1097" s="1">
        <v>45580</v>
      </c>
      <c r="C1097" t="s">
        <v>19</v>
      </c>
      <c r="D1097">
        <v>189</v>
      </c>
      <c r="E1097" t="s">
        <v>14</v>
      </c>
      <c r="F1097">
        <v>14</v>
      </c>
      <c r="G1097" t="s">
        <v>21</v>
      </c>
      <c r="H1097">
        <v>11</v>
      </c>
      <c r="I1097">
        <v>52</v>
      </c>
      <c r="J1097">
        <v>0</v>
      </c>
      <c r="K1097" t="s">
        <v>16</v>
      </c>
      <c r="L1097" t="s">
        <v>17</v>
      </c>
      <c r="M1097">
        <f>IF(Table1[[#This Row],[ألغى الاشتراك]]="نعم",1,0)</f>
        <v>0</v>
      </c>
      <c r="N1097">
        <f>IF(Table1[[#This Row],[وسيلة الدفع]]="بطاقة",1,0)</f>
        <v>0</v>
      </c>
      <c r="O1097">
        <f>IF(Table1[[#This Row],[وسيلة الدفع]]="محفظة",1,0)</f>
        <v>1</v>
      </c>
      <c r="P1097">
        <f>IF(Table1[[#This Row],[وسيلة الدفع]]="تحويل",1,0)</f>
        <v>0</v>
      </c>
      <c r="Q1097">
        <f>IF(Table1[[#This Row],[حضر التهيئة]]="نعم",1,0)</f>
        <v>1</v>
      </c>
      <c r="R1097">
        <f>IF(Table1[[#This Row],[دورة الفوترة]]="شهري",1,0)</f>
        <v>1</v>
      </c>
    </row>
    <row r="1098" spans="1:18" x14ac:dyDescent="0.25">
      <c r="A1098" t="s">
        <v>1118</v>
      </c>
      <c r="B1098" s="1">
        <v>45969</v>
      </c>
      <c r="C1098" t="s">
        <v>28</v>
      </c>
      <c r="D1098">
        <v>39</v>
      </c>
      <c r="E1098" t="s">
        <v>14</v>
      </c>
      <c r="F1098">
        <v>3</v>
      </c>
      <c r="G1098" t="s">
        <v>15</v>
      </c>
      <c r="H1098">
        <v>1</v>
      </c>
      <c r="I1098">
        <v>59</v>
      </c>
      <c r="J1098">
        <v>0</v>
      </c>
      <c r="K1098" t="s">
        <v>16</v>
      </c>
      <c r="L1098" t="s">
        <v>16</v>
      </c>
      <c r="M1098">
        <f>IF(Table1[[#This Row],[ألغى الاشتراك]]="نعم",1,0)</f>
        <v>1</v>
      </c>
      <c r="N1098">
        <f>IF(Table1[[#This Row],[وسيلة الدفع]]="بطاقة",1,0)</f>
        <v>1</v>
      </c>
      <c r="O1098">
        <f>IF(Table1[[#This Row],[وسيلة الدفع]]="محفظة",1,0)</f>
        <v>0</v>
      </c>
      <c r="P1098">
        <f>IF(Table1[[#This Row],[وسيلة الدفع]]="تحويل",1,0)</f>
        <v>0</v>
      </c>
      <c r="Q1098">
        <f>IF(Table1[[#This Row],[حضر التهيئة]]="نعم",1,0)</f>
        <v>1</v>
      </c>
      <c r="R1098">
        <f>IF(Table1[[#This Row],[دورة الفوترة]]="شهري",1,0)</f>
        <v>1</v>
      </c>
    </row>
    <row r="1099" spans="1:18" x14ac:dyDescent="0.25">
      <c r="A1099" t="s">
        <v>1119</v>
      </c>
      <c r="B1099" s="1">
        <v>45651</v>
      </c>
      <c r="C1099" t="s">
        <v>13</v>
      </c>
      <c r="D1099">
        <v>89</v>
      </c>
      <c r="E1099" t="s">
        <v>14</v>
      </c>
      <c r="F1099">
        <v>26</v>
      </c>
      <c r="G1099" t="s">
        <v>23</v>
      </c>
      <c r="H1099">
        <v>4</v>
      </c>
      <c r="I1099">
        <v>50</v>
      </c>
      <c r="J1099">
        <v>0</v>
      </c>
      <c r="K1099" t="s">
        <v>17</v>
      </c>
      <c r="L1099" t="s">
        <v>17</v>
      </c>
      <c r="M1099">
        <f>IF(Table1[[#This Row],[ألغى الاشتراك]]="نعم",1,0)</f>
        <v>0</v>
      </c>
      <c r="N1099">
        <f>IF(Table1[[#This Row],[وسيلة الدفع]]="بطاقة",1,0)</f>
        <v>0</v>
      </c>
      <c r="O1099">
        <f>IF(Table1[[#This Row],[وسيلة الدفع]]="محفظة",1,0)</f>
        <v>0</v>
      </c>
      <c r="P1099">
        <f>IF(Table1[[#This Row],[وسيلة الدفع]]="تحويل",1,0)</f>
        <v>1</v>
      </c>
      <c r="Q1099">
        <f>IF(Table1[[#This Row],[حضر التهيئة]]="نعم",1,0)</f>
        <v>0</v>
      </c>
      <c r="R1099">
        <f>IF(Table1[[#This Row],[دورة الفوترة]]="شهري",1,0)</f>
        <v>1</v>
      </c>
    </row>
    <row r="1100" spans="1:18" x14ac:dyDescent="0.25">
      <c r="A1100" t="s">
        <v>1120</v>
      </c>
      <c r="B1100" s="1">
        <v>45683</v>
      </c>
      <c r="C1100" t="s">
        <v>13</v>
      </c>
      <c r="D1100">
        <v>89</v>
      </c>
      <c r="E1100" t="s">
        <v>14</v>
      </c>
      <c r="F1100">
        <v>25</v>
      </c>
      <c r="G1100" t="s">
        <v>15</v>
      </c>
      <c r="H1100">
        <v>4</v>
      </c>
      <c r="I1100">
        <v>15</v>
      </c>
      <c r="J1100">
        <v>0</v>
      </c>
      <c r="K1100" t="s">
        <v>16</v>
      </c>
      <c r="L1100" t="s">
        <v>17</v>
      </c>
      <c r="M1100">
        <f>IF(Table1[[#This Row],[ألغى الاشتراك]]="نعم",1,0)</f>
        <v>0</v>
      </c>
      <c r="N1100">
        <f>IF(Table1[[#This Row],[وسيلة الدفع]]="بطاقة",1,0)</f>
        <v>1</v>
      </c>
      <c r="O1100">
        <f>IF(Table1[[#This Row],[وسيلة الدفع]]="محفظة",1,0)</f>
        <v>0</v>
      </c>
      <c r="P1100">
        <f>IF(Table1[[#This Row],[وسيلة الدفع]]="تحويل",1,0)</f>
        <v>0</v>
      </c>
      <c r="Q1100">
        <f>IF(Table1[[#This Row],[حضر التهيئة]]="نعم",1,0)</f>
        <v>1</v>
      </c>
      <c r="R1100">
        <f>IF(Table1[[#This Row],[دورة الفوترة]]="شهري",1,0)</f>
        <v>1</v>
      </c>
    </row>
    <row r="1101" spans="1:18" x14ac:dyDescent="0.25">
      <c r="A1101" t="s">
        <v>1121</v>
      </c>
      <c r="B1101" s="1">
        <v>45584</v>
      </c>
      <c r="C1101" t="s">
        <v>19</v>
      </c>
      <c r="D1101">
        <v>189</v>
      </c>
      <c r="E1101" t="s">
        <v>14</v>
      </c>
      <c r="F1101">
        <v>6</v>
      </c>
      <c r="G1101" t="s">
        <v>15</v>
      </c>
      <c r="H1101">
        <v>9</v>
      </c>
      <c r="I1101">
        <v>34</v>
      </c>
      <c r="J1101">
        <v>0</v>
      </c>
      <c r="K1101" t="s">
        <v>17</v>
      </c>
      <c r="L1101" t="s">
        <v>17</v>
      </c>
      <c r="M1101">
        <f>IF(Table1[[#This Row],[ألغى الاشتراك]]="نعم",1,0)</f>
        <v>0</v>
      </c>
      <c r="N1101">
        <f>IF(Table1[[#This Row],[وسيلة الدفع]]="بطاقة",1,0)</f>
        <v>1</v>
      </c>
      <c r="O1101">
        <f>IF(Table1[[#This Row],[وسيلة الدفع]]="محفظة",1,0)</f>
        <v>0</v>
      </c>
      <c r="P1101">
        <f>IF(Table1[[#This Row],[وسيلة الدفع]]="تحويل",1,0)</f>
        <v>0</v>
      </c>
      <c r="Q1101">
        <f>IF(Table1[[#This Row],[حضر التهيئة]]="نعم",1,0)</f>
        <v>0</v>
      </c>
      <c r="R1101">
        <f>IF(Table1[[#This Row],[دورة الفوترة]]="شهري",1,0)</f>
        <v>1</v>
      </c>
    </row>
    <row r="1102" spans="1:18" x14ac:dyDescent="0.25">
      <c r="A1102" t="s">
        <v>1122</v>
      </c>
      <c r="B1102" s="1">
        <v>45724</v>
      </c>
      <c r="C1102" t="s">
        <v>13</v>
      </c>
      <c r="D1102">
        <v>89</v>
      </c>
      <c r="E1102" t="s">
        <v>14</v>
      </c>
      <c r="F1102">
        <v>27</v>
      </c>
      <c r="G1102" t="s">
        <v>15</v>
      </c>
      <c r="H1102">
        <v>2</v>
      </c>
      <c r="I1102">
        <v>53</v>
      </c>
      <c r="J1102">
        <v>0</v>
      </c>
      <c r="K1102" t="s">
        <v>16</v>
      </c>
      <c r="L1102" t="s">
        <v>17</v>
      </c>
      <c r="M1102">
        <f>IF(Table1[[#This Row],[ألغى الاشتراك]]="نعم",1,0)</f>
        <v>0</v>
      </c>
      <c r="N1102">
        <f>IF(Table1[[#This Row],[وسيلة الدفع]]="بطاقة",1,0)</f>
        <v>1</v>
      </c>
      <c r="O1102">
        <f>IF(Table1[[#This Row],[وسيلة الدفع]]="محفظة",1,0)</f>
        <v>0</v>
      </c>
      <c r="P1102">
        <f>IF(Table1[[#This Row],[وسيلة الدفع]]="تحويل",1,0)</f>
        <v>0</v>
      </c>
      <c r="Q1102">
        <f>IF(Table1[[#This Row],[حضر التهيئة]]="نعم",1,0)</f>
        <v>1</v>
      </c>
      <c r="R1102">
        <f>IF(Table1[[#This Row],[دورة الفوترة]]="شهري",1,0)</f>
        <v>1</v>
      </c>
    </row>
    <row r="1103" spans="1:18" x14ac:dyDescent="0.25">
      <c r="A1103" t="s">
        <v>1123</v>
      </c>
      <c r="B1103" s="1">
        <v>45525</v>
      </c>
      <c r="C1103" t="s">
        <v>28</v>
      </c>
      <c r="D1103">
        <v>39</v>
      </c>
      <c r="E1103" t="s">
        <v>14</v>
      </c>
      <c r="F1103">
        <v>18</v>
      </c>
      <c r="G1103" t="s">
        <v>23</v>
      </c>
      <c r="H1103">
        <v>2</v>
      </c>
      <c r="I1103">
        <v>58</v>
      </c>
      <c r="J1103">
        <v>0</v>
      </c>
      <c r="K1103" t="s">
        <v>16</v>
      </c>
      <c r="L1103" t="s">
        <v>17</v>
      </c>
      <c r="M1103">
        <f>IF(Table1[[#This Row],[ألغى الاشتراك]]="نعم",1,0)</f>
        <v>0</v>
      </c>
      <c r="N1103">
        <f>IF(Table1[[#This Row],[وسيلة الدفع]]="بطاقة",1,0)</f>
        <v>0</v>
      </c>
      <c r="O1103">
        <f>IF(Table1[[#This Row],[وسيلة الدفع]]="محفظة",1,0)</f>
        <v>0</v>
      </c>
      <c r="P1103">
        <f>IF(Table1[[#This Row],[وسيلة الدفع]]="تحويل",1,0)</f>
        <v>1</v>
      </c>
      <c r="Q1103">
        <f>IF(Table1[[#This Row],[حضر التهيئة]]="نعم",1,0)</f>
        <v>1</v>
      </c>
      <c r="R1103">
        <f>IF(Table1[[#This Row],[دورة الفوترة]]="شهري",1,0)</f>
        <v>1</v>
      </c>
    </row>
    <row r="1104" spans="1:18" x14ac:dyDescent="0.25">
      <c r="A1104" t="s">
        <v>1124</v>
      </c>
      <c r="B1104" s="1">
        <v>45683</v>
      </c>
      <c r="C1104" t="s">
        <v>28</v>
      </c>
      <c r="D1104">
        <v>39</v>
      </c>
      <c r="E1104" t="s">
        <v>14</v>
      </c>
      <c r="F1104">
        <v>1</v>
      </c>
      <c r="G1104" t="s">
        <v>23</v>
      </c>
      <c r="H1104">
        <v>0</v>
      </c>
      <c r="I1104">
        <v>45</v>
      </c>
      <c r="J1104">
        <v>0</v>
      </c>
      <c r="K1104" t="s">
        <v>17</v>
      </c>
      <c r="L1104" t="s">
        <v>17</v>
      </c>
      <c r="M1104">
        <f>IF(Table1[[#This Row],[ألغى الاشتراك]]="نعم",1,0)</f>
        <v>0</v>
      </c>
      <c r="N1104">
        <f>IF(Table1[[#This Row],[وسيلة الدفع]]="بطاقة",1,0)</f>
        <v>0</v>
      </c>
      <c r="O1104">
        <f>IF(Table1[[#This Row],[وسيلة الدفع]]="محفظة",1,0)</f>
        <v>0</v>
      </c>
      <c r="P1104">
        <f>IF(Table1[[#This Row],[وسيلة الدفع]]="تحويل",1,0)</f>
        <v>1</v>
      </c>
      <c r="Q1104">
        <f>IF(Table1[[#This Row],[حضر التهيئة]]="نعم",1,0)</f>
        <v>0</v>
      </c>
      <c r="R1104">
        <f>IF(Table1[[#This Row],[دورة الفوترة]]="شهري",1,0)</f>
        <v>1</v>
      </c>
    </row>
    <row r="1105" spans="1:18" x14ac:dyDescent="0.25">
      <c r="A1105" t="s">
        <v>1125</v>
      </c>
      <c r="B1105" s="1">
        <v>45462</v>
      </c>
      <c r="C1105" t="s">
        <v>19</v>
      </c>
      <c r="D1105">
        <v>189</v>
      </c>
      <c r="E1105" t="s">
        <v>20</v>
      </c>
      <c r="F1105">
        <v>26</v>
      </c>
      <c r="G1105" t="s">
        <v>21</v>
      </c>
      <c r="H1105">
        <v>2</v>
      </c>
      <c r="I1105">
        <v>52</v>
      </c>
      <c r="J1105">
        <v>0</v>
      </c>
      <c r="K1105" t="s">
        <v>16</v>
      </c>
      <c r="L1105" t="s">
        <v>17</v>
      </c>
      <c r="M1105">
        <f>IF(Table1[[#This Row],[ألغى الاشتراك]]="نعم",1,0)</f>
        <v>0</v>
      </c>
      <c r="N1105">
        <f>IF(Table1[[#This Row],[وسيلة الدفع]]="بطاقة",1,0)</f>
        <v>0</v>
      </c>
      <c r="O1105">
        <f>IF(Table1[[#This Row],[وسيلة الدفع]]="محفظة",1,0)</f>
        <v>1</v>
      </c>
      <c r="P1105">
        <f>IF(Table1[[#This Row],[وسيلة الدفع]]="تحويل",1,0)</f>
        <v>0</v>
      </c>
      <c r="Q1105">
        <f>IF(Table1[[#This Row],[حضر التهيئة]]="نعم",1,0)</f>
        <v>1</v>
      </c>
      <c r="R1105">
        <f>IF(Table1[[#This Row],[دورة الفوترة]]="شهري",1,0)</f>
        <v>0</v>
      </c>
    </row>
    <row r="1106" spans="1:18" x14ac:dyDescent="0.25">
      <c r="A1106" t="s">
        <v>1126</v>
      </c>
      <c r="B1106" s="1">
        <v>45517</v>
      </c>
      <c r="C1106" t="s">
        <v>13</v>
      </c>
      <c r="D1106">
        <v>89</v>
      </c>
      <c r="E1106" t="s">
        <v>14</v>
      </c>
      <c r="F1106">
        <v>9</v>
      </c>
      <c r="G1106" t="s">
        <v>15</v>
      </c>
      <c r="H1106">
        <v>1</v>
      </c>
      <c r="I1106">
        <v>19</v>
      </c>
      <c r="J1106">
        <v>25</v>
      </c>
      <c r="K1106" t="s">
        <v>17</v>
      </c>
      <c r="L1106" t="s">
        <v>17</v>
      </c>
      <c r="M1106">
        <f>IF(Table1[[#This Row],[ألغى الاشتراك]]="نعم",1,0)</f>
        <v>0</v>
      </c>
      <c r="N1106">
        <f>IF(Table1[[#This Row],[وسيلة الدفع]]="بطاقة",1,0)</f>
        <v>1</v>
      </c>
      <c r="O1106">
        <f>IF(Table1[[#This Row],[وسيلة الدفع]]="محفظة",1,0)</f>
        <v>0</v>
      </c>
      <c r="P1106">
        <f>IF(Table1[[#This Row],[وسيلة الدفع]]="تحويل",1,0)</f>
        <v>0</v>
      </c>
      <c r="Q1106">
        <f>IF(Table1[[#This Row],[حضر التهيئة]]="نعم",1,0)</f>
        <v>0</v>
      </c>
      <c r="R1106">
        <f>IF(Table1[[#This Row],[دورة الفوترة]]="شهري",1,0)</f>
        <v>1</v>
      </c>
    </row>
    <row r="1107" spans="1:18" x14ac:dyDescent="0.25">
      <c r="A1107" t="s">
        <v>1127</v>
      </c>
      <c r="B1107" s="1">
        <v>45683</v>
      </c>
      <c r="C1107" t="s">
        <v>13</v>
      </c>
      <c r="D1107">
        <v>89</v>
      </c>
      <c r="E1107" t="s">
        <v>20</v>
      </c>
      <c r="F1107">
        <v>29</v>
      </c>
      <c r="G1107" t="s">
        <v>15</v>
      </c>
      <c r="H1107">
        <v>8</v>
      </c>
      <c r="I1107">
        <v>27</v>
      </c>
      <c r="J1107">
        <v>0</v>
      </c>
      <c r="K1107" t="s">
        <v>16</v>
      </c>
      <c r="L1107" t="s">
        <v>17</v>
      </c>
      <c r="M1107">
        <f>IF(Table1[[#This Row],[ألغى الاشتراك]]="نعم",1,0)</f>
        <v>0</v>
      </c>
      <c r="N1107">
        <f>IF(Table1[[#This Row],[وسيلة الدفع]]="بطاقة",1,0)</f>
        <v>1</v>
      </c>
      <c r="O1107">
        <f>IF(Table1[[#This Row],[وسيلة الدفع]]="محفظة",1,0)</f>
        <v>0</v>
      </c>
      <c r="P1107">
        <f>IF(Table1[[#This Row],[وسيلة الدفع]]="تحويل",1,0)</f>
        <v>0</v>
      </c>
      <c r="Q1107">
        <f>IF(Table1[[#This Row],[حضر التهيئة]]="نعم",1,0)</f>
        <v>1</v>
      </c>
      <c r="R1107">
        <f>IF(Table1[[#This Row],[دورة الفوترة]]="شهري",1,0)</f>
        <v>0</v>
      </c>
    </row>
    <row r="1108" spans="1:18" x14ac:dyDescent="0.25">
      <c r="A1108" t="s">
        <v>1128</v>
      </c>
      <c r="B1108" s="1">
        <v>45572</v>
      </c>
      <c r="C1108" t="s">
        <v>19</v>
      </c>
      <c r="D1108">
        <v>189</v>
      </c>
      <c r="E1108" t="s">
        <v>14</v>
      </c>
      <c r="F1108">
        <v>18</v>
      </c>
      <c r="G1108" t="s">
        <v>21</v>
      </c>
      <c r="H1108">
        <v>3</v>
      </c>
      <c r="I1108">
        <v>42</v>
      </c>
      <c r="J1108">
        <v>0</v>
      </c>
      <c r="K1108" t="s">
        <v>17</v>
      </c>
      <c r="L1108" t="s">
        <v>17</v>
      </c>
      <c r="M1108">
        <f>IF(Table1[[#This Row],[ألغى الاشتراك]]="نعم",1,0)</f>
        <v>0</v>
      </c>
      <c r="N1108">
        <f>IF(Table1[[#This Row],[وسيلة الدفع]]="بطاقة",1,0)</f>
        <v>0</v>
      </c>
      <c r="O1108">
        <f>IF(Table1[[#This Row],[وسيلة الدفع]]="محفظة",1,0)</f>
        <v>1</v>
      </c>
      <c r="P1108">
        <f>IF(Table1[[#This Row],[وسيلة الدفع]]="تحويل",1,0)</f>
        <v>0</v>
      </c>
      <c r="Q1108">
        <f>IF(Table1[[#This Row],[حضر التهيئة]]="نعم",1,0)</f>
        <v>0</v>
      </c>
      <c r="R1108">
        <f>IF(Table1[[#This Row],[دورة الفوترة]]="شهري",1,0)</f>
        <v>1</v>
      </c>
    </row>
    <row r="1109" spans="1:18" x14ac:dyDescent="0.25">
      <c r="A1109" t="s">
        <v>1129</v>
      </c>
      <c r="B1109" s="1">
        <v>45989</v>
      </c>
      <c r="C1109" t="s">
        <v>13</v>
      </c>
      <c r="D1109">
        <v>89</v>
      </c>
      <c r="E1109" t="s">
        <v>20</v>
      </c>
      <c r="F1109">
        <v>27</v>
      </c>
      <c r="G1109" t="s">
        <v>15</v>
      </c>
      <c r="H1109">
        <v>1</v>
      </c>
      <c r="I1109">
        <v>57</v>
      </c>
      <c r="J1109">
        <v>0</v>
      </c>
      <c r="K1109" t="s">
        <v>17</v>
      </c>
      <c r="L1109" t="s">
        <v>17</v>
      </c>
      <c r="M1109">
        <f>IF(Table1[[#This Row],[ألغى الاشتراك]]="نعم",1,0)</f>
        <v>0</v>
      </c>
      <c r="N1109">
        <f>IF(Table1[[#This Row],[وسيلة الدفع]]="بطاقة",1,0)</f>
        <v>1</v>
      </c>
      <c r="O1109">
        <f>IF(Table1[[#This Row],[وسيلة الدفع]]="محفظة",1,0)</f>
        <v>0</v>
      </c>
      <c r="P1109">
        <f>IF(Table1[[#This Row],[وسيلة الدفع]]="تحويل",1,0)</f>
        <v>0</v>
      </c>
      <c r="Q1109">
        <f>IF(Table1[[#This Row],[حضر التهيئة]]="نعم",1,0)</f>
        <v>0</v>
      </c>
      <c r="R1109">
        <f>IF(Table1[[#This Row],[دورة الفوترة]]="شهري",1,0)</f>
        <v>0</v>
      </c>
    </row>
    <row r="1110" spans="1:18" x14ac:dyDescent="0.25">
      <c r="A1110" t="s">
        <v>1130</v>
      </c>
      <c r="B1110" s="1">
        <v>45783</v>
      </c>
      <c r="C1110" t="s">
        <v>28</v>
      </c>
      <c r="D1110">
        <v>39</v>
      </c>
      <c r="E1110" t="s">
        <v>20</v>
      </c>
      <c r="F1110">
        <v>24</v>
      </c>
      <c r="G1110" t="s">
        <v>15</v>
      </c>
      <c r="H1110">
        <v>0</v>
      </c>
      <c r="I1110">
        <v>48</v>
      </c>
      <c r="J1110">
        <v>5</v>
      </c>
      <c r="K1110" t="s">
        <v>16</v>
      </c>
      <c r="L1110" t="s">
        <v>17</v>
      </c>
      <c r="M1110">
        <f>IF(Table1[[#This Row],[ألغى الاشتراك]]="نعم",1,0)</f>
        <v>0</v>
      </c>
      <c r="N1110">
        <f>IF(Table1[[#This Row],[وسيلة الدفع]]="بطاقة",1,0)</f>
        <v>1</v>
      </c>
      <c r="O1110">
        <f>IF(Table1[[#This Row],[وسيلة الدفع]]="محفظة",1,0)</f>
        <v>0</v>
      </c>
      <c r="P1110">
        <f>IF(Table1[[#This Row],[وسيلة الدفع]]="تحويل",1,0)</f>
        <v>0</v>
      </c>
      <c r="Q1110">
        <f>IF(Table1[[#This Row],[حضر التهيئة]]="نعم",1,0)</f>
        <v>1</v>
      </c>
      <c r="R1110">
        <f>IF(Table1[[#This Row],[دورة الفوترة]]="شهري",1,0)</f>
        <v>0</v>
      </c>
    </row>
    <row r="1111" spans="1:18" x14ac:dyDescent="0.25">
      <c r="A1111" t="s">
        <v>1131</v>
      </c>
      <c r="B1111" s="1">
        <v>45337</v>
      </c>
      <c r="C1111" t="s">
        <v>19</v>
      </c>
      <c r="D1111">
        <v>189</v>
      </c>
      <c r="E1111" t="s">
        <v>14</v>
      </c>
      <c r="F1111">
        <v>6</v>
      </c>
      <c r="G1111" t="s">
        <v>21</v>
      </c>
      <c r="H1111">
        <v>11</v>
      </c>
      <c r="I1111">
        <v>34</v>
      </c>
      <c r="J1111">
        <v>0</v>
      </c>
      <c r="K1111" t="s">
        <v>17</v>
      </c>
      <c r="L1111" t="s">
        <v>17</v>
      </c>
      <c r="M1111">
        <f>IF(Table1[[#This Row],[ألغى الاشتراك]]="نعم",1,0)</f>
        <v>0</v>
      </c>
      <c r="N1111">
        <f>IF(Table1[[#This Row],[وسيلة الدفع]]="بطاقة",1,0)</f>
        <v>0</v>
      </c>
      <c r="O1111">
        <f>IF(Table1[[#This Row],[وسيلة الدفع]]="محفظة",1,0)</f>
        <v>1</v>
      </c>
      <c r="P1111">
        <f>IF(Table1[[#This Row],[وسيلة الدفع]]="تحويل",1,0)</f>
        <v>0</v>
      </c>
      <c r="Q1111">
        <f>IF(Table1[[#This Row],[حضر التهيئة]]="نعم",1,0)</f>
        <v>0</v>
      </c>
      <c r="R1111">
        <f>IF(Table1[[#This Row],[دورة الفوترة]]="شهري",1,0)</f>
        <v>1</v>
      </c>
    </row>
    <row r="1112" spans="1:18" x14ac:dyDescent="0.25">
      <c r="A1112" t="s">
        <v>1132</v>
      </c>
      <c r="B1112" s="1">
        <v>45969</v>
      </c>
      <c r="C1112" t="s">
        <v>19</v>
      </c>
      <c r="D1112">
        <v>189</v>
      </c>
      <c r="E1112" t="s">
        <v>20</v>
      </c>
      <c r="F1112">
        <v>11</v>
      </c>
      <c r="G1112" t="s">
        <v>21</v>
      </c>
      <c r="H1112">
        <v>3</v>
      </c>
      <c r="I1112">
        <v>23</v>
      </c>
      <c r="J1112">
        <v>0</v>
      </c>
      <c r="K1112" t="s">
        <v>16</v>
      </c>
      <c r="L1112" t="s">
        <v>17</v>
      </c>
      <c r="M1112">
        <f>IF(Table1[[#This Row],[ألغى الاشتراك]]="نعم",1,0)</f>
        <v>0</v>
      </c>
      <c r="N1112">
        <f>IF(Table1[[#This Row],[وسيلة الدفع]]="بطاقة",1,0)</f>
        <v>0</v>
      </c>
      <c r="O1112">
        <f>IF(Table1[[#This Row],[وسيلة الدفع]]="محفظة",1,0)</f>
        <v>1</v>
      </c>
      <c r="P1112">
        <f>IF(Table1[[#This Row],[وسيلة الدفع]]="تحويل",1,0)</f>
        <v>0</v>
      </c>
      <c r="Q1112">
        <f>IF(Table1[[#This Row],[حضر التهيئة]]="نعم",1,0)</f>
        <v>1</v>
      </c>
      <c r="R1112">
        <f>IF(Table1[[#This Row],[دورة الفوترة]]="شهري",1,0)</f>
        <v>0</v>
      </c>
    </row>
    <row r="1113" spans="1:18" x14ac:dyDescent="0.25">
      <c r="A1113" t="s">
        <v>1133</v>
      </c>
      <c r="B1113" s="1">
        <v>45787</v>
      </c>
      <c r="C1113" t="s">
        <v>13</v>
      </c>
      <c r="D1113">
        <v>89</v>
      </c>
      <c r="E1113" t="s">
        <v>14</v>
      </c>
      <c r="F1113">
        <v>28</v>
      </c>
      <c r="G1113" t="s">
        <v>21</v>
      </c>
      <c r="H1113">
        <v>3</v>
      </c>
      <c r="I1113">
        <v>58</v>
      </c>
      <c r="J1113">
        <v>5</v>
      </c>
      <c r="K1113" t="s">
        <v>17</v>
      </c>
      <c r="L1113" t="s">
        <v>17</v>
      </c>
      <c r="M1113">
        <f>IF(Table1[[#This Row],[ألغى الاشتراك]]="نعم",1,0)</f>
        <v>0</v>
      </c>
      <c r="N1113">
        <f>IF(Table1[[#This Row],[وسيلة الدفع]]="بطاقة",1,0)</f>
        <v>0</v>
      </c>
      <c r="O1113">
        <f>IF(Table1[[#This Row],[وسيلة الدفع]]="محفظة",1,0)</f>
        <v>1</v>
      </c>
      <c r="P1113">
        <f>IF(Table1[[#This Row],[وسيلة الدفع]]="تحويل",1,0)</f>
        <v>0</v>
      </c>
      <c r="Q1113">
        <f>IF(Table1[[#This Row],[حضر التهيئة]]="نعم",1,0)</f>
        <v>0</v>
      </c>
      <c r="R1113">
        <f>IF(Table1[[#This Row],[دورة الفوترة]]="شهري",1,0)</f>
        <v>1</v>
      </c>
    </row>
    <row r="1114" spans="1:18" x14ac:dyDescent="0.25">
      <c r="A1114" t="s">
        <v>1134</v>
      </c>
      <c r="B1114" s="1">
        <v>45337</v>
      </c>
      <c r="C1114" t="s">
        <v>28</v>
      </c>
      <c r="D1114">
        <v>39</v>
      </c>
      <c r="E1114" t="s">
        <v>20</v>
      </c>
      <c r="F1114">
        <v>20</v>
      </c>
      <c r="G1114" t="s">
        <v>15</v>
      </c>
      <c r="H1114">
        <v>1</v>
      </c>
      <c r="I1114">
        <v>14</v>
      </c>
      <c r="J1114">
        <v>0</v>
      </c>
      <c r="K1114" t="s">
        <v>16</v>
      </c>
      <c r="L1114" t="s">
        <v>17</v>
      </c>
      <c r="M1114">
        <f>IF(Table1[[#This Row],[ألغى الاشتراك]]="نعم",1,0)</f>
        <v>0</v>
      </c>
      <c r="N1114">
        <f>IF(Table1[[#This Row],[وسيلة الدفع]]="بطاقة",1,0)</f>
        <v>1</v>
      </c>
      <c r="O1114">
        <f>IF(Table1[[#This Row],[وسيلة الدفع]]="محفظة",1,0)</f>
        <v>0</v>
      </c>
      <c r="P1114">
        <f>IF(Table1[[#This Row],[وسيلة الدفع]]="تحويل",1,0)</f>
        <v>0</v>
      </c>
      <c r="Q1114">
        <f>IF(Table1[[#This Row],[حضر التهيئة]]="نعم",1,0)</f>
        <v>1</v>
      </c>
      <c r="R1114">
        <f>IF(Table1[[#This Row],[دورة الفوترة]]="شهري",1,0)</f>
        <v>0</v>
      </c>
    </row>
    <row r="1115" spans="1:18" x14ac:dyDescent="0.25">
      <c r="A1115" t="s">
        <v>1135</v>
      </c>
      <c r="B1115" s="1">
        <v>45635</v>
      </c>
      <c r="C1115" t="s">
        <v>28</v>
      </c>
      <c r="D1115">
        <v>39</v>
      </c>
      <c r="E1115" t="s">
        <v>20</v>
      </c>
      <c r="F1115">
        <v>7</v>
      </c>
      <c r="G1115" t="s">
        <v>21</v>
      </c>
      <c r="H1115">
        <v>11</v>
      </c>
      <c r="I1115">
        <v>43</v>
      </c>
      <c r="J1115">
        <v>25</v>
      </c>
      <c r="K1115" t="s">
        <v>16</v>
      </c>
      <c r="L1115" t="s">
        <v>17</v>
      </c>
      <c r="M1115">
        <f>IF(Table1[[#This Row],[ألغى الاشتراك]]="نعم",1,0)</f>
        <v>0</v>
      </c>
      <c r="N1115">
        <f>IF(Table1[[#This Row],[وسيلة الدفع]]="بطاقة",1,0)</f>
        <v>0</v>
      </c>
      <c r="O1115">
        <f>IF(Table1[[#This Row],[وسيلة الدفع]]="محفظة",1,0)</f>
        <v>1</v>
      </c>
      <c r="P1115">
        <f>IF(Table1[[#This Row],[وسيلة الدفع]]="تحويل",1,0)</f>
        <v>0</v>
      </c>
      <c r="Q1115">
        <f>IF(Table1[[#This Row],[حضر التهيئة]]="نعم",1,0)</f>
        <v>1</v>
      </c>
      <c r="R1115">
        <f>IF(Table1[[#This Row],[دورة الفوترة]]="شهري",1,0)</f>
        <v>0</v>
      </c>
    </row>
    <row r="1116" spans="1:18" x14ac:dyDescent="0.25">
      <c r="A1116" t="s">
        <v>1136</v>
      </c>
      <c r="B1116" s="1">
        <v>45795</v>
      </c>
      <c r="C1116" t="s">
        <v>13</v>
      </c>
      <c r="D1116">
        <v>89</v>
      </c>
      <c r="E1116" t="s">
        <v>20</v>
      </c>
      <c r="F1116">
        <v>11</v>
      </c>
      <c r="G1116" t="s">
        <v>21</v>
      </c>
      <c r="H1116">
        <v>2</v>
      </c>
      <c r="I1116">
        <v>13</v>
      </c>
      <c r="J1116">
        <v>0</v>
      </c>
      <c r="K1116" t="s">
        <v>17</v>
      </c>
      <c r="L1116" t="s">
        <v>16</v>
      </c>
      <c r="M1116">
        <f>IF(Table1[[#This Row],[ألغى الاشتراك]]="نعم",1,0)</f>
        <v>1</v>
      </c>
      <c r="N1116">
        <f>IF(Table1[[#This Row],[وسيلة الدفع]]="بطاقة",1,0)</f>
        <v>0</v>
      </c>
      <c r="O1116">
        <f>IF(Table1[[#This Row],[وسيلة الدفع]]="محفظة",1,0)</f>
        <v>1</v>
      </c>
      <c r="P1116">
        <f>IF(Table1[[#This Row],[وسيلة الدفع]]="تحويل",1,0)</f>
        <v>0</v>
      </c>
      <c r="Q1116">
        <f>IF(Table1[[#This Row],[حضر التهيئة]]="نعم",1,0)</f>
        <v>0</v>
      </c>
      <c r="R1116">
        <f>IF(Table1[[#This Row],[دورة الفوترة]]="شهري",1,0)</f>
        <v>0</v>
      </c>
    </row>
    <row r="1117" spans="1:18" x14ac:dyDescent="0.25">
      <c r="A1117" t="s">
        <v>1137</v>
      </c>
      <c r="B1117" s="1">
        <v>45977</v>
      </c>
      <c r="C1117" t="s">
        <v>28</v>
      </c>
      <c r="D1117">
        <v>39</v>
      </c>
      <c r="E1117" t="s">
        <v>14</v>
      </c>
      <c r="F1117">
        <v>18</v>
      </c>
      <c r="G1117" t="s">
        <v>21</v>
      </c>
      <c r="H1117">
        <v>5</v>
      </c>
      <c r="I1117">
        <v>48</v>
      </c>
      <c r="J1117">
        <v>15</v>
      </c>
      <c r="K1117" t="s">
        <v>16</v>
      </c>
      <c r="L1117" t="s">
        <v>17</v>
      </c>
      <c r="M1117">
        <f>IF(Table1[[#This Row],[ألغى الاشتراك]]="نعم",1,0)</f>
        <v>0</v>
      </c>
      <c r="N1117">
        <f>IF(Table1[[#This Row],[وسيلة الدفع]]="بطاقة",1,0)</f>
        <v>0</v>
      </c>
      <c r="O1117">
        <f>IF(Table1[[#This Row],[وسيلة الدفع]]="محفظة",1,0)</f>
        <v>1</v>
      </c>
      <c r="P1117">
        <f>IF(Table1[[#This Row],[وسيلة الدفع]]="تحويل",1,0)</f>
        <v>0</v>
      </c>
      <c r="Q1117">
        <f>IF(Table1[[#This Row],[حضر التهيئة]]="نعم",1,0)</f>
        <v>1</v>
      </c>
      <c r="R1117">
        <f>IF(Table1[[#This Row],[دورة الفوترة]]="شهري",1,0)</f>
        <v>1</v>
      </c>
    </row>
    <row r="1118" spans="1:18" x14ac:dyDescent="0.25">
      <c r="A1118" t="s">
        <v>1138</v>
      </c>
      <c r="B1118" s="1">
        <v>45505</v>
      </c>
      <c r="C1118" t="s">
        <v>28</v>
      </c>
      <c r="D1118">
        <v>39</v>
      </c>
      <c r="E1118" t="s">
        <v>14</v>
      </c>
      <c r="F1118">
        <v>30</v>
      </c>
      <c r="G1118" t="s">
        <v>21</v>
      </c>
      <c r="H1118">
        <v>0</v>
      </c>
      <c r="I1118">
        <v>34</v>
      </c>
      <c r="J1118">
        <v>0</v>
      </c>
      <c r="K1118" t="s">
        <v>17</v>
      </c>
      <c r="L1118" t="s">
        <v>17</v>
      </c>
      <c r="M1118">
        <f>IF(Table1[[#This Row],[ألغى الاشتراك]]="نعم",1,0)</f>
        <v>0</v>
      </c>
      <c r="N1118">
        <f>IF(Table1[[#This Row],[وسيلة الدفع]]="بطاقة",1,0)</f>
        <v>0</v>
      </c>
      <c r="O1118">
        <f>IF(Table1[[#This Row],[وسيلة الدفع]]="محفظة",1,0)</f>
        <v>1</v>
      </c>
      <c r="P1118">
        <f>IF(Table1[[#This Row],[وسيلة الدفع]]="تحويل",1,0)</f>
        <v>0</v>
      </c>
      <c r="Q1118">
        <f>IF(Table1[[#This Row],[حضر التهيئة]]="نعم",1,0)</f>
        <v>0</v>
      </c>
      <c r="R1118">
        <f>IF(Table1[[#This Row],[دورة الفوترة]]="شهري",1,0)</f>
        <v>1</v>
      </c>
    </row>
    <row r="1119" spans="1:18" x14ac:dyDescent="0.25">
      <c r="A1119" t="s">
        <v>1139</v>
      </c>
      <c r="B1119" s="1">
        <v>45795</v>
      </c>
      <c r="C1119" t="s">
        <v>19</v>
      </c>
      <c r="D1119">
        <v>189</v>
      </c>
      <c r="E1119" t="s">
        <v>20</v>
      </c>
      <c r="F1119">
        <v>9</v>
      </c>
      <c r="G1119" t="s">
        <v>15</v>
      </c>
      <c r="H1119">
        <v>2</v>
      </c>
      <c r="I1119">
        <v>47</v>
      </c>
      <c r="J1119">
        <v>0</v>
      </c>
      <c r="K1119" t="s">
        <v>17</v>
      </c>
      <c r="L1119" t="s">
        <v>17</v>
      </c>
      <c r="M1119">
        <f>IF(Table1[[#This Row],[ألغى الاشتراك]]="نعم",1,0)</f>
        <v>0</v>
      </c>
      <c r="N1119">
        <f>IF(Table1[[#This Row],[وسيلة الدفع]]="بطاقة",1,0)</f>
        <v>1</v>
      </c>
      <c r="O1119">
        <f>IF(Table1[[#This Row],[وسيلة الدفع]]="محفظة",1,0)</f>
        <v>0</v>
      </c>
      <c r="P1119">
        <f>IF(Table1[[#This Row],[وسيلة الدفع]]="تحويل",1,0)</f>
        <v>0</v>
      </c>
      <c r="Q1119">
        <f>IF(Table1[[#This Row],[حضر التهيئة]]="نعم",1,0)</f>
        <v>0</v>
      </c>
      <c r="R1119">
        <f>IF(Table1[[#This Row],[دورة الفوترة]]="شهري",1,0)</f>
        <v>0</v>
      </c>
    </row>
    <row r="1120" spans="1:18" x14ac:dyDescent="0.25">
      <c r="A1120" t="s">
        <v>1140</v>
      </c>
      <c r="B1120" s="1">
        <v>45462</v>
      </c>
      <c r="C1120" t="s">
        <v>19</v>
      </c>
      <c r="D1120">
        <v>189</v>
      </c>
      <c r="E1120" t="s">
        <v>14</v>
      </c>
      <c r="F1120">
        <v>4</v>
      </c>
      <c r="G1120" t="s">
        <v>23</v>
      </c>
      <c r="H1120">
        <v>11</v>
      </c>
      <c r="I1120">
        <v>26</v>
      </c>
      <c r="J1120">
        <v>0</v>
      </c>
      <c r="K1120" t="s">
        <v>17</v>
      </c>
      <c r="L1120" t="s">
        <v>17</v>
      </c>
      <c r="M1120">
        <f>IF(Table1[[#This Row],[ألغى الاشتراك]]="نعم",1,0)</f>
        <v>0</v>
      </c>
      <c r="N1120">
        <f>IF(Table1[[#This Row],[وسيلة الدفع]]="بطاقة",1,0)</f>
        <v>0</v>
      </c>
      <c r="O1120">
        <f>IF(Table1[[#This Row],[وسيلة الدفع]]="محفظة",1,0)</f>
        <v>0</v>
      </c>
      <c r="P1120">
        <f>IF(Table1[[#This Row],[وسيلة الدفع]]="تحويل",1,0)</f>
        <v>1</v>
      </c>
      <c r="Q1120">
        <f>IF(Table1[[#This Row],[حضر التهيئة]]="نعم",1,0)</f>
        <v>0</v>
      </c>
      <c r="R1120">
        <f>IF(Table1[[#This Row],[دورة الفوترة]]="شهري",1,0)</f>
        <v>1</v>
      </c>
    </row>
    <row r="1121" spans="1:18" x14ac:dyDescent="0.25">
      <c r="A1121" t="s">
        <v>1141</v>
      </c>
      <c r="B1121" s="1">
        <v>45720</v>
      </c>
      <c r="C1121" t="s">
        <v>13</v>
      </c>
      <c r="D1121">
        <v>89</v>
      </c>
      <c r="E1121" t="s">
        <v>20</v>
      </c>
      <c r="F1121">
        <v>13</v>
      </c>
      <c r="G1121" t="s">
        <v>15</v>
      </c>
      <c r="H1121">
        <v>0</v>
      </c>
      <c r="I1121">
        <v>33</v>
      </c>
      <c r="J1121">
        <v>0</v>
      </c>
      <c r="K1121" t="s">
        <v>16</v>
      </c>
      <c r="L1121" t="s">
        <v>17</v>
      </c>
      <c r="M1121">
        <f>IF(Table1[[#This Row],[ألغى الاشتراك]]="نعم",1,0)</f>
        <v>0</v>
      </c>
      <c r="N1121">
        <f>IF(Table1[[#This Row],[وسيلة الدفع]]="بطاقة",1,0)</f>
        <v>1</v>
      </c>
      <c r="O1121">
        <f>IF(Table1[[#This Row],[وسيلة الدفع]]="محفظة",1,0)</f>
        <v>0</v>
      </c>
      <c r="P1121">
        <f>IF(Table1[[#This Row],[وسيلة الدفع]]="تحويل",1,0)</f>
        <v>0</v>
      </c>
      <c r="Q1121">
        <f>IF(Table1[[#This Row],[حضر التهيئة]]="نعم",1,0)</f>
        <v>1</v>
      </c>
      <c r="R1121">
        <f>IF(Table1[[#This Row],[دورة الفوترة]]="شهري",1,0)</f>
        <v>0</v>
      </c>
    </row>
    <row r="1122" spans="1:18" x14ac:dyDescent="0.25">
      <c r="A1122" t="s">
        <v>1142</v>
      </c>
      <c r="B1122" s="1">
        <v>45651</v>
      </c>
      <c r="C1122" t="s">
        <v>28</v>
      </c>
      <c r="D1122">
        <v>39</v>
      </c>
      <c r="E1122" t="s">
        <v>14</v>
      </c>
      <c r="F1122">
        <v>24</v>
      </c>
      <c r="G1122" t="s">
        <v>15</v>
      </c>
      <c r="H1122">
        <v>5</v>
      </c>
      <c r="I1122">
        <v>56</v>
      </c>
      <c r="J1122">
        <v>0</v>
      </c>
      <c r="K1122" t="s">
        <v>16</v>
      </c>
      <c r="L1122" t="s">
        <v>16</v>
      </c>
      <c r="M1122">
        <f>IF(Table1[[#This Row],[ألغى الاشتراك]]="نعم",1,0)</f>
        <v>1</v>
      </c>
      <c r="N1122">
        <f>IF(Table1[[#This Row],[وسيلة الدفع]]="بطاقة",1,0)</f>
        <v>1</v>
      </c>
      <c r="O1122">
        <f>IF(Table1[[#This Row],[وسيلة الدفع]]="محفظة",1,0)</f>
        <v>0</v>
      </c>
      <c r="P1122">
        <f>IF(Table1[[#This Row],[وسيلة الدفع]]="تحويل",1,0)</f>
        <v>0</v>
      </c>
      <c r="Q1122">
        <f>IF(Table1[[#This Row],[حضر التهيئة]]="نعم",1,0)</f>
        <v>1</v>
      </c>
      <c r="R1122">
        <f>IF(Table1[[#This Row],[دورة الفوترة]]="شهري",1,0)</f>
        <v>1</v>
      </c>
    </row>
    <row r="1123" spans="1:18" x14ac:dyDescent="0.25">
      <c r="A1123" t="s">
        <v>1143</v>
      </c>
      <c r="B1123" s="1">
        <v>45783</v>
      </c>
      <c r="C1123" t="s">
        <v>28</v>
      </c>
      <c r="D1123">
        <v>39</v>
      </c>
      <c r="E1123" t="s">
        <v>14</v>
      </c>
      <c r="F1123">
        <v>27</v>
      </c>
      <c r="G1123" t="s">
        <v>21</v>
      </c>
      <c r="H1123">
        <v>0</v>
      </c>
      <c r="I1123">
        <v>23</v>
      </c>
      <c r="J1123">
        <v>0</v>
      </c>
      <c r="K1123" t="s">
        <v>16</v>
      </c>
      <c r="L1123" t="s">
        <v>17</v>
      </c>
      <c r="M1123">
        <f>IF(Table1[[#This Row],[ألغى الاشتراك]]="نعم",1,0)</f>
        <v>0</v>
      </c>
      <c r="N1123">
        <f>IF(Table1[[#This Row],[وسيلة الدفع]]="بطاقة",1,0)</f>
        <v>0</v>
      </c>
      <c r="O1123">
        <f>IF(Table1[[#This Row],[وسيلة الدفع]]="محفظة",1,0)</f>
        <v>1</v>
      </c>
      <c r="P1123">
        <f>IF(Table1[[#This Row],[وسيلة الدفع]]="تحويل",1,0)</f>
        <v>0</v>
      </c>
      <c r="Q1123">
        <f>IF(Table1[[#This Row],[حضر التهيئة]]="نعم",1,0)</f>
        <v>1</v>
      </c>
      <c r="R1123">
        <f>IF(Table1[[#This Row],[دورة الفوترة]]="شهري",1,0)</f>
        <v>1</v>
      </c>
    </row>
    <row r="1124" spans="1:18" x14ac:dyDescent="0.25">
      <c r="A1124" t="s">
        <v>1144</v>
      </c>
      <c r="B1124" s="1">
        <v>45977</v>
      </c>
      <c r="C1124" t="s">
        <v>28</v>
      </c>
      <c r="D1124">
        <v>39</v>
      </c>
      <c r="E1124" t="s">
        <v>14</v>
      </c>
      <c r="F1124">
        <v>6</v>
      </c>
      <c r="G1124" t="s">
        <v>21</v>
      </c>
      <c r="H1124">
        <v>2</v>
      </c>
      <c r="I1124">
        <v>40</v>
      </c>
      <c r="J1124">
        <v>15</v>
      </c>
      <c r="K1124" t="s">
        <v>16</v>
      </c>
      <c r="L1124" t="s">
        <v>17</v>
      </c>
      <c r="M1124">
        <f>IF(Table1[[#This Row],[ألغى الاشتراك]]="نعم",1,0)</f>
        <v>0</v>
      </c>
      <c r="N1124">
        <f>IF(Table1[[#This Row],[وسيلة الدفع]]="بطاقة",1,0)</f>
        <v>0</v>
      </c>
      <c r="O1124">
        <f>IF(Table1[[#This Row],[وسيلة الدفع]]="محفظة",1,0)</f>
        <v>1</v>
      </c>
      <c r="P1124">
        <f>IF(Table1[[#This Row],[وسيلة الدفع]]="تحويل",1,0)</f>
        <v>0</v>
      </c>
      <c r="Q1124">
        <f>IF(Table1[[#This Row],[حضر التهيئة]]="نعم",1,0)</f>
        <v>1</v>
      </c>
      <c r="R1124">
        <f>IF(Table1[[#This Row],[دورة الفوترة]]="شهري",1,0)</f>
        <v>1</v>
      </c>
    </row>
    <row r="1125" spans="1:18" x14ac:dyDescent="0.25">
      <c r="A1125" t="s">
        <v>1145</v>
      </c>
      <c r="B1125" s="1">
        <v>45914</v>
      </c>
      <c r="C1125" t="s">
        <v>19</v>
      </c>
      <c r="D1125">
        <v>189</v>
      </c>
      <c r="E1125" t="s">
        <v>20</v>
      </c>
      <c r="F1125">
        <v>18</v>
      </c>
      <c r="G1125" t="s">
        <v>23</v>
      </c>
      <c r="H1125">
        <v>10</v>
      </c>
      <c r="I1125">
        <v>6</v>
      </c>
      <c r="J1125">
        <v>5</v>
      </c>
      <c r="K1125" t="s">
        <v>16</v>
      </c>
      <c r="L1125" t="s">
        <v>16</v>
      </c>
      <c r="M1125">
        <f>IF(Table1[[#This Row],[ألغى الاشتراك]]="نعم",1,0)</f>
        <v>1</v>
      </c>
      <c r="N1125">
        <f>IF(Table1[[#This Row],[وسيلة الدفع]]="بطاقة",1,0)</f>
        <v>0</v>
      </c>
      <c r="O1125">
        <f>IF(Table1[[#This Row],[وسيلة الدفع]]="محفظة",1,0)</f>
        <v>0</v>
      </c>
      <c r="P1125">
        <f>IF(Table1[[#This Row],[وسيلة الدفع]]="تحويل",1,0)</f>
        <v>1</v>
      </c>
      <c r="Q1125">
        <f>IF(Table1[[#This Row],[حضر التهيئة]]="نعم",1,0)</f>
        <v>1</v>
      </c>
      <c r="R1125">
        <f>IF(Table1[[#This Row],[دورة الفوترة]]="شهري",1,0)</f>
        <v>0</v>
      </c>
    </row>
    <row r="1126" spans="1:18" x14ac:dyDescent="0.25">
      <c r="A1126" t="s">
        <v>1146</v>
      </c>
      <c r="B1126" s="1">
        <v>45862</v>
      </c>
      <c r="C1126" t="s">
        <v>13</v>
      </c>
      <c r="D1126">
        <v>89</v>
      </c>
      <c r="E1126" t="s">
        <v>14</v>
      </c>
      <c r="F1126">
        <v>30</v>
      </c>
      <c r="G1126" t="s">
        <v>21</v>
      </c>
      <c r="H1126">
        <v>1</v>
      </c>
      <c r="I1126">
        <v>48</v>
      </c>
      <c r="J1126">
        <v>15</v>
      </c>
      <c r="K1126" t="s">
        <v>17</v>
      </c>
      <c r="L1126" t="s">
        <v>17</v>
      </c>
      <c r="M1126">
        <f>IF(Table1[[#This Row],[ألغى الاشتراك]]="نعم",1,0)</f>
        <v>0</v>
      </c>
      <c r="N1126">
        <f>IF(Table1[[#This Row],[وسيلة الدفع]]="بطاقة",1,0)</f>
        <v>0</v>
      </c>
      <c r="O1126">
        <f>IF(Table1[[#This Row],[وسيلة الدفع]]="محفظة",1,0)</f>
        <v>1</v>
      </c>
      <c r="P1126">
        <f>IF(Table1[[#This Row],[وسيلة الدفع]]="تحويل",1,0)</f>
        <v>0</v>
      </c>
      <c r="Q1126">
        <f>IF(Table1[[#This Row],[حضر التهيئة]]="نعم",1,0)</f>
        <v>0</v>
      </c>
      <c r="R1126">
        <f>IF(Table1[[#This Row],[دورة الفوترة]]="شهري",1,0)</f>
        <v>1</v>
      </c>
    </row>
    <row r="1127" spans="1:18" x14ac:dyDescent="0.25">
      <c r="A1127" t="s">
        <v>1147</v>
      </c>
      <c r="B1127" s="1">
        <v>45525</v>
      </c>
      <c r="C1127" t="s">
        <v>13</v>
      </c>
      <c r="D1127">
        <v>89</v>
      </c>
      <c r="E1127" t="s">
        <v>14</v>
      </c>
      <c r="F1127">
        <v>6</v>
      </c>
      <c r="G1127" t="s">
        <v>23</v>
      </c>
      <c r="H1127">
        <v>2</v>
      </c>
      <c r="I1127">
        <v>46</v>
      </c>
      <c r="J1127">
        <v>0</v>
      </c>
      <c r="K1127" t="s">
        <v>16</v>
      </c>
      <c r="L1127" t="s">
        <v>17</v>
      </c>
      <c r="M1127">
        <f>IF(Table1[[#This Row],[ألغى الاشتراك]]="نعم",1,0)</f>
        <v>0</v>
      </c>
      <c r="N1127">
        <f>IF(Table1[[#This Row],[وسيلة الدفع]]="بطاقة",1,0)</f>
        <v>0</v>
      </c>
      <c r="O1127">
        <f>IF(Table1[[#This Row],[وسيلة الدفع]]="محفظة",1,0)</f>
        <v>0</v>
      </c>
      <c r="P1127">
        <f>IF(Table1[[#This Row],[وسيلة الدفع]]="تحويل",1,0)</f>
        <v>1</v>
      </c>
      <c r="Q1127">
        <f>IF(Table1[[#This Row],[حضر التهيئة]]="نعم",1,0)</f>
        <v>1</v>
      </c>
      <c r="R1127">
        <f>IF(Table1[[#This Row],[دورة الفوترة]]="شهري",1,0)</f>
        <v>1</v>
      </c>
    </row>
    <row r="1128" spans="1:18" x14ac:dyDescent="0.25">
      <c r="A1128" t="s">
        <v>1148</v>
      </c>
      <c r="B1128" s="1">
        <v>45337</v>
      </c>
      <c r="C1128" t="s">
        <v>28</v>
      </c>
      <c r="D1128">
        <v>39</v>
      </c>
      <c r="E1128" t="s">
        <v>14</v>
      </c>
      <c r="F1128">
        <v>19</v>
      </c>
      <c r="G1128" t="s">
        <v>23</v>
      </c>
      <c r="H1128">
        <v>8</v>
      </c>
      <c r="I1128">
        <v>29</v>
      </c>
      <c r="J1128">
        <v>10</v>
      </c>
      <c r="K1128" t="s">
        <v>16</v>
      </c>
      <c r="L1128" t="s">
        <v>17</v>
      </c>
      <c r="M1128">
        <f>IF(Table1[[#This Row],[ألغى الاشتراك]]="نعم",1,0)</f>
        <v>0</v>
      </c>
      <c r="N1128">
        <f>IF(Table1[[#This Row],[وسيلة الدفع]]="بطاقة",1,0)</f>
        <v>0</v>
      </c>
      <c r="O1128">
        <f>IF(Table1[[#This Row],[وسيلة الدفع]]="محفظة",1,0)</f>
        <v>0</v>
      </c>
      <c r="P1128">
        <f>IF(Table1[[#This Row],[وسيلة الدفع]]="تحويل",1,0)</f>
        <v>1</v>
      </c>
      <c r="Q1128">
        <f>IF(Table1[[#This Row],[حضر التهيئة]]="نعم",1,0)</f>
        <v>1</v>
      </c>
      <c r="R1128">
        <f>IF(Table1[[#This Row],[دورة الفوترة]]="شهري",1,0)</f>
        <v>1</v>
      </c>
    </row>
    <row r="1129" spans="1:18" x14ac:dyDescent="0.25">
      <c r="A1129" t="s">
        <v>1149</v>
      </c>
      <c r="B1129" s="1">
        <v>45985</v>
      </c>
      <c r="C1129" t="s">
        <v>13</v>
      </c>
      <c r="D1129">
        <v>89</v>
      </c>
      <c r="E1129" t="s">
        <v>20</v>
      </c>
      <c r="F1129">
        <v>9</v>
      </c>
      <c r="G1129" t="s">
        <v>21</v>
      </c>
      <c r="H1129">
        <v>1</v>
      </c>
      <c r="I1129">
        <v>43</v>
      </c>
      <c r="J1129">
        <v>0</v>
      </c>
      <c r="K1129" t="s">
        <v>16</v>
      </c>
      <c r="L1129" t="s">
        <v>17</v>
      </c>
      <c r="M1129">
        <f>IF(Table1[[#This Row],[ألغى الاشتراك]]="نعم",1,0)</f>
        <v>0</v>
      </c>
      <c r="N1129">
        <f>IF(Table1[[#This Row],[وسيلة الدفع]]="بطاقة",1,0)</f>
        <v>0</v>
      </c>
      <c r="O1129">
        <f>IF(Table1[[#This Row],[وسيلة الدفع]]="محفظة",1,0)</f>
        <v>1</v>
      </c>
      <c r="P1129">
        <f>IF(Table1[[#This Row],[وسيلة الدفع]]="تحويل",1,0)</f>
        <v>0</v>
      </c>
      <c r="Q1129">
        <f>IF(Table1[[#This Row],[حضر التهيئة]]="نعم",1,0)</f>
        <v>1</v>
      </c>
      <c r="R1129">
        <f>IF(Table1[[#This Row],[دورة الفوترة]]="شهري",1,0)</f>
        <v>0</v>
      </c>
    </row>
    <row r="1130" spans="1:18" x14ac:dyDescent="0.25">
      <c r="A1130" t="s">
        <v>1150</v>
      </c>
      <c r="B1130" s="1">
        <v>45387</v>
      </c>
      <c r="C1130" t="s">
        <v>13</v>
      </c>
      <c r="D1130">
        <v>89</v>
      </c>
      <c r="E1130" t="s">
        <v>14</v>
      </c>
      <c r="F1130">
        <v>14</v>
      </c>
      <c r="G1130" t="s">
        <v>23</v>
      </c>
      <c r="H1130">
        <v>10</v>
      </c>
      <c r="I1130">
        <v>30</v>
      </c>
      <c r="J1130">
        <v>0</v>
      </c>
      <c r="K1130" t="s">
        <v>16</v>
      </c>
      <c r="L1130" t="s">
        <v>17</v>
      </c>
      <c r="M1130">
        <f>IF(Table1[[#This Row],[ألغى الاشتراك]]="نعم",1,0)</f>
        <v>0</v>
      </c>
      <c r="N1130">
        <f>IF(Table1[[#This Row],[وسيلة الدفع]]="بطاقة",1,0)</f>
        <v>0</v>
      </c>
      <c r="O1130">
        <f>IF(Table1[[#This Row],[وسيلة الدفع]]="محفظة",1,0)</f>
        <v>0</v>
      </c>
      <c r="P1130">
        <f>IF(Table1[[#This Row],[وسيلة الدفع]]="تحويل",1,0)</f>
        <v>1</v>
      </c>
      <c r="Q1130">
        <f>IF(Table1[[#This Row],[حضر التهيئة]]="نعم",1,0)</f>
        <v>1</v>
      </c>
      <c r="R1130">
        <f>IF(Table1[[#This Row],[دورة الفوترة]]="شهري",1,0)</f>
        <v>1</v>
      </c>
    </row>
    <row r="1131" spans="1:18" x14ac:dyDescent="0.25">
      <c r="A1131" t="s">
        <v>1151</v>
      </c>
      <c r="B1131" s="1">
        <v>45918</v>
      </c>
      <c r="C1131" t="s">
        <v>13</v>
      </c>
      <c r="D1131">
        <v>89</v>
      </c>
      <c r="E1131" t="s">
        <v>14</v>
      </c>
      <c r="F1131">
        <v>21</v>
      </c>
      <c r="G1131" t="s">
        <v>23</v>
      </c>
      <c r="H1131">
        <v>10</v>
      </c>
      <c r="I1131">
        <v>53</v>
      </c>
      <c r="J1131">
        <v>0</v>
      </c>
      <c r="K1131" t="s">
        <v>17</v>
      </c>
      <c r="L1131" t="s">
        <v>17</v>
      </c>
      <c r="M1131">
        <f>IF(Table1[[#This Row],[ألغى الاشتراك]]="نعم",1,0)</f>
        <v>0</v>
      </c>
      <c r="N1131">
        <f>IF(Table1[[#This Row],[وسيلة الدفع]]="بطاقة",1,0)</f>
        <v>0</v>
      </c>
      <c r="O1131">
        <f>IF(Table1[[#This Row],[وسيلة الدفع]]="محفظة",1,0)</f>
        <v>0</v>
      </c>
      <c r="P1131">
        <f>IF(Table1[[#This Row],[وسيلة الدفع]]="تحويل",1,0)</f>
        <v>1</v>
      </c>
      <c r="Q1131">
        <f>IF(Table1[[#This Row],[حضر التهيئة]]="نعم",1,0)</f>
        <v>0</v>
      </c>
      <c r="R1131">
        <f>IF(Table1[[#This Row],[دورة الفوترة]]="شهري",1,0)</f>
        <v>1</v>
      </c>
    </row>
    <row r="1132" spans="1:18" x14ac:dyDescent="0.25">
      <c r="A1132" t="s">
        <v>1152</v>
      </c>
      <c r="B1132" s="1">
        <v>45325</v>
      </c>
      <c r="C1132" t="s">
        <v>13</v>
      </c>
      <c r="D1132">
        <v>89</v>
      </c>
      <c r="E1132" t="s">
        <v>20</v>
      </c>
      <c r="F1132">
        <v>12</v>
      </c>
      <c r="G1132" t="s">
        <v>23</v>
      </c>
      <c r="H1132">
        <v>8</v>
      </c>
      <c r="I1132">
        <v>52</v>
      </c>
      <c r="J1132">
        <v>0</v>
      </c>
      <c r="K1132" t="s">
        <v>16</v>
      </c>
      <c r="L1132" t="s">
        <v>17</v>
      </c>
      <c r="M1132">
        <f>IF(Table1[[#This Row],[ألغى الاشتراك]]="نعم",1,0)</f>
        <v>0</v>
      </c>
      <c r="N1132">
        <f>IF(Table1[[#This Row],[وسيلة الدفع]]="بطاقة",1,0)</f>
        <v>0</v>
      </c>
      <c r="O1132">
        <f>IF(Table1[[#This Row],[وسيلة الدفع]]="محفظة",1,0)</f>
        <v>0</v>
      </c>
      <c r="P1132">
        <f>IF(Table1[[#This Row],[وسيلة الدفع]]="تحويل",1,0)</f>
        <v>1</v>
      </c>
      <c r="Q1132">
        <f>IF(Table1[[#This Row],[حضر التهيئة]]="نعم",1,0)</f>
        <v>1</v>
      </c>
      <c r="R1132">
        <f>IF(Table1[[#This Row],[دورة الفوترة]]="شهري",1,0)</f>
        <v>0</v>
      </c>
    </row>
    <row r="1133" spans="1:18" x14ac:dyDescent="0.25">
      <c r="A1133" t="s">
        <v>1153</v>
      </c>
      <c r="B1133" s="1">
        <v>45854</v>
      </c>
      <c r="C1133" t="s">
        <v>13</v>
      </c>
      <c r="D1133">
        <v>89</v>
      </c>
      <c r="E1133" t="s">
        <v>20</v>
      </c>
      <c r="F1133">
        <v>27</v>
      </c>
      <c r="G1133" t="s">
        <v>15</v>
      </c>
      <c r="H1133">
        <v>2</v>
      </c>
      <c r="I1133">
        <v>51</v>
      </c>
      <c r="J1133">
        <v>0</v>
      </c>
      <c r="K1133" t="s">
        <v>17</v>
      </c>
      <c r="L1133" t="s">
        <v>17</v>
      </c>
      <c r="M1133">
        <f>IF(Table1[[#This Row],[ألغى الاشتراك]]="نعم",1,0)</f>
        <v>0</v>
      </c>
      <c r="N1133">
        <f>IF(Table1[[#This Row],[وسيلة الدفع]]="بطاقة",1,0)</f>
        <v>1</v>
      </c>
      <c r="O1133">
        <f>IF(Table1[[#This Row],[وسيلة الدفع]]="محفظة",1,0)</f>
        <v>0</v>
      </c>
      <c r="P1133">
        <f>IF(Table1[[#This Row],[وسيلة الدفع]]="تحويل",1,0)</f>
        <v>0</v>
      </c>
      <c r="Q1133">
        <f>IF(Table1[[#This Row],[حضر التهيئة]]="نعم",1,0)</f>
        <v>0</v>
      </c>
      <c r="R1133">
        <f>IF(Table1[[#This Row],[دورة الفوترة]]="شهري",1,0)</f>
        <v>0</v>
      </c>
    </row>
    <row r="1134" spans="1:18" x14ac:dyDescent="0.25">
      <c r="A1134" t="s">
        <v>1154</v>
      </c>
      <c r="B1134" s="1">
        <v>45643</v>
      </c>
      <c r="C1134" t="s">
        <v>19</v>
      </c>
      <c r="D1134">
        <v>189</v>
      </c>
      <c r="E1134" t="s">
        <v>20</v>
      </c>
      <c r="F1134">
        <v>16</v>
      </c>
      <c r="G1134" t="s">
        <v>21</v>
      </c>
      <c r="H1134">
        <v>2</v>
      </c>
      <c r="I1134">
        <v>16</v>
      </c>
      <c r="J1134">
        <v>0</v>
      </c>
      <c r="K1134" t="s">
        <v>16</v>
      </c>
      <c r="L1134" t="s">
        <v>17</v>
      </c>
      <c r="M1134">
        <f>IF(Table1[[#This Row],[ألغى الاشتراك]]="نعم",1,0)</f>
        <v>0</v>
      </c>
      <c r="N1134">
        <f>IF(Table1[[#This Row],[وسيلة الدفع]]="بطاقة",1,0)</f>
        <v>0</v>
      </c>
      <c r="O1134">
        <f>IF(Table1[[#This Row],[وسيلة الدفع]]="محفظة",1,0)</f>
        <v>1</v>
      </c>
      <c r="P1134">
        <f>IF(Table1[[#This Row],[وسيلة الدفع]]="تحويل",1,0)</f>
        <v>0</v>
      </c>
      <c r="Q1134">
        <f>IF(Table1[[#This Row],[حضر التهيئة]]="نعم",1,0)</f>
        <v>1</v>
      </c>
      <c r="R1134">
        <f>IF(Table1[[#This Row],[دورة الفوترة]]="شهري",1,0)</f>
        <v>0</v>
      </c>
    </row>
    <row r="1135" spans="1:18" x14ac:dyDescent="0.25">
      <c r="A1135" t="s">
        <v>1155</v>
      </c>
      <c r="B1135" s="1">
        <v>45799</v>
      </c>
      <c r="C1135" t="s">
        <v>28</v>
      </c>
      <c r="D1135">
        <v>39</v>
      </c>
      <c r="E1135" t="s">
        <v>14</v>
      </c>
      <c r="F1135">
        <v>25</v>
      </c>
      <c r="G1135" t="s">
        <v>21</v>
      </c>
      <c r="H1135">
        <v>5</v>
      </c>
      <c r="I1135">
        <v>29</v>
      </c>
      <c r="J1135">
        <v>0</v>
      </c>
      <c r="K1135" t="s">
        <v>16</v>
      </c>
      <c r="L1135" t="s">
        <v>17</v>
      </c>
      <c r="M1135">
        <f>IF(Table1[[#This Row],[ألغى الاشتراك]]="نعم",1,0)</f>
        <v>0</v>
      </c>
      <c r="N1135">
        <f>IF(Table1[[#This Row],[وسيلة الدفع]]="بطاقة",1,0)</f>
        <v>0</v>
      </c>
      <c r="O1135">
        <f>IF(Table1[[#This Row],[وسيلة الدفع]]="محفظة",1,0)</f>
        <v>1</v>
      </c>
      <c r="P1135">
        <f>IF(Table1[[#This Row],[وسيلة الدفع]]="تحويل",1,0)</f>
        <v>0</v>
      </c>
      <c r="Q1135">
        <f>IF(Table1[[#This Row],[حضر التهيئة]]="نعم",1,0)</f>
        <v>1</v>
      </c>
      <c r="R1135">
        <f>IF(Table1[[#This Row],[دورة الفوترة]]="شهري",1,0)</f>
        <v>1</v>
      </c>
    </row>
    <row r="1136" spans="1:18" x14ac:dyDescent="0.25">
      <c r="A1136" t="s">
        <v>1156</v>
      </c>
      <c r="B1136" s="1">
        <v>45732</v>
      </c>
      <c r="C1136" t="s">
        <v>13</v>
      </c>
      <c r="D1136">
        <v>89</v>
      </c>
      <c r="E1136" t="s">
        <v>20</v>
      </c>
      <c r="F1136">
        <v>2</v>
      </c>
      <c r="G1136" t="s">
        <v>15</v>
      </c>
      <c r="H1136">
        <v>1</v>
      </c>
      <c r="I1136">
        <v>10</v>
      </c>
      <c r="J1136">
        <v>15</v>
      </c>
      <c r="K1136" t="s">
        <v>16</v>
      </c>
      <c r="L1136" t="s">
        <v>17</v>
      </c>
      <c r="M1136">
        <f>IF(Table1[[#This Row],[ألغى الاشتراك]]="نعم",1,0)</f>
        <v>0</v>
      </c>
      <c r="N1136">
        <f>IF(Table1[[#This Row],[وسيلة الدفع]]="بطاقة",1,0)</f>
        <v>1</v>
      </c>
      <c r="O1136">
        <f>IF(Table1[[#This Row],[وسيلة الدفع]]="محفظة",1,0)</f>
        <v>0</v>
      </c>
      <c r="P1136">
        <f>IF(Table1[[#This Row],[وسيلة الدفع]]="تحويل",1,0)</f>
        <v>0</v>
      </c>
      <c r="Q1136">
        <f>IF(Table1[[#This Row],[حضر التهيئة]]="نعم",1,0)</f>
        <v>1</v>
      </c>
      <c r="R1136">
        <f>IF(Table1[[#This Row],[دورة الفوترة]]="شهري",1,0)</f>
        <v>0</v>
      </c>
    </row>
    <row r="1137" spans="1:18" x14ac:dyDescent="0.25">
      <c r="A1137" t="s">
        <v>1157</v>
      </c>
      <c r="B1137" s="1">
        <v>45631</v>
      </c>
      <c r="C1137" t="s">
        <v>19</v>
      </c>
      <c r="D1137">
        <v>189</v>
      </c>
      <c r="E1137" t="s">
        <v>20</v>
      </c>
      <c r="F1137">
        <v>2</v>
      </c>
      <c r="G1137" t="s">
        <v>15</v>
      </c>
      <c r="H1137">
        <v>2</v>
      </c>
      <c r="I1137">
        <v>42</v>
      </c>
      <c r="J1137">
        <v>0</v>
      </c>
      <c r="K1137" t="s">
        <v>17</v>
      </c>
      <c r="L1137" t="s">
        <v>17</v>
      </c>
      <c r="M1137">
        <f>IF(Table1[[#This Row],[ألغى الاشتراك]]="نعم",1,0)</f>
        <v>0</v>
      </c>
      <c r="N1137">
        <f>IF(Table1[[#This Row],[وسيلة الدفع]]="بطاقة",1,0)</f>
        <v>1</v>
      </c>
      <c r="O1137">
        <f>IF(Table1[[#This Row],[وسيلة الدفع]]="محفظة",1,0)</f>
        <v>0</v>
      </c>
      <c r="P1137">
        <f>IF(Table1[[#This Row],[وسيلة الدفع]]="تحويل",1,0)</f>
        <v>0</v>
      </c>
      <c r="Q1137">
        <f>IF(Table1[[#This Row],[حضر التهيئة]]="نعم",1,0)</f>
        <v>0</v>
      </c>
      <c r="R1137">
        <f>IF(Table1[[#This Row],[دورة الفوترة]]="شهري",1,0)</f>
        <v>0</v>
      </c>
    </row>
    <row r="1138" spans="1:18" x14ac:dyDescent="0.25">
      <c r="A1138" t="s">
        <v>1158</v>
      </c>
      <c r="B1138" s="1">
        <v>45341</v>
      </c>
      <c r="C1138" t="s">
        <v>13</v>
      </c>
      <c r="D1138">
        <v>89</v>
      </c>
      <c r="E1138" t="s">
        <v>20</v>
      </c>
      <c r="F1138">
        <v>11</v>
      </c>
      <c r="G1138" t="s">
        <v>21</v>
      </c>
      <c r="H1138">
        <v>2</v>
      </c>
      <c r="I1138">
        <v>5</v>
      </c>
      <c r="J1138">
        <v>10</v>
      </c>
      <c r="K1138" t="s">
        <v>16</v>
      </c>
      <c r="L1138" t="s">
        <v>17</v>
      </c>
      <c r="M1138">
        <f>IF(Table1[[#This Row],[ألغى الاشتراك]]="نعم",1,0)</f>
        <v>0</v>
      </c>
      <c r="N1138">
        <f>IF(Table1[[#This Row],[وسيلة الدفع]]="بطاقة",1,0)</f>
        <v>0</v>
      </c>
      <c r="O1138">
        <f>IF(Table1[[#This Row],[وسيلة الدفع]]="محفظة",1,0)</f>
        <v>1</v>
      </c>
      <c r="P1138">
        <f>IF(Table1[[#This Row],[وسيلة الدفع]]="تحويل",1,0)</f>
        <v>0</v>
      </c>
      <c r="Q1138">
        <f>IF(Table1[[#This Row],[حضر التهيئة]]="نعم",1,0)</f>
        <v>1</v>
      </c>
      <c r="R1138">
        <f>IF(Table1[[#This Row],[دورة الفوترة]]="شهري",1,0)</f>
        <v>0</v>
      </c>
    </row>
    <row r="1139" spans="1:18" x14ac:dyDescent="0.25">
      <c r="A1139" t="s">
        <v>1159</v>
      </c>
      <c r="B1139" s="1">
        <v>45858</v>
      </c>
      <c r="C1139" t="s">
        <v>19</v>
      </c>
      <c r="D1139">
        <v>189</v>
      </c>
      <c r="E1139" t="s">
        <v>14</v>
      </c>
      <c r="F1139">
        <v>17</v>
      </c>
      <c r="G1139" t="s">
        <v>15</v>
      </c>
      <c r="H1139">
        <v>4</v>
      </c>
      <c r="I1139">
        <v>15</v>
      </c>
      <c r="J1139">
        <v>0</v>
      </c>
      <c r="K1139" t="s">
        <v>16</v>
      </c>
      <c r="L1139" t="s">
        <v>17</v>
      </c>
      <c r="M1139">
        <f>IF(Table1[[#This Row],[ألغى الاشتراك]]="نعم",1,0)</f>
        <v>0</v>
      </c>
      <c r="N1139">
        <f>IF(Table1[[#This Row],[وسيلة الدفع]]="بطاقة",1,0)</f>
        <v>1</v>
      </c>
      <c r="O1139">
        <f>IF(Table1[[#This Row],[وسيلة الدفع]]="محفظة",1,0)</f>
        <v>0</v>
      </c>
      <c r="P1139">
        <f>IF(Table1[[#This Row],[وسيلة الدفع]]="تحويل",1,0)</f>
        <v>0</v>
      </c>
      <c r="Q1139">
        <f>IF(Table1[[#This Row],[حضر التهيئة]]="نعم",1,0)</f>
        <v>1</v>
      </c>
      <c r="R1139">
        <f>IF(Table1[[#This Row],[دورة الفوترة]]="شهري",1,0)</f>
        <v>1</v>
      </c>
    </row>
    <row r="1140" spans="1:18" x14ac:dyDescent="0.25">
      <c r="A1140" t="s">
        <v>1160</v>
      </c>
      <c r="B1140" s="1">
        <v>45521</v>
      </c>
      <c r="C1140" t="s">
        <v>19</v>
      </c>
      <c r="D1140">
        <v>189</v>
      </c>
      <c r="E1140" t="s">
        <v>20</v>
      </c>
      <c r="F1140">
        <v>18</v>
      </c>
      <c r="G1140" t="s">
        <v>15</v>
      </c>
      <c r="H1140">
        <v>2</v>
      </c>
      <c r="I1140">
        <v>54</v>
      </c>
      <c r="J1140">
        <v>0</v>
      </c>
      <c r="K1140" t="s">
        <v>16</v>
      </c>
      <c r="L1140" t="s">
        <v>17</v>
      </c>
      <c r="M1140">
        <f>IF(Table1[[#This Row],[ألغى الاشتراك]]="نعم",1,0)</f>
        <v>0</v>
      </c>
      <c r="N1140">
        <f>IF(Table1[[#This Row],[وسيلة الدفع]]="بطاقة",1,0)</f>
        <v>1</v>
      </c>
      <c r="O1140">
        <f>IF(Table1[[#This Row],[وسيلة الدفع]]="محفظة",1,0)</f>
        <v>0</v>
      </c>
      <c r="P1140">
        <f>IF(Table1[[#This Row],[وسيلة الدفع]]="تحويل",1,0)</f>
        <v>0</v>
      </c>
      <c r="Q1140">
        <f>IF(Table1[[#This Row],[حضر التهيئة]]="نعم",1,0)</f>
        <v>1</v>
      </c>
      <c r="R1140">
        <f>IF(Table1[[#This Row],[دورة الفوترة]]="شهري",1,0)</f>
        <v>0</v>
      </c>
    </row>
    <row r="1141" spans="1:18" x14ac:dyDescent="0.25">
      <c r="A1141" t="s">
        <v>1161</v>
      </c>
      <c r="B1141" s="1">
        <v>45803</v>
      </c>
      <c r="C1141" t="s">
        <v>19</v>
      </c>
      <c r="D1141">
        <v>189</v>
      </c>
      <c r="E1141" t="s">
        <v>14</v>
      </c>
      <c r="F1141">
        <v>17</v>
      </c>
      <c r="G1141" t="s">
        <v>15</v>
      </c>
      <c r="H1141">
        <v>3</v>
      </c>
      <c r="I1141">
        <v>7</v>
      </c>
      <c r="J1141">
        <v>0</v>
      </c>
      <c r="K1141" t="s">
        <v>16</v>
      </c>
      <c r="L1141" t="s">
        <v>17</v>
      </c>
      <c r="M1141">
        <f>IF(Table1[[#This Row],[ألغى الاشتراك]]="نعم",1,0)</f>
        <v>0</v>
      </c>
      <c r="N1141">
        <f>IF(Table1[[#This Row],[وسيلة الدفع]]="بطاقة",1,0)</f>
        <v>1</v>
      </c>
      <c r="O1141">
        <f>IF(Table1[[#This Row],[وسيلة الدفع]]="محفظة",1,0)</f>
        <v>0</v>
      </c>
      <c r="P1141">
        <f>IF(Table1[[#This Row],[وسيلة الدفع]]="تحويل",1,0)</f>
        <v>0</v>
      </c>
      <c r="Q1141">
        <f>IF(Table1[[#This Row],[حضر التهيئة]]="نعم",1,0)</f>
        <v>1</v>
      </c>
      <c r="R1141">
        <f>IF(Table1[[#This Row],[دورة الفوترة]]="شهري",1,0)</f>
        <v>1</v>
      </c>
    </row>
    <row r="1142" spans="1:18" x14ac:dyDescent="0.25">
      <c r="A1142" t="s">
        <v>1162</v>
      </c>
      <c r="B1142" s="1">
        <v>45732</v>
      </c>
      <c r="C1142" t="s">
        <v>19</v>
      </c>
      <c r="D1142">
        <v>189</v>
      </c>
      <c r="E1142" t="s">
        <v>14</v>
      </c>
      <c r="F1142">
        <v>30</v>
      </c>
      <c r="G1142" t="s">
        <v>23</v>
      </c>
      <c r="H1142">
        <v>1</v>
      </c>
      <c r="I1142">
        <v>36</v>
      </c>
      <c r="J1142">
        <v>15</v>
      </c>
      <c r="K1142" t="s">
        <v>16</v>
      </c>
      <c r="L1142" t="s">
        <v>17</v>
      </c>
      <c r="M1142">
        <f>IF(Table1[[#This Row],[ألغى الاشتراك]]="نعم",1,0)</f>
        <v>0</v>
      </c>
      <c r="N1142">
        <f>IF(Table1[[#This Row],[وسيلة الدفع]]="بطاقة",1,0)</f>
        <v>0</v>
      </c>
      <c r="O1142">
        <f>IF(Table1[[#This Row],[وسيلة الدفع]]="محفظة",1,0)</f>
        <v>0</v>
      </c>
      <c r="P1142">
        <f>IF(Table1[[#This Row],[وسيلة الدفع]]="تحويل",1,0)</f>
        <v>1</v>
      </c>
      <c r="Q1142">
        <f>IF(Table1[[#This Row],[حضر التهيئة]]="نعم",1,0)</f>
        <v>1</v>
      </c>
      <c r="R1142">
        <f>IF(Table1[[#This Row],[دورة الفوترة]]="شهري",1,0)</f>
        <v>1</v>
      </c>
    </row>
    <row r="1143" spans="1:18" x14ac:dyDescent="0.25">
      <c r="A1143" t="s">
        <v>1163</v>
      </c>
      <c r="B1143" s="1">
        <v>45631</v>
      </c>
      <c r="C1143" t="s">
        <v>19</v>
      </c>
      <c r="D1143">
        <v>189</v>
      </c>
      <c r="E1143" t="s">
        <v>20</v>
      </c>
      <c r="F1143">
        <v>22</v>
      </c>
      <c r="G1143" t="s">
        <v>15</v>
      </c>
      <c r="H1143">
        <v>0</v>
      </c>
      <c r="I1143">
        <v>6</v>
      </c>
      <c r="J1143">
        <v>0</v>
      </c>
      <c r="K1143" t="s">
        <v>16</v>
      </c>
      <c r="L1143" t="s">
        <v>17</v>
      </c>
      <c r="M1143">
        <f>IF(Table1[[#This Row],[ألغى الاشتراك]]="نعم",1,0)</f>
        <v>0</v>
      </c>
      <c r="N1143">
        <f>IF(Table1[[#This Row],[وسيلة الدفع]]="بطاقة",1,0)</f>
        <v>1</v>
      </c>
      <c r="O1143">
        <f>IF(Table1[[#This Row],[وسيلة الدفع]]="محفظة",1,0)</f>
        <v>0</v>
      </c>
      <c r="P1143">
        <f>IF(Table1[[#This Row],[وسيلة الدفع]]="تحويل",1,0)</f>
        <v>0</v>
      </c>
      <c r="Q1143">
        <f>IF(Table1[[#This Row],[حضر التهيئة]]="نعم",1,0)</f>
        <v>1</v>
      </c>
      <c r="R1143">
        <f>IF(Table1[[#This Row],[دورة الفوترة]]="شهري",1,0)</f>
        <v>0</v>
      </c>
    </row>
    <row r="1144" spans="1:18" x14ac:dyDescent="0.25">
      <c r="A1144" t="s">
        <v>1164</v>
      </c>
      <c r="B1144" s="1">
        <v>45675</v>
      </c>
      <c r="C1144" t="s">
        <v>19</v>
      </c>
      <c r="D1144">
        <v>189</v>
      </c>
      <c r="E1144" t="s">
        <v>20</v>
      </c>
      <c r="F1144">
        <v>25</v>
      </c>
      <c r="G1144" t="s">
        <v>23</v>
      </c>
      <c r="H1144">
        <v>1</v>
      </c>
      <c r="I1144">
        <v>37</v>
      </c>
      <c r="J1144">
        <v>0</v>
      </c>
      <c r="K1144" t="s">
        <v>16</v>
      </c>
      <c r="L1144" t="s">
        <v>17</v>
      </c>
      <c r="M1144">
        <f>IF(Table1[[#This Row],[ألغى الاشتراك]]="نعم",1,0)</f>
        <v>0</v>
      </c>
      <c r="N1144">
        <f>IF(Table1[[#This Row],[وسيلة الدفع]]="بطاقة",1,0)</f>
        <v>0</v>
      </c>
      <c r="O1144">
        <f>IF(Table1[[#This Row],[وسيلة الدفع]]="محفظة",1,0)</f>
        <v>0</v>
      </c>
      <c r="P1144">
        <f>IF(Table1[[#This Row],[وسيلة الدفع]]="تحويل",1,0)</f>
        <v>1</v>
      </c>
      <c r="Q1144">
        <f>IF(Table1[[#This Row],[حضر التهيئة]]="نعم",1,0)</f>
        <v>1</v>
      </c>
      <c r="R1144">
        <f>IF(Table1[[#This Row],[دورة الفوترة]]="شهري",1,0)</f>
        <v>0</v>
      </c>
    </row>
    <row r="1145" spans="1:18" x14ac:dyDescent="0.25">
      <c r="A1145" t="s">
        <v>1165</v>
      </c>
      <c r="B1145" s="1">
        <v>45592</v>
      </c>
      <c r="C1145" t="s">
        <v>28</v>
      </c>
      <c r="D1145">
        <v>39</v>
      </c>
      <c r="E1145" t="s">
        <v>14</v>
      </c>
      <c r="F1145">
        <v>10</v>
      </c>
      <c r="G1145" t="s">
        <v>15</v>
      </c>
      <c r="H1145">
        <v>8</v>
      </c>
      <c r="I1145">
        <v>10</v>
      </c>
      <c r="J1145">
        <v>0</v>
      </c>
      <c r="K1145" t="s">
        <v>17</v>
      </c>
      <c r="L1145" t="s">
        <v>17</v>
      </c>
      <c r="M1145">
        <f>IF(Table1[[#This Row],[ألغى الاشتراك]]="نعم",1,0)</f>
        <v>0</v>
      </c>
      <c r="N1145">
        <f>IF(Table1[[#This Row],[وسيلة الدفع]]="بطاقة",1,0)</f>
        <v>1</v>
      </c>
      <c r="O1145">
        <f>IF(Table1[[#This Row],[وسيلة الدفع]]="محفظة",1,0)</f>
        <v>0</v>
      </c>
      <c r="P1145">
        <f>IF(Table1[[#This Row],[وسيلة الدفع]]="تحويل",1,0)</f>
        <v>0</v>
      </c>
      <c r="Q1145">
        <f>IF(Table1[[#This Row],[حضر التهيئة]]="نعم",1,0)</f>
        <v>0</v>
      </c>
      <c r="R1145">
        <f>IF(Table1[[#This Row],[دورة الفوترة]]="شهري",1,0)</f>
        <v>1</v>
      </c>
    </row>
    <row r="1146" spans="1:18" x14ac:dyDescent="0.25">
      <c r="A1146" t="s">
        <v>1166</v>
      </c>
      <c r="B1146" s="1">
        <v>45728</v>
      </c>
      <c r="C1146" t="s">
        <v>28</v>
      </c>
      <c r="D1146">
        <v>39</v>
      </c>
      <c r="E1146" t="s">
        <v>14</v>
      </c>
      <c r="F1146">
        <v>13</v>
      </c>
      <c r="G1146" t="s">
        <v>23</v>
      </c>
      <c r="H1146">
        <v>9</v>
      </c>
      <c r="I1146">
        <v>49</v>
      </c>
      <c r="J1146">
        <v>0</v>
      </c>
      <c r="K1146" t="s">
        <v>17</v>
      </c>
      <c r="L1146" t="s">
        <v>17</v>
      </c>
      <c r="M1146">
        <f>IF(Table1[[#This Row],[ألغى الاشتراك]]="نعم",1,0)</f>
        <v>0</v>
      </c>
      <c r="N1146">
        <f>IF(Table1[[#This Row],[وسيلة الدفع]]="بطاقة",1,0)</f>
        <v>0</v>
      </c>
      <c r="O1146">
        <f>IF(Table1[[#This Row],[وسيلة الدفع]]="محفظة",1,0)</f>
        <v>0</v>
      </c>
      <c r="P1146">
        <f>IF(Table1[[#This Row],[وسيلة الدفع]]="تحويل",1,0)</f>
        <v>1</v>
      </c>
      <c r="Q1146">
        <f>IF(Table1[[#This Row],[حضر التهيئة]]="نعم",1,0)</f>
        <v>0</v>
      </c>
      <c r="R1146">
        <f>IF(Table1[[#This Row],[دورة الفوترة]]="شهري",1,0)</f>
        <v>1</v>
      </c>
    </row>
    <row r="1147" spans="1:18" x14ac:dyDescent="0.25">
      <c r="A1147" t="s">
        <v>1167</v>
      </c>
      <c r="B1147" s="1">
        <v>45387</v>
      </c>
      <c r="C1147" t="s">
        <v>13</v>
      </c>
      <c r="D1147">
        <v>89</v>
      </c>
      <c r="E1147" t="s">
        <v>20</v>
      </c>
      <c r="F1147">
        <v>20</v>
      </c>
      <c r="G1147" t="s">
        <v>23</v>
      </c>
      <c r="H1147">
        <v>2</v>
      </c>
      <c r="I1147">
        <v>22</v>
      </c>
      <c r="J1147">
        <v>0</v>
      </c>
      <c r="K1147" t="s">
        <v>17</v>
      </c>
      <c r="L1147" t="s">
        <v>17</v>
      </c>
      <c r="M1147">
        <f>IF(Table1[[#This Row],[ألغى الاشتراك]]="نعم",1,0)</f>
        <v>0</v>
      </c>
      <c r="N1147">
        <f>IF(Table1[[#This Row],[وسيلة الدفع]]="بطاقة",1,0)</f>
        <v>0</v>
      </c>
      <c r="O1147">
        <f>IF(Table1[[#This Row],[وسيلة الدفع]]="محفظة",1,0)</f>
        <v>0</v>
      </c>
      <c r="P1147">
        <f>IF(Table1[[#This Row],[وسيلة الدفع]]="تحويل",1,0)</f>
        <v>1</v>
      </c>
      <c r="Q1147">
        <f>IF(Table1[[#This Row],[حضر التهيئة]]="نعم",1,0)</f>
        <v>0</v>
      </c>
      <c r="R1147">
        <f>IF(Table1[[#This Row],[دورة الفوترة]]="شهري",1,0)</f>
        <v>0</v>
      </c>
    </row>
    <row r="1148" spans="1:18" x14ac:dyDescent="0.25">
      <c r="A1148" t="s">
        <v>1168</v>
      </c>
      <c r="B1148" s="1">
        <v>45787</v>
      </c>
      <c r="C1148" t="s">
        <v>19</v>
      </c>
      <c r="D1148">
        <v>189</v>
      </c>
      <c r="E1148" t="s">
        <v>20</v>
      </c>
      <c r="F1148">
        <v>27</v>
      </c>
      <c r="G1148" t="s">
        <v>15</v>
      </c>
      <c r="H1148">
        <v>0</v>
      </c>
      <c r="I1148">
        <v>27</v>
      </c>
      <c r="J1148">
        <v>0</v>
      </c>
      <c r="K1148" t="s">
        <v>17</v>
      </c>
      <c r="L1148" t="s">
        <v>17</v>
      </c>
      <c r="M1148">
        <f>IF(Table1[[#This Row],[ألغى الاشتراك]]="نعم",1,0)</f>
        <v>0</v>
      </c>
      <c r="N1148">
        <f>IF(Table1[[#This Row],[وسيلة الدفع]]="بطاقة",1,0)</f>
        <v>1</v>
      </c>
      <c r="O1148">
        <f>IF(Table1[[#This Row],[وسيلة الدفع]]="محفظة",1,0)</f>
        <v>0</v>
      </c>
      <c r="P1148">
        <f>IF(Table1[[#This Row],[وسيلة الدفع]]="تحويل",1,0)</f>
        <v>0</v>
      </c>
      <c r="Q1148">
        <f>IF(Table1[[#This Row],[حضر التهيئة]]="نعم",1,0)</f>
        <v>0</v>
      </c>
      <c r="R1148">
        <f>IF(Table1[[#This Row],[دورة الفوترة]]="شهري",1,0)</f>
        <v>0</v>
      </c>
    </row>
    <row r="1149" spans="1:18" x14ac:dyDescent="0.25">
      <c r="A1149" t="s">
        <v>1169</v>
      </c>
      <c r="B1149" s="1">
        <v>45572</v>
      </c>
      <c r="C1149" t="s">
        <v>13</v>
      </c>
      <c r="D1149">
        <v>89</v>
      </c>
      <c r="E1149" t="s">
        <v>20</v>
      </c>
      <c r="F1149">
        <v>24</v>
      </c>
      <c r="G1149" t="s">
        <v>15</v>
      </c>
      <c r="H1149">
        <v>1</v>
      </c>
      <c r="I1149">
        <v>40</v>
      </c>
      <c r="J1149">
        <v>0</v>
      </c>
      <c r="K1149" t="s">
        <v>16</v>
      </c>
      <c r="L1149" t="s">
        <v>17</v>
      </c>
      <c r="M1149">
        <f>IF(Table1[[#This Row],[ألغى الاشتراك]]="نعم",1,0)</f>
        <v>0</v>
      </c>
      <c r="N1149">
        <f>IF(Table1[[#This Row],[وسيلة الدفع]]="بطاقة",1,0)</f>
        <v>1</v>
      </c>
      <c r="O1149">
        <f>IF(Table1[[#This Row],[وسيلة الدفع]]="محفظة",1,0)</f>
        <v>0</v>
      </c>
      <c r="P1149">
        <f>IF(Table1[[#This Row],[وسيلة الدفع]]="تحويل",1,0)</f>
        <v>0</v>
      </c>
      <c r="Q1149">
        <f>IF(Table1[[#This Row],[حضر التهيئة]]="نعم",1,0)</f>
        <v>1</v>
      </c>
      <c r="R1149">
        <f>IF(Table1[[#This Row],[دورة الفوترة]]="شهري",1,0)</f>
        <v>0</v>
      </c>
    </row>
    <row r="1150" spans="1:18" x14ac:dyDescent="0.25">
      <c r="A1150" t="s">
        <v>1170</v>
      </c>
      <c r="B1150" s="1">
        <v>45965</v>
      </c>
      <c r="C1150" t="s">
        <v>19</v>
      </c>
      <c r="D1150">
        <v>189</v>
      </c>
      <c r="E1150" t="s">
        <v>20</v>
      </c>
      <c r="F1150">
        <v>19</v>
      </c>
      <c r="G1150" t="s">
        <v>15</v>
      </c>
      <c r="H1150">
        <v>2</v>
      </c>
      <c r="I1150">
        <v>23</v>
      </c>
      <c r="J1150">
        <v>0</v>
      </c>
      <c r="K1150" t="s">
        <v>17</v>
      </c>
      <c r="L1150" t="s">
        <v>17</v>
      </c>
      <c r="M1150">
        <f>IF(Table1[[#This Row],[ألغى الاشتراك]]="نعم",1,0)</f>
        <v>0</v>
      </c>
      <c r="N1150">
        <f>IF(Table1[[#This Row],[وسيلة الدفع]]="بطاقة",1,0)</f>
        <v>1</v>
      </c>
      <c r="O1150">
        <f>IF(Table1[[#This Row],[وسيلة الدفع]]="محفظة",1,0)</f>
        <v>0</v>
      </c>
      <c r="P1150">
        <f>IF(Table1[[#This Row],[وسيلة الدفع]]="تحويل",1,0)</f>
        <v>0</v>
      </c>
      <c r="Q1150">
        <f>IF(Table1[[#This Row],[حضر التهيئة]]="نعم",1,0)</f>
        <v>0</v>
      </c>
      <c r="R1150">
        <f>IF(Table1[[#This Row],[دورة الفوترة]]="شهري",1,0)</f>
        <v>0</v>
      </c>
    </row>
    <row r="1151" spans="1:18" x14ac:dyDescent="0.25">
      <c r="A1151" t="s">
        <v>1171</v>
      </c>
      <c r="B1151" s="1">
        <v>45659</v>
      </c>
      <c r="C1151" t="s">
        <v>19</v>
      </c>
      <c r="D1151">
        <v>189</v>
      </c>
      <c r="E1151" t="s">
        <v>14</v>
      </c>
      <c r="F1151">
        <v>2</v>
      </c>
      <c r="G1151" t="s">
        <v>23</v>
      </c>
      <c r="H1151">
        <v>2</v>
      </c>
      <c r="I1151">
        <v>46</v>
      </c>
      <c r="J1151">
        <v>5</v>
      </c>
      <c r="K1151" t="s">
        <v>16</v>
      </c>
      <c r="L1151" t="s">
        <v>17</v>
      </c>
      <c r="M1151">
        <f>IF(Table1[[#This Row],[ألغى الاشتراك]]="نعم",1,0)</f>
        <v>0</v>
      </c>
      <c r="N1151">
        <f>IF(Table1[[#This Row],[وسيلة الدفع]]="بطاقة",1,0)</f>
        <v>0</v>
      </c>
      <c r="O1151">
        <f>IF(Table1[[#This Row],[وسيلة الدفع]]="محفظة",1,0)</f>
        <v>0</v>
      </c>
      <c r="P1151">
        <f>IF(Table1[[#This Row],[وسيلة الدفع]]="تحويل",1,0)</f>
        <v>1</v>
      </c>
      <c r="Q1151">
        <f>IF(Table1[[#This Row],[حضر التهيئة]]="نعم",1,0)</f>
        <v>1</v>
      </c>
      <c r="R1151">
        <f>IF(Table1[[#This Row],[دورة الفوترة]]="شهري",1,0)</f>
        <v>1</v>
      </c>
    </row>
    <row r="1152" spans="1:18" x14ac:dyDescent="0.25">
      <c r="A1152" t="s">
        <v>1172</v>
      </c>
      <c r="B1152" s="1">
        <v>45329</v>
      </c>
      <c r="C1152" t="s">
        <v>19</v>
      </c>
      <c r="D1152">
        <v>189</v>
      </c>
      <c r="E1152" t="s">
        <v>14</v>
      </c>
      <c r="F1152">
        <v>28</v>
      </c>
      <c r="G1152" t="s">
        <v>15</v>
      </c>
      <c r="H1152">
        <v>4</v>
      </c>
      <c r="I1152">
        <v>54</v>
      </c>
      <c r="J1152">
        <v>0</v>
      </c>
      <c r="K1152" t="s">
        <v>16</v>
      </c>
      <c r="L1152" t="s">
        <v>17</v>
      </c>
      <c r="M1152">
        <f>IF(Table1[[#This Row],[ألغى الاشتراك]]="نعم",1,0)</f>
        <v>0</v>
      </c>
      <c r="N1152">
        <f>IF(Table1[[#This Row],[وسيلة الدفع]]="بطاقة",1,0)</f>
        <v>1</v>
      </c>
      <c r="O1152">
        <f>IF(Table1[[#This Row],[وسيلة الدفع]]="محفظة",1,0)</f>
        <v>0</v>
      </c>
      <c r="P1152">
        <f>IF(Table1[[#This Row],[وسيلة الدفع]]="تحويل",1,0)</f>
        <v>0</v>
      </c>
      <c r="Q1152">
        <f>IF(Table1[[#This Row],[حضر التهيئة]]="نعم",1,0)</f>
        <v>1</v>
      </c>
      <c r="R1152">
        <f>IF(Table1[[#This Row],[دورة الفوترة]]="شهري",1,0)</f>
        <v>1</v>
      </c>
    </row>
    <row r="1153" spans="1:18" x14ac:dyDescent="0.25">
      <c r="A1153" t="s">
        <v>1173</v>
      </c>
      <c r="B1153" s="1">
        <v>45732</v>
      </c>
      <c r="C1153" t="s">
        <v>13</v>
      </c>
      <c r="D1153">
        <v>89</v>
      </c>
      <c r="E1153" t="s">
        <v>14</v>
      </c>
      <c r="F1153">
        <v>29</v>
      </c>
      <c r="G1153" t="s">
        <v>15</v>
      </c>
      <c r="H1153">
        <v>9</v>
      </c>
      <c r="I1153">
        <v>7</v>
      </c>
      <c r="J1153">
        <v>0</v>
      </c>
      <c r="K1153" t="s">
        <v>17</v>
      </c>
      <c r="L1153" t="s">
        <v>17</v>
      </c>
      <c r="M1153">
        <f>IF(Table1[[#This Row],[ألغى الاشتراك]]="نعم",1,0)</f>
        <v>0</v>
      </c>
      <c r="N1153">
        <f>IF(Table1[[#This Row],[وسيلة الدفع]]="بطاقة",1,0)</f>
        <v>1</v>
      </c>
      <c r="O1153">
        <f>IF(Table1[[#This Row],[وسيلة الدفع]]="محفظة",1,0)</f>
        <v>0</v>
      </c>
      <c r="P1153">
        <f>IF(Table1[[#This Row],[وسيلة الدفع]]="تحويل",1,0)</f>
        <v>0</v>
      </c>
      <c r="Q1153">
        <f>IF(Table1[[#This Row],[حضر التهيئة]]="نعم",1,0)</f>
        <v>0</v>
      </c>
      <c r="R1153">
        <f>IF(Table1[[#This Row],[دورة الفوترة]]="شهري",1,0)</f>
        <v>1</v>
      </c>
    </row>
    <row r="1154" spans="1:18" x14ac:dyDescent="0.25">
      <c r="A1154" t="s">
        <v>1174</v>
      </c>
      <c r="B1154" s="1">
        <v>45647</v>
      </c>
      <c r="C1154" t="s">
        <v>28</v>
      </c>
      <c r="D1154">
        <v>39</v>
      </c>
      <c r="E1154" t="s">
        <v>14</v>
      </c>
      <c r="F1154">
        <v>28</v>
      </c>
      <c r="G1154" t="s">
        <v>15</v>
      </c>
      <c r="H1154">
        <v>8</v>
      </c>
      <c r="I1154">
        <v>34</v>
      </c>
      <c r="J1154">
        <v>0</v>
      </c>
      <c r="K1154" t="s">
        <v>17</v>
      </c>
      <c r="L1154" t="s">
        <v>17</v>
      </c>
      <c r="M1154">
        <f>IF(Table1[[#This Row],[ألغى الاشتراك]]="نعم",1,0)</f>
        <v>0</v>
      </c>
      <c r="N1154">
        <f>IF(Table1[[#This Row],[وسيلة الدفع]]="بطاقة",1,0)</f>
        <v>1</v>
      </c>
      <c r="O1154">
        <f>IF(Table1[[#This Row],[وسيلة الدفع]]="محفظة",1,0)</f>
        <v>0</v>
      </c>
      <c r="P1154">
        <f>IF(Table1[[#This Row],[وسيلة الدفع]]="تحويل",1,0)</f>
        <v>0</v>
      </c>
      <c r="Q1154">
        <f>IF(Table1[[#This Row],[حضر التهيئة]]="نعم",1,0)</f>
        <v>0</v>
      </c>
      <c r="R1154">
        <f>IF(Table1[[#This Row],[دورة الفوترة]]="شهري",1,0)</f>
        <v>1</v>
      </c>
    </row>
    <row r="1155" spans="1:18" x14ac:dyDescent="0.25">
      <c r="A1155" t="s">
        <v>1175</v>
      </c>
      <c r="B1155" s="1">
        <v>45667</v>
      </c>
      <c r="C1155" t="s">
        <v>28</v>
      </c>
      <c r="D1155">
        <v>39</v>
      </c>
      <c r="E1155" t="s">
        <v>20</v>
      </c>
      <c r="F1155">
        <v>23</v>
      </c>
      <c r="G1155" t="s">
        <v>23</v>
      </c>
      <c r="H1155">
        <v>2</v>
      </c>
      <c r="I1155">
        <v>7</v>
      </c>
      <c r="J1155">
        <v>0</v>
      </c>
      <c r="K1155" t="s">
        <v>17</v>
      </c>
      <c r="L1155" t="s">
        <v>17</v>
      </c>
      <c r="M1155">
        <f>IF(Table1[[#This Row],[ألغى الاشتراك]]="نعم",1,0)</f>
        <v>0</v>
      </c>
      <c r="N1155">
        <f>IF(Table1[[#This Row],[وسيلة الدفع]]="بطاقة",1,0)</f>
        <v>0</v>
      </c>
      <c r="O1155">
        <f>IF(Table1[[#This Row],[وسيلة الدفع]]="محفظة",1,0)</f>
        <v>0</v>
      </c>
      <c r="P1155">
        <f>IF(Table1[[#This Row],[وسيلة الدفع]]="تحويل",1,0)</f>
        <v>1</v>
      </c>
      <c r="Q1155">
        <f>IF(Table1[[#This Row],[حضر التهيئة]]="نعم",1,0)</f>
        <v>0</v>
      </c>
      <c r="R1155">
        <f>IF(Table1[[#This Row],[دورة الفوترة]]="شهري",1,0)</f>
        <v>0</v>
      </c>
    </row>
    <row r="1156" spans="1:18" x14ac:dyDescent="0.25">
      <c r="A1156" t="s">
        <v>1176</v>
      </c>
      <c r="B1156" s="1">
        <v>45454</v>
      </c>
      <c r="C1156" t="s">
        <v>28</v>
      </c>
      <c r="D1156">
        <v>39</v>
      </c>
      <c r="E1156" t="s">
        <v>14</v>
      </c>
      <c r="F1156">
        <v>24</v>
      </c>
      <c r="G1156" t="s">
        <v>21</v>
      </c>
      <c r="H1156">
        <v>7</v>
      </c>
      <c r="I1156">
        <v>12</v>
      </c>
      <c r="J1156">
        <v>0</v>
      </c>
      <c r="K1156" t="s">
        <v>17</v>
      </c>
      <c r="L1156" t="s">
        <v>17</v>
      </c>
      <c r="M1156">
        <f>IF(Table1[[#This Row],[ألغى الاشتراك]]="نعم",1,0)</f>
        <v>0</v>
      </c>
      <c r="N1156">
        <f>IF(Table1[[#This Row],[وسيلة الدفع]]="بطاقة",1,0)</f>
        <v>0</v>
      </c>
      <c r="O1156">
        <f>IF(Table1[[#This Row],[وسيلة الدفع]]="محفظة",1,0)</f>
        <v>1</v>
      </c>
      <c r="P1156">
        <f>IF(Table1[[#This Row],[وسيلة الدفع]]="تحويل",1,0)</f>
        <v>0</v>
      </c>
      <c r="Q1156">
        <f>IF(Table1[[#This Row],[حضر التهيئة]]="نعم",1,0)</f>
        <v>0</v>
      </c>
      <c r="R1156">
        <f>IF(Table1[[#This Row],[دورة الفوترة]]="شهري",1,0)</f>
        <v>1</v>
      </c>
    </row>
    <row r="1157" spans="1:18" x14ac:dyDescent="0.25">
      <c r="A1157" t="s">
        <v>1177</v>
      </c>
      <c r="B1157" s="1">
        <v>45965</v>
      </c>
      <c r="C1157" t="s">
        <v>13</v>
      </c>
      <c r="D1157">
        <v>89</v>
      </c>
      <c r="E1157" t="s">
        <v>20</v>
      </c>
      <c r="F1157">
        <v>29</v>
      </c>
      <c r="G1157" t="s">
        <v>21</v>
      </c>
      <c r="H1157">
        <v>0</v>
      </c>
      <c r="I1157">
        <v>7</v>
      </c>
      <c r="J1157">
        <v>0</v>
      </c>
      <c r="K1157" t="s">
        <v>16</v>
      </c>
      <c r="L1157" t="s">
        <v>17</v>
      </c>
      <c r="M1157">
        <f>IF(Table1[[#This Row],[ألغى الاشتراك]]="نعم",1,0)</f>
        <v>0</v>
      </c>
      <c r="N1157">
        <f>IF(Table1[[#This Row],[وسيلة الدفع]]="بطاقة",1,0)</f>
        <v>0</v>
      </c>
      <c r="O1157">
        <f>IF(Table1[[#This Row],[وسيلة الدفع]]="محفظة",1,0)</f>
        <v>1</v>
      </c>
      <c r="P1157">
        <f>IF(Table1[[#This Row],[وسيلة الدفع]]="تحويل",1,0)</f>
        <v>0</v>
      </c>
      <c r="Q1157">
        <f>IF(Table1[[#This Row],[حضر التهيئة]]="نعم",1,0)</f>
        <v>1</v>
      </c>
      <c r="R1157">
        <f>IF(Table1[[#This Row],[دورة الفوترة]]="شهري",1,0)</f>
        <v>0</v>
      </c>
    </row>
    <row r="1158" spans="1:18" x14ac:dyDescent="0.25">
      <c r="A1158" t="s">
        <v>1178</v>
      </c>
      <c r="B1158" s="1">
        <v>45631</v>
      </c>
      <c r="C1158" t="s">
        <v>13</v>
      </c>
      <c r="D1158">
        <v>89</v>
      </c>
      <c r="E1158" t="s">
        <v>20</v>
      </c>
      <c r="F1158">
        <v>12</v>
      </c>
      <c r="G1158" t="s">
        <v>21</v>
      </c>
      <c r="H1158">
        <v>2</v>
      </c>
      <c r="I1158">
        <v>4</v>
      </c>
      <c r="J1158">
        <v>0</v>
      </c>
      <c r="K1158" t="s">
        <v>17</v>
      </c>
      <c r="L1158" t="s">
        <v>17</v>
      </c>
      <c r="M1158">
        <f>IF(Table1[[#This Row],[ألغى الاشتراك]]="نعم",1,0)</f>
        <v>0</v>
      </c>
      <c r="N1158">
        <f>IF(Table1[[#This Row],[وسيلة الدفع]]="بطاقة",1,0)</f>
        <v>0</v>
      </c>
      <c r="O1158">
        <f>IF(Table1[[#This Row],[وسيلة الدفع]]="محفظة",1,0)</f>
        <v>1</v>
      </c>
      <c r="P1158">
        <f>IF(Table1[[#This Row],[وسيلة الدفع]]="تحويل",1,0)</f>
        <v>0</v>
      </c>
      <c r="Q1158">
        <f>IF(Table1[[#This Row],[حضر التهيئة]]="نعم",1,0)</f>
        <v>0</v>
      </c>
      <c r="R1158">
        <f>IF(Table1[[#This Row],[دورة الفوترة]]="شهري",1,0)</f>
        <v>0</v>
      </c>
    </row>
    <row r="1159" spans="1:18" x14ac:dyDescent="0.25">
      <c r="A1159" t="s">
        <v>1179</v>
      </c>
      <c r="B1159" s="1">
        <v>45659</v>
      </c>
      <c r="C1159" t="s">
        <v>13</v>
      </c>
      <c r="D1159">
        <v>89</v>
      </c>
      <c r="E1159" t="s">
        <v>14</v>
      </c>
      <c r="F1159">
        <v>25</v>
      </c>
      <c r="G1159" t="s">
        <v>23</v>
      </c>
      <c r="H1159">
        <v>9</v>
      </c>
      <c r="I1159">
        <v>31</v>
      </c>
      <c r="J1159">
        <v>0</v>
      </c>
      <c r="K1159" t="s">
        <v>16</v>
      </c>
      <c r="L1159" t="s">
        <v>17</v>
      </c>
      <c r="M1159">
        <f>IF(Table1[[#This Row],[ألغى الاشتراك]]="نعم",1,0)</f>
        <v>0</v>
      </c>
      <c r="N1159">
        <f>IF(Table1[[#This Row],[وسيلة الدفع]]="بطاقة",1,0)</f>
        <v>0</v>
      </c>
      <c r="O1159">
        <f>IF(Table1[[#This Row],[وسيلة الدفع]]="محفظة",1,0)</f>
        <v>0</v>
      </c>
      <c r="P1159">
        <f>IF(Table1[[#This Row],[وسيلة الدفع]]="تحويل",1,0)</f>
        <v>1</v>
      </c>
      <c r="Q1159">
        <f>IF(Table1[[#This Row],[حضر التهيئة]]="نعم",1,0)</f>
        <v>1</v>
      </c>
      <c r="R1159">
        <f>IF(Table1[[#This Row],[دورة الفوترة]]="شهري",1,0)</f>
        <v>1</v>
      </c>
    </row>
    <row r="1160" spans="1:18" x14ac:dyDescent="0.25">
      <c r="A1160" t="s">
        <v>1180</v>
      </c>
      <c r="B1160" s="1">
        <v>45341</v>
      </c>
      <c r="C1160" t="s">
        <v>19</v>
      </c>
      <c r="D1160">
        <v>189</v>
      </c>
      <c r="E1160" t="s">
        <v>14</v>
      </c>
      <c r="F1160">
        <v>6</v>
      </c>
      <c r="G1160" t="s">
        <v>23</v>
      </c>
      <c r="H1160">
        <v>11</v>
      </c>
      <c r="I1160">
        <v>26</v>
      </c>
      <c r="J1160">
        <v>0</v>
      </c>
      <c r="K1160" t="s">
        <v>16</v>
      </c>
      <c r="L1160" t="s">
        <v>17</v>
      </c>
      <c r="M1160">
        <f>IF(Table1[[#This Row],[ألغى الاشتراك]]="نعم",1,0)</f>
        <v>0</v>
      </c>
      <c r="N1160">
        <f>IF(Table1[[#This Row],[وسيلة الدفع]]="بطاقة",1,0)</f>
        <v>0</v>
      </c>
      <c r="O1160">
        <f>IF(Table1[[#This Row],[وسيلة الدفع]]="محفظة",1,0)</f>
        <v>0</v>
      </c>
      <c r="P1160">
        <f>IF(Table1[[#This Row],[وسيلة الدفع]]="تحويل",1,0)</f>
        <v>1</v>
      </c>
      <c r="Q1160">
        <f>IF(Table1[[#This Row],[حضر التهيئة]]="نعم",1,0)</f>
        <v>1</v>
      </c>
      <c r="R1160">
        <f>IF(Table1[[#This Row],[دورة الفوترة]]="شهري",1,0)</f>
        <v>1</v>
      </c>
    </row>
    <row r="1161" spans="1:18" x14ac:dyDescent="0.25">
      <c r="A1161" t="s">
        <v>1181</v>
      </c>
      <c r="B1161" s="1">
        <v>45740</v>
      </c>
      <c r="C1161" t="s">
        <v>13</v>
      </c>
      <c r="D1161">
        <v>89</v>
      </c>
      <c r="E1161" t="s">
        <v>14</v>
      </c>
      <c r="F1161">
        <v>27</v>
      </c>
      <c r="G1161" t="s">
        <v>21</v>
      </c>
      <c r="H1161">
        <v>11</v>
      </c>
      <c r="I1161">
        <v>59</v>
      </c>
      <c r="J1161">
        <v>0</v>
      </c>
      <c r="K1161" t="s">
        <v>16</v>
      </c>
      <c r="L1161" t="s">
        <v>17</v>
      </c>
      <c r="M1161">
        <f>IF(Table1[[#This Row],[ألغى الاشتراك]]="نعم",1,0)</f>
        <v>0</v>
      </c>
      <c r="N1161">
        <f>IF(Table1[[#This Row],[وسيلة الدفع]]="بطاقة",1,0)</f>
        <v>0</v>
      </c>
      <c r="O1161">
        <f>IF(Table1[[#This Row],[وسيلة الدفع]]="محفظة",1,0)</f>
        <v>1</v>
      </c>
      <c r="P1161">
        <f>IF(Table1[[#This Row],[وسيلة الدفع]]="تحويل",1,0)</f>
        <v>0</v>
      </c>
      <c r="Q1161">
        <f>IF(Table1[[#This Row],[حضر التهيئة]]="نعم",1,0)</f>
        <v>1</v>
      </c>
      <c r="R1161">
        <f>IF(Table1[[#This Row],[دورة الفوترة]]="شهري",1,0)</f>
        <v>1</v>
      </c>
    </row>
    <row r="1162" spans="1:18" x14ac:dyDescent="0.25">
      <c r="A1162" t="s">
        <v>1182</v>
      </c>
      <c r="B1162" s="1">
        <v>45403</v>
      </c>
      <c r="C1162" t="s">
        <v>28</v>
      </c>
      <c r="D1162">
        <v>39</v>
      </c>
      <c r="E1162" t="s">
        <v>20</v>
      </c>
      <c r="F1162">
        <v>10</v>
      </c>
      <c r="G1162" t="s">
        <v>23</v>
      </c>
      <c r="H1162">
        <v>0</v>
      </c>
      <c r="I1162">
        <v>58</v>
      </c>
      <c r="J1162">
        <v>0</v>
      </c>
      <c r="K1162" t="s">
        <v>16</v>
      </c>
      <c r="L1162" t="s">
        <v>17</v>
      </c>
      <c r="M1162">
        <f>IF(Table1[[#This Row],[ألغى الاشتراك]]="نعم",1,0)</f>
        <v>0</v>
      </c>
      <c r="N1162">
        <f>IF(Table1[[#This Row],[وسيلة الدفع]]="بطاقة",1,0)</f>
        <v>0</v>
      </c>
      <c r="O1162">
        <f>IF(Table1[[#This Row],[وسيلة الدفع]]="محفظة",1,0)</f>
        <v>0</v>
      </c>
      <c r="P1162">
        <f>IF(Table1[[#This Row],[وسيلة الدفع]]="تحويل",1,0)</f>
        <v>1</v>
      </c>
      <c r="Q1162">
        <f>IF(Table1[[#This Row],[حضر التهيئة]]="نعم",1,0)</f>
        <v>1</v>
      </c>
      <c r="R1162">
        <f>IF(Table1[[#This Row],[دورة الفوترة]]="شهري",1,0)</f>
        <v>0</v>
      </c>
    </row>
    <row r="1163" spans="1:18" x14ac:dyDescent="0.25">
      <c r="A1163" t="s">
        <v>1183</v>
      </c>
      <c r="B1163" s="1">
        <v>45580</v>
      </c>
      <c r="C1163" t="s">
        <v>13</v>
      </c>
      <c r="D1163">
        <v>89</v>
      </c>
      <c r="E1163" t="s">
        <v>20</v>
      </c>
      <c r="F1163">
        <v>1</v>
      </c>
      <c r="G1163" t="s">
        <v>15</v>
      </c>
      <c r="H1163">
        <v>5</v>
      </c>
      <c r="I1163">
        <v>43</v>
      </c>
      <c r="J1163">
        <v>10</v>
      </c>
      <c r="K1163" t="s">
        <v>17</v>
      </c>
      <c r="L1163" t="s">
        <v>17</v>
      </c>
      <c r="M1163">
        <f>IF(Table1[[#This Row],[ألغى الاشتراك]]="نعم",1,0)</f>
        <v>0</v>
      </c>
      <c r="N1163">
        <f>IF(Table1[[#This Row],[وسيلة الدفع]]="بطاقة",1,0)</f>
        <v>1</v>
      </c>
      <c r="O1163">
        <f>IF(Table1[[#This Row],[وسيلة الدفع]]="محفظة",1,0)</f>
        <v>0</v>
      </c>
      <c r="P1163">
        <f>IF(Table1[[#This Row],[وسيلة الدفع]]="تحويل",1,0)</f>
        <v>0</v>
      </c>
      <c r="Q1163">
        <f>IF(Table1[[#This Row],[حضر التهيئة]]="نعم",1,0)</f>
        <v>0</v>
      </c>
      <c r="R1163">
        <f>IF(Table1[[#This Row],[دورة الفوترة]]="شهري",1,0)</f>
        <v>0</v>
      </c>
    </row>
    <row r="1164" spans="1:18" x14ac:dyDescent="0.25">
      <c r="A1164" t="s">
        <v>1184</v>
      </c>
      <c r="B1164" s="1">
        <v>45977</v>
      </c>
      <c r="C1164" t="s">
        <v>19</v>
      </c>
      <c r="D1164">
        <v>189</v>
      </c>
      <c r="E1164" t="s">
        <v>14</v>
      </c>
      <c r="F1164">
        <v>17</v>
      </c>
      <c r="G1164" t="s">
        <v>23</v>
      </c>
      <c r="H1164">
        <v>1</v>
      </c>
      <c r="I1164">
        <v>3</v>
      </c>
      <c r="J1164">
        <v>0</v>
      </c>
      <c r="K1164" t="s">
        <v>16</v>
      </c>
      <c r="L1164" t="s">
        <v>17</v>
      </c>
      <c r="M1164">
        <f>IF(Table1[[#This Row],[ألغى الاشتراك]]="نعم",1,0)</f>
        <v>0</v>
      </c>
      <c r="N1164">
        <f>IF(Table1[[#This Row],[وسيلة الدفع]]="بطاقة",1,0)</f>
        <v>0</v>
      </c>
      <c r="O1164">
        <f>IF(Table1[[#This Row],[وسيلة الدفع]]="محفظة",1,0)</f>
        <v>0</v>
      </c>
      <c r="P1164">
        <f>IF(Table1[[#This Row],[وسيلة الدفع]]="تحويل",1,0)</f>
        <v>1</v>
      </c>
      <c r="Q1164">
        <f>IF(Table1[[#This Row],[حضر التهيئة]]="نعم",1,0)</f>
        <v>1</v>
      </c>
      <c r="R1164">
        <f>IF(Table1[[#This Row],[دورة الفوترة]]="شهري",1,0)</f>
        <v>1</v>
      </c>
    </row>
    <row r="1165" spans="1:18" x14ac:dyDescent="0.25">
      <c r="A1165" t="s">
        <v>1185</v>
      </c>
      <c r="B1165" s="1">
        <v>45509</v>
      </c>
      <c r="C1165" t="s">
        <v>19</v>
      </c>
      <c r="D1165">
        <v>189</v>
      </c>
      <c r="E1165" t="s">
        <v>14</v>
      </c>
      <c r="F1165">
        <v>14</v>
      </c>
      <c r="G1165" t="s">
        <v>23</v>
      </c>
      <c r="H1165">
        <v>1</v>
      </c>
      <c r="I1165">
        <v>18</v>
      </c>
      <c r="J1165">
        <v>0</v>
      </c>
      <c r="K1165" t="s">
        <v>17</v>
      </c>
      <c r="L1165" t="s">
        <v>17</v>
      </c>
      <c r="M1165">
        <f>IF(Table1[[#This Row],[ألغى الاشتراك]]="نعم",1,0)</f>
        <v>0</v>
      </c>
      <c r="N1165">
        <f>IF(Table1[[#This Row],[وسيلة الدفع]]="بطاقة",1,0)</f>
        <v>0</v>
      </c>
      <c r="O1165">
        <f>IF(Table1[[#This Row],[وسيلة الدفع]]="محفظة",1,0)</f>
        <v>0</v>
      </c>
      <c r="P1165">
        <f>IF(Table1[[#This Row],[وسيلة الدفع]]="تحويل",1,0)</f>
        <v>1</v>
      </c>
      <c r="Q1165">
        <f>IF(Table1[[#This Row],[حضر التهيئة]]="نعم",1,0)</f>
        <v>0</v>
      </c>
      <c r="R1165">
        <f>IF(Table1[[#This Row],[دورة الفوترة]]="شهري",1,0)</f>
        <v>1</v>
      </c>
    </row>
    <row r="1166" spans="1:18" x14ac:dyDescent="0.25">
      <c r="A1166" t="s">
        <v>1186</v>
      </c>
      <c r="B1166" s="1">
        <v>45679</v>
      </c>
      <c r="C1166" t="s">
        <v>28</v>
      </c>
      <c r="D1166">
        <v>39</v>
      </c>
      <c r="E1166" t="s">
        <v>20</v>
      </c>
      <c r="F1166">
        <v>17</v>
      </c>
      <c r="G1166" t="s">
        <v>23</v>
      </c>
      <c r="H1166">
        <v>0</v>
      </c>
      <c r="I1166">
        <v>41</v>
      </c>
      <c r="J1166">
        <v>0</v>
      </c>
      <c r="K1166" t="s">
        <v>17</v>
      </c>
      <c r="L1166" t="s">
        <v>17</v>
      </c>
      <c r="M1166">
        <f>IF(Table1[[#This Row],[ألغى الاشتراك]]="نعم",1,0)</f>
        <v>0</v>
      </c>
      <c r="N1166">
        <f>IF(Table1[[#This Row],[وسيلة الدفع]]="بطاقة",1,0)</f>
        <v>0</v>
      </c>
      <c r="O1166">
        <f>IF(Table1[[#This Row],[وسيلة الدفع]]="محفظة",1,0)</f>
        <v>0</v>
      </c>
      <c r="P1166">
        <f>IF(Table1[[#This Row],[وسيلة الدفع]]="تحويل",1,0)</f>
        <v>1</v>
      </c>
      <c r="Q1166">
        <f>IF(Table1[[#This Row],[حضر التهيئة]]="نعم",1,0)</f>
        <v>0</v>
      </c>
      <c r="R1166">
        <f>IF(Table1[[#This Row],[دورة الفوترة]]="شهري",1,0)</f>
        <v>0</v>
      </c>
    </row>
    <row r="1167" spans="1:18" x14ac:dyDescent="0.25">
      <c r="A1167" t="s">
        <v>1187</v>
      </c>
      <c r="B1167" s="1">
        <v>45454</v>
      </c>
      <c r="C1167" t="s">
        <v>19</v>
      </c>
      <c r="D1167">
        <v>189</v>
      </c>
      <c r="E1167" t="s">
        <v>14</v>
      </c>
      <c r="F1167">
        <v>20</v>
      </c>
      <c r="G1167" t="s">
        <v>15</v>
      </c>
      <c r="H1167">
        <v>5</v>
      </c>
      <c r="I1167">
        <v>34</v>
      </c>
      <c r="J1167">
        <v>0</v>
      </c>
      <c r="K1167" t="s">
        <v>17</v>
      </c>
      <c r="L1167" t="s">
        <v>16</v>
      </c>
      <c r="M1167">
        <f>IF(Table1[[#This Row],[ألغى الاشتراك]]="نعم",1,0)</f>
        <v>1</v>
      </c>
      <c r="N1167">
        <f>IF(Table1[[#This Row],[وسيلة الدفع]]="بطاقة",1,0)</f>
        <v>1</v>
      </c>
      <c r="O1167">
        <f>IF(Table1[[#This Row],[وسيلة الدفع]]="محفظة",1,0)</f>
        <v>0</v>
      </c>
      <c r="P1167">
        <f>IF(Table1[[#This Row],[وسيلة الدفع]]="تحويل",1,0)</f>
        <v>0</v>
      </c>
      <c r="Q1167">
        <f>IF(Table1[[#This Row],[حضر التهيئة]]="نعم",1,0)</f>
        <v>0</v>
      </c>
      <c r="R1167">
        <f>IF(Table1[[#This Row],[دورة الفوترة]]="شهري",1,0)</f>
        <v>1</v>
      </c>
    </row>
    <row r="1168" spans="1:18" x14ac:dyDescent="0.25">
      <c r="A1168" t="s">
        <v>1188</v>
      </c>
      <c r="B1168" s="1">
        <v>45403</v>
      </c>
      <c r="C1168" t="s">
        <v>19</v>
      </c>
      <c r="D1168">
        <v>189</v>
      </c>
      <c r="E1168" t="s">
        <v>20</v>
      </c>
      <c r="F1168">
        <v>15</v>
      </c>
      <c r="G1168" t="s">
        <v>23</v>
      </c>
      <c r="H1168">
        <v>2</v>
      </c>
      <c r="I1168">
        <v>47</v>
      </c>
      <c r="J1168">
        <v>25</v>
      </c>
      <c r="K1168" t="s">
        <v>16</v>
      </c>
      <c r="L1168" t="s">
        <v>17</v>
      </c>
      <c r="M1168">
        <f>IF(Table1[[#This Row],[ألغى الاشتراك]]="نعم",1,0)</f>
        <v>0</v>
      </c>
      <c r="N1168">
        <f>IF(Table1[[#This Row],[وسيلة الدفع]]="بطاقة",1,0)</f>
        <v>0</v>
      </c>
      <c r="O1168">
        <f>IF(Table1[[#This Row],[وسيلة الدفع]]="محفظة",1,0)</f>
        <v>0</v>
      </c>
      <c r="P1168">
        <f>IF(Table1[[#This Row],[وسيلة الدفع]]="تحويل",1,0)</f>
        <v>1</v>
      </c>
      <c r="Q1168">
        <f>IF(Table1[[#This Row],[حضر التهيئة]]="نعم",1,0)</f>
        <v>1</v>
      </c>
      <c r="R1168">
        <f>IF(Table1[[#This Row],[دورة الفوترة]]="شهري",1,0)</f>
        <v>0</v>
      </c>
    </row>
    <row r="1169" spans="1:18" x14ac:dyDescent="0.25">
      <c r="A1169" t="s">
        <v>1189</v>
      </c>
      <c r="B1169" s="1">
        <v>45914</v>
      </c>
      <c r="C1169" t="s">
        <v>19</v>
      </c>
      <c r="D1169">
        <v>189</v>
      </c>
      <c r="E1169" t="s">
        <v>20</v>
      </c>
      <c r="F1169">
        <v>21</v>
      </c>
      <c r="G1169" t="s">
        <v>23</v>
      </c>
      <c r="H1169">
        <v>0</v>
      </c>
      <c r="I1169">
        <v>15</v>
      </c>
      <c r="J1169">
        <v>0</v>
      </c>
      <c r="K1169" t="s">
        <v>17</v>
      </c>
      <c r="L1169" t="s">
        <v>17</v>
      </c>
      <c r="M1169">
        <f>IF(Table1[[#This Row],[ألغى الاشتراك]]="نعم",1,0)</f>
        <v>0</v>
      </c>
      <c r="N1169">
        <f>IF(Table1[[#This Row],[وسيلة الدفع]]="بطاقة",1,0)</f>
        <v>0</v>
      </c>
      <c r="O1169">
        <f>IF(Table1[[#This Row],[وسيلة الدفع]]="محفظة",1,0)</f>
        <v>0</v>
      </c>
      <c r="P1169">
        <f>IF(Table1[[#This Row],[وسيلة الدفع]]="تحويل",1,0)</f>
        <v>1</v>
      </c>
      <c r="Q1169">
        <f>IF(Table1[[#This Row],[حضر التهيئة]]="نعم",1,0)</f>
        <v>0</v>
      </c>
      <c r="R1169">
        <f>IF(Table1[[#This Row],[دورة الفوترة]]="شهري",1,0)</f>
        <v>0</v>
      </c>
    </row>
    <row r="1170" spans="1:18" x14ac:dyDescent="0.25">
      <c r="A1170" t="s">
        <v>1190</v>
      </c>
      <c r="B1170" s="1">
        <v>45450</v>
      </c>
      <c r="C1170" t="s">
        <v>19</v>
      </c>
      <c r="D1170">
        <v>189</v>
      </c>
      <c r="E1170" t="s">
        <v>20</v>
      </c>
      <c r="F1170">
        <v>4</v>
      </c>
      <c r="G1170" t="s">
        <v>23</v>
      </c>
      <c r="H1170">
        <v>5</v>
      </c>
      <c r="I1170">
        <v>40</v>
      </c>
      <c r="J1170">
        <v>0</v>
      </c>
      <c r="K1170" t="s">
        <v>16</v>
      </c>
      <c r="L1170" t="s">
        <v>17</v>
      </c>
      <c r="M1170">
        <f>IF(Table1[[#This Row],[ألغى الاشتراك]]="نعم",1,0)</f>
        <v>0</v>
      </c>
      <c r="N1170">
        <f>IF(Table1[[#This Row],[وسيلة الدفع]]="بطاقة",1,0)</f>
        <v>0</v>
      </c>
      <c r="O1170">
        <f>IF(Table1[[#This Row],[وسيلة الدفع]]="محفظة",1,0)</f>
        <v>0</v>
      </c>
      <c r="P1170">
        <f>IF(Table1[[#This Row],[وسيلة الدفع]]="تحويل",1,0)</f>
        <v>1</v>
      </c>
      <c r="Q1170">
        <f>IF(Table1[[#This Row],[حضر التهيئة]]="نعم",1,0)</f>
        <v>1</v>
      </c>
      <c r="R1170">
        <f>IF(Table1[[#This Row],[دورة الفوترة]]="شهري",1,0)</f>
        <v>0</v>
      </c>
    </row>
    <row r="1171" spans="1:18" x14ac:dyDescent="0.25">
      <c r="A1171" t="s">
        <v>1191</v>
      </c>
      <c r="B1171" s="1">
        <v>45732</v>
      </c>
      <c r="C1171" t="s">
        <v>13</v>
      </c>
      <c r="D1171">
        <v>89</v>
      </c>
      <c r="E1171" t="s">
        <v>14</v>
      </c>
      <c r="F1171">
        <v>5</v>
      </c>
      <c r="G1171" t="s">
        <v>23</v>
      </c>
      <c r="H1171">
        <v>2</v>
      </c>
      <c r="I1171">
        <v>23</v>
      </c>
      <c r="J1171">
        <v>0</v>
      </c>
      <c r="K1171" t="s">
        <v>16</v>
      </c>
      <c r="L1171" t="s">
        <v>17</v>
      </c>
      <c r="M1171">
        <f>IF(Table1[[#This Row],[ألغى الاشتراك]]="نعم",1,0)</f>
        <v>0</v>
      </c>
      <c r="N1171">
        <f>IF(Table1[[#This Row],[وسيلة الدفع]]="بطاقة",1,0)</f>
        <v>0</v>
      </c>
      <c r="O1171">
        <f>IF(Table1[[#This Row],[وسيلة الدفع]]="محفظة",1,0)</f>
        <v>0</v>
      </c>
      <c r="P1171">
        <f>IF(Table1[[#This Row],[وسيلة الدفع]]="تحويل",1,0)</f>
        <v>1</v>
      </c>
      <c r="Q1171">
        <f>IF(Table1[[#This Row],[حضر التهيئة]]="نعم",1,0)</f>
        <v>1</v>
      </c>
      <c r="R1171">
        <f>IF(Table1[[#This Row],[دورة الفوترة]]="شهري",1,0)</f>
        <v>1</v>
      </c>
    </row>
    <row r="1172" spans="1:18" x14ac:dyDescent="0.25">
      <c r="A1172" t="s">
        <v>1192</v>
      </c>
      <c r="B1172" s="1">
        <v>45926</v>
      </c>
      <c r="C1172" t="s">
        <v>28</v>
      </c>
      <c r="D1172">
        <v>39</v>
      </c>
      <c r="E1172" t="s">
        <v>20</v>
      </c>
      <c r="F1172">
        <v>2</v>
      </c>
      <c r="G1172" t="s">
        <v>15</v>
      </c>
      <c r="H1172">
        <v>1</v>
      </c>
      <c r="I1172">
        <v>26</v>
      </c>
      <c r="J1172">
        <v>5</v>
      </c>
      <c r="K1172" t="s">
        <v>17</v>
      </c>
      <c r="L1172" t="s">
        <v>17</v>
      </c>
      <c r="M1172">
        <f>IF(Table1[[#This Row],[ألغى الاشتراك]]="نعم",1,0)</f>
        <v>0</v>
      </c>
      <c r="N1172">
        <f>IF(Table1[[#This Row],[وسيلة الدفع]]="بطاقة",1,0)</f>
        <v>1</v>
      </c>
      <c r="O1172">
        <f>IF(Table1[[#This Row],[وسيلة الدفع]]="محفظة",1,0)</f>
        <v>0</v>
      </c>
      <c r="P1172">
        <f>IF(Table1[[#This Row],[وسيلة الدفع]]="تحويل",1,0)</f>
        <v>0</v>
      </c>
      <c r="Q1172">
        <f>IF(Table1[[#This Row],[حضر التهيئة]]="نعم",1,0)</f>
        <v>0</v>
      </c>
      <c r="R1172">
        <f>IF(Table1[[#This Row],[دورة الفوترة]]="شهري",1,0)</f>
        <v>0</v>
      </c>
    </row>
    <row r="1173" spans="1:18" x14ac:dyDescent="0.25">
      <c r="A1173" t="s">
        <v>1193</v>
      </c>
      <c r="B1173" s="1">
        <v>45854</v>
      </c>
      <c r="C1173" t="s">
        <v>19</v>
      </c>
      <c r="D1173">
        <v>189</v>
      </c>
      <c r="E1173" t="s">
        <v>14</v>
      </c>
      <c r="F1173">
        <v>18</v>
      </c>
      <c r="G1173" t="s">
        <v>23</v>
      </c>
      <c r="H1173">
        <v>0</v>
      </c>
      <c r="I1173">
        <v>50</v>
      </c>
      <c r="J1173">
        <v>15</v>
      </c>
      <c r="K1173" t="s">
        <v>16</v>
      </c>
      <c r="L1173" t="s">
        <v>17</v>
      </c>
      <c r="M1173">
        <f>IF(Table1[[#This Row],[ألغى الاشتراك]]="نعم",1,0)</f>
        <v>0</v>
      </c>
      <c r="N1173">
        <f>IF(Table1[[#This Row],[وسيلة الدفع]]="بطاقة",1,0)</f>
        <v>0</v>
      </c>
      <c r="O1173">
        <f>IF(Table1[[#This Row],[وسيلة الدفع]]="محفظة",1,0)</f>
        <v>0</v>
      </c>
      <c r="P1173">
        <f>IF(Table1[[#This Row],[وسيلة الدفع]]="تحويل",1,0)</f>
        <v>1</v>
      </c>
      <c r="Q1173">
        <f>IF(Table1[[#This Row],[حضر التهيئة]]="نعم",1,0)</f>
        <v>1</v>
      </c>
      <c r="R1173">
        <f>IF(Table1[[#This Row],[دورة الفوترة]]="شهري",1,0)</f>
        <v>1</v>
      </c>
    </row>
    <row r="1174" spans="1:18" x14ac:dyDescent="0.25">
      <c r="A1174" t="s">
        <v>1194</v>
      </c>
      <c r="B1174" s="1">
        <v>45387</v>
      </c>
      <c r="C1174" t="s">
        <v>19</v>
      </c>
      <c r="D1174">
        <v>189</v>
      </c>
      <c r="E1174" t="s">
        <v>20</v>
      </c>
      <c r="F1174">
        <v>4</v>
      </c>
      <c r="G1174" t="s">
        <v>23</v>
      </c>
      <c r="H1174">
        <v>1</v>
      </c>
      <c r="I1174">
        <v>46</v>
      </c>
      <c r="J1174">
        <v>0</v>
      </c>
      <c r="K1174" t="s">
        <v>16</v>
      </c>
      <c r="L1174" t="s">
        <v>17</v>
      </c>
      <c r="M1174">
        <f>IF(Table1[[#This Row],[ألغى الاشتراك]]="نعم",1,0)</f>
        <v>0</v>
      </c>
      <c r="N1174">
        <f>IF(Table1[[#This Row],[وسيلة الدفع]]="بطاقة",1,0)</f>
        <v>0</v>
      </c>
      <c r="O1174">
        <f>IF(Table1[[#This Row],[وسيلة الدفع]]="محفظة",1,0)</f>
        <v>0</v>
      </c>
      <c r="P1174">
        <f>IF(Table1[[#This Row],[وسيلة الدفع]]="تحويل",1,0)</f>
        <v>1</v>
      </c>
      <c r="Q1174">
        <f>IF(Table1[[#This Row],[حضر التهيئة]]="نعم",1,0)</f>
        <v>1</v>
      </c>
      <c r="R1174">
        <f>IF(Table1[[#This Row],[دورة الفوترة]]="شهري",1,0)</f>
        <v>0</v>
      </c>
    </row>
    <row r="1175" spans="1:18" x14ac:dyDescent="0.25">
      <c r="A1175" t="s">
        <v>1195</v>
      </c>
      <c r="B1175" s="1">
        <v>45446</v>
      </c>
      <c r="C1175" t="s">
        <v>28</v>
      </c>
      <c r="D1175">
        <v>39</v>
      </c>
      <c r="E1175" t="s">
        <v>14</v>
      </c>
      <c r="F1175">
        <v>11</v>
      </c>
      <c r="G1175" t="s">
        <v>15</v>
      </c>
      <c r="H1175">
        <v>1</v>
      </c>
      <c r="I1175">
        <v>11</v>
      </c>
      <c r="J1175">
        <v>10</v>
      </c>
      <c r="K1175" t="s">
        <v>16</v>
      </c>
      <c r="L1175" t="s">
        <v>17</v>
      </c>
      <c r="M1175">
        <f>IF(Table1[[#This Row],[ألغى الاشتراك]]="نعم",1,0)</f>
        <v>0</v>
      </c>
      <c r="N1175">
        <f>IF(Table1[[#This Row],[وسيلة الدفع]]="بطاقة",1,0)</f>
        <v>1</v>
      </c>
      <c r="O1175">
        <f>IF(Table1[[#This Row],[وسيلة الدفع]]="محفظة",1,0)</f>
        <v>0</v>
      </c>
      <c r="P1175">
        <f>IF(Table1[[#This Row],[وسيلة الدفع]]="تحويل",1,0)</f>
        <v>0</v>
      </c>
      <c r="Q1175">
        <f>IF(Table1[[#This Row],[حضر التهيئة]]="نعم",1,0)</f>
        <v>1</v>
      </c>
      <c r="R1175">
        <f>IF(Table1[[#This Row],[دورة الفوترة]]="شهري",1,0)</f>
        <v>1</v>
      </c>
    </row>
    <row r="1176" spans="1:18" x14ac:dyDescent="0.25">
      <c r="A1176" t="s">
        <v>1196</v>
      </c>
      <c r="B1176" s="1">
        <v>45965</v>
      </c>
      <c r="C1176" t="s">
        <v>28</v>
      </c>
      <c r="D1176">
        <v>39</v>
      </c>
      <c r="E1176" t="s">
        <v>14</v>
      </c>
      <c r="F1176">
        <v>23</v>
      </c>
      <c r="G1176" t="s">
        <v>23</v>
      </c>
      <c r="H1176">
        <v>2</v>
      </c>
      <c r="I1176">
        <v>15</v>
      </c>
      <c r="J1176">
        <v>0</v>
      </c>
      <c r="K1176" t="s">
        <v>16</v>
      </c>
      <c r="L1176" t="s">
        <v>17</v>
      </c>
      <c r="M1176">
        <f>IF(Table1[[#This Row],[ألغى الاشتراك]]="نعم",1,0)</f>
        <v>0</v>
      </c>
      <c r="N1176">
        <f>IF(Table1[[#This Row],[وسيلة الدفع]]="بطاقة",1,0)</f>
        <v>0</v>
      </c>
      <c r="O1176">
        <f>IF(Table1[[#This Row],[وسيلة الدفع]]="محفظة",1,0)</f>
        <v>0</v>
      </c>
      <c r="P1176">
        <f>IF(Table1[[#This Row],[وسيلة الدفع]]="تحويل",1,0)</f>
        <v>1</v>
      </c>
      <c r="Q1176">
        <f>IF(Table1[[#This Row],[حضر التهيئة]]="نعم",1,0)</f>
        <v>1</v>
      </c>
      <c r="R1176">
        <f>IF(Table1[[#This Row],[دورة الفوترة]]="شهري",1,0)</f>
        <v>1</v>
      </c>
    </row>
    <row r="1177" spans="1:18" x14ac:dyDescent="0.25">
      <c r="A1177" t="s">
        <v>1197</v>
      </c>
      <c r="B1177" s="1">
        <v>45627</v>
      </c>
      <c r="C1177" t="s">
        <v>13</v>
      </c>
      <c r="D1177">
        <v>89</v>
      </c>
      <c r="E1177" t="s">
        <v>20</v>
      </c>
      <c r="F1177">
        <v>20</v>
      </c>
      <c r="G1177" t="s">
        <v>15</v>
      </c>
      <c r="H1177">
        <v>1</v>
      </c>
      <c r="I1177">
        <v>54</v>
      </c>
      <c r="J1177">
        <v>0</v>
      </c>
      <c r="K1177" t="s">
        <v>16</v>
      </c>
      <c r="L1177" t="s">
        <v>17</v>
      </c>
      <c r="M1177">
        <f>IF(Table1[[#This Row],[ألغى الاشتراك]]="نعم",1,0)</f>
        <v>0</v>
      </c>
      <c r="N1177">
        <f>IF(Table1[[#This Row],[وسيلة الدفع]]="بطاقة",1,0)</f>
        <v>1</v>
      </c>
      <c r="O1177">
        <f>IF(Table1[[#This Row],[وسيلة الدفع]]="محفظة",1,0)</f>
        <v>0</v>
      </c>
      <c r="P1177">
        <f>IF(Table1[[#This Row],[وسيلة الدفع]]="تحويل",1,0)</f>
        <v>0</v>
      </c>
      <c r="Q1177">
        <f>IF(Table1[[#This Row],[حضر التهيئة]]="نعم",1,0)</f>
        <v>1</v>
      </c>
      <c r="R1177">
        <f>IF(Table1[[#This Row],[دورة الفوترة]]="شهري",1,0)</f>
        <v>0</v>
      </c>
    </row>
    <row r="1178" spans="1:18" x14ac:dyDescent="0.25">
      <c r="A1178" t="s">
        <v>1198</v>
      </c>
      <c r="B1178" s="1">
        <v>45683</v>
      </c>
      <c r="C1178" t="s">
        <v>13</v>
      </c>
      <c r="D1178">
        <v>89</v>
      </c>
      <c r="E1178" t="s">
        <v>20</v>
      </c>
      <c r="F1178">
        <v>29</v>
      </c>
      <c r="G1178" t="s">
        <v>15</v>
      </c>
      <c r="H1178">
        <v>0</v>
      </c>
      <c r="I1178">
        <v>11</v>
      </c>
      <c r="J1178">
        <v>0</v>
      </c>
      <c r="K1178" t="s">
        <v>16</v>
      </c>
      <c r="L1178" t="s">
        <v>17</v>
      </c>
      <c r="M1178">
        <f>IF(Table1[[#This Row],[ألغى الاشتراك]]="نعم",1,0)</f>
        <v>0</v>
      </c>
      <c r="N1178">
        <f>IF(Table1[[#This Row],[وسيلة الدفع]]="بطاقة",1,0)</f>
        <v>1</v>
      </c>
      <c r="O1178">
        <f>IF(Table1[[#This Row],[وسيلة الدفع]]="محفظة",1,0)</f>
        <v>0</v>
      </c>
      <c r="P1178">
        <f>IF(Table1[[#This Row],[وسيلة الدفع]]="تحويل",1,0)</f>
        <v>0</v>
      </c>
      <c r="Q1178">
        <f>IF(Table1[[#This Row],[حضر التهيئة]]="نعم",1,0)</f>
        <v>1</v>
      </c>
      <c r="R1178">
        <f>IF(Table1[[#This Row],[دورة الفوترة]]="شهري",1,0)</f>
        <v>0</v>
      </c>
    </row>
    <row r="1179" spans="1:18" x14ac:dyDescent="0.25">
      <c r="A1179" t="s">
        <v>1199</v>
      </c>
      <c r="B1179" s="1">
        <v>45568</v>
      </c>
      <c r="C1179" t="s">
        <v>13</v>
      </c>
      <c r="D1179">
        <v>89</v>
      </c>
      <c r="E1179" t="s">
        <v>20</v>
      </c>
      <c r="F1179">
        <v>12</v>
      </c>
      <c r="G1179" t="s">
        <v>21</v>
      </c>
      <c r="H1179">
        <v>2</v>
      </c>
      <c r="I1179">
        <v>48</v>
      </c>
      <c r="J1179">
        <v>0</v>
      </c>
      <c r="K1179" t="s">
        <v>17</v>
      </c>
      <c r="L1179" t="s">
        <v>17</v>
      </c>
      <c r="M1179">
        <f>IF(Table1[[#This Row],[ألغى الاشتراك]]="نعم",1,0)</f>
        <v>0</v>
      </c>
      <c r="N1179">
        <f>IF(Table1[[#This Row],[وسيلة الدفع]]="بطاقة",1,0)</f>
        <v>0</v>
      </c>
      <c r="O1179">
        <f>IF(Table1[[#This Row],[وسيلة الدفع]]="محفظة",1,0)</f>
        <v>1</v>
      </c>
      <c r="P1179">
        <f>IF(Table1[[#This Row],[وسيلة الدفع]]="تحويل",1,0)</f>
        <v>0</v>
      </c>
      <c r="Q1179">
        <f>IF(Table1[[#This Row],[حضر التهيئة]]="نعم",1,0)</f>
        <v>0</v>
      </c>
      <c r="R1179">
        <f>IF(Table1[[#This Row],[دورة الفوترة]]="شهري",1,0)</f>
        <v>0</v>
      </c>
    </row>
    <row r="1180" spans="1:18" x14ac:dyDescent="0.25">
      <c r="A1180" t="s">
        <v>1200</v>
      </c>
      <c r="B1180" s="1">
        <v>45965</v>
      </c>
      <c r="C1180" t="s">
        <v>19</v>
      </c>
      <c r="D1180">
        <v>189</v>
      </c>
      <c r="E1180" t="s">
        <v>20</v>
      </c>
      <c r="F1180">
        <v>15</v>
      </c>
      <c r="G1180" t="s">
        <v>23</v>
      </c>
      <c r="H1180">
        <v>1</v>
      </c>
      <c r="I1180">
        <v>31</v>
      </c>
      <c r="J1180">
        <v>0</v>
      </c>
      <c r="K1180" t="s">
        <v>17</v>
      </c>
      <c r="L1180" t="s">
        <v>17</v>
      </c>
      <c r="M1180">
        <f>IF(Table1[[#This Row],[ألغى الاشتراك]]="نعم",1,0)</f>
        <v>0</v>
      </c>
      <c r="N1180">
        <f>IF(Table1[[#This Row],[وسيلة الدفع]]="بطاقة",1,0)</f>
        <v>0</v>
      </c>
      <c r="O1180">
        <f>IF(Table1[[#This Row],[وسيلة الدفع]]="محفظة",1,0)</f>
        <v>0</v>
      </c>
      <c r="P1180">
        <f>IF(Table1[[#This Row],[وسيلة الدفع]]="تحويل",1,0)</f>
        <v>1</v>
      </c>
      <c r="Q1180">
        <f>IF(Table1[[#This Row],[حضر التهيئة]]="نعم",1,0)</f>
        <v>0</v>
      </c>
      <c r="R1180">
        <f>IF(Table1[[#This Row],[دورة الفوترة]]="شهري",1,0)</f>
        <v>0</v>
      </c>
    </row>
    <row r="1181" spans="1:18" x14ac:dyDescent="0.25">
      <c r="A1181" t="s">
        <v>1201</v>
      </c>
      <c r="B1181" s="1">
        <v>45529</v>
      </c>
      <c r="C1181" t="s">
        <v>28</v>
      </c>
      <c r="D1181">
        <v>39</v>
      </c>
      <c r="E1181" t="s">
        <v>14</v>
      </c>
      <c r="F1181">
        <v>12</v>
      </c>
      <c r="G1181" t="s">
        <v>15</v>
      </c>
      <c r="H1181">
        <v>1</v>
      </c>
      <c r="I1181">
        <v>8</v>
      </c>
      <c r="J1181">
        <v>0</v>
      </c>
      <c r="K1181" t="s">
        <v>17</v>
      </c>
      <c r="L1181" t="s">
        <v>17</v>
      </c>
      <c r="M1181">
        <f>IF(Table1[[#This Row],[ألغى الاشتراك]]="نعم",1,0)</f>
        <v>0</v>
      </c>
      <c r="N1181">
        <f>IF(Table1[[#This Row],[وسيلة الدفع]]="بطاقة",1,0)</f>
        <v>1</v>
      </c>
      <c r="O1181">
        <f>IF(Table1[[#This Row],[وسيلة الدفع]]="محفظة",1,0)</f>
        <v>0</v>
      </c>
      <c r="P1181">
        <f>IF(Table1[[#This Row],[وسيلة الدفع]]="تحويل",1,0)</f>
        <v>0</v>
      </c>
      <c r="Q1181">
        <f>IF(Table1[[#This Row],[حضر التهيئة]]="نعم",1,0)</f>
        <v>0</v>
      </c>
      <c r="R1181">
        <f>IF(Table1[[#This Row],[دورة الفوترة]]="شهري",1,0)</f>
        <v>1</v>
      </c>
    </row>
    <row r="1182" spans="1:18" x14ac:dyDescent="0.25">
      <c r="A1182" t="s">
        <v>1202</v>
      </c>
      <c r="B1182" s="1">
        <v>45779</v>
      </c>
      <c r="C1182" t="s">
        <v>28</v>
      </c>
      <c r="D1182">
        <v>39</v>
      </c>
      <c r="E1182" t="s">
        <v>14</v>
      </c>
      <c r="F1182">
        <v>7</v>
      </c>
      <c r="G1182" t="s">
        <v>15</v>
      </c>
      <c r="H1182">
        <v>2</v>
      </c>
      <c r="I1182">
        <v>9</v>
      </c>
      <c r="J1182">
        <v>0</v>
      </c>
      <c r="K1182" t="s">
        <v>17</v>
      </c>
      <c r="L1182" t="s">
        <v>17</v>
      </c>
      <c r="M1182">
        <f>IF(Table1[[#This Row],[ألغى الاشتراك]]="نعم",1,0)</f>
        <v>0</v>
      </c>
      <c r="N1182">
        <f>IF(Table1[[#This Row],[وسيلة الدفع]]="بطاقة",1,0)</f>
        <v>1</v>
      </c>
      <c r="O1182">
        <f>IF(Table1[[#This Row],[وسيلة الدفع]]="محفظة",1,0)</f>
        <v>0</v>
      </c>
      <c r="P1182">
        <f>IF(Table1[[#This Row],[وسيلة الدفع]]="تحويل",1,0)</f>
        <v>0</v>
      </c>
      <c r="Q1182">
        <f>IF(Table1[[#This Row],[حضر التهيئة]]="نعم",1,0)</f>
        <v>0</v>
      </c>
      <c r="R1182">
        <f>IF(Table1[[#This Row],[دورة الفوترة]]="شهري",1,0)</f>
        <v>1</v>
      </c>
    </row>
    <row r="1183" spans="1:18" x14ac:dyDescent="0.25">
      <c r="A1183" t="s">
        <v>1203</v>
      </c>
      <c r="B1183" s="1">
        <v>45736</v>
      </c>
      <c r="C1183" t="s">
        <v>13</v>
      </c>
      <c r="D1183">
        <v>89</v>
      </c>
      <c r="E1183" t="s">
        <v>14</v>
      </c>
      <c r="F1183">
        <v>10</v>
      </c>
      <c r="G1183" t="s">
        <v>23</v>
      </c>
      <c r="H1183">
        <v>2</v>
      </c>
      <c r="I1183">
        <v>52</v>
      </c>
      <c r="J1183">
        <v>15</v>
      </c>
      <c r="K1183" t="s">
        <v>16</v>
      </c>
      <c r="L1183" t="s">
        <v>17</v>
      </c>
      <c r="M1183">
        <f>IF(Table1[[#This Row],[ألغى الاشتراك]]="نعم",1,0)</f>
        <v>0</v>
      </c>
      <c r="N1183">
        <f>IF(Table1[[#This Row],[وسيلة الدفع]]="بطاقة",1,0)</f>
        <v>0</v>
      </c>
      <c r="O1183">
        <f>IF(Table1[[#This Row],[وسيلة الدفع]]="محفظة",1,0)</f>
        <v>0</v>
      </c>
      <c r="P1183">
        <f>IF(Table1[[#This Row],[وسيلة الدفع]]="تحويل",1,0)</f>
        <v>1</v>
      </c>
      <c r="Q1183">
        <f>IF(Table1[[#This Row],[حضر التهيئة]]="نعم",1,0)</f>
        <v>1</v>
      </c>
      <c r="R1183">
        <f>IF(Table1[[#This Row],[دورة الفوترة]]="شهري",1,0)</f>
        <v>1</v>
      </c>
    </row>
    <row r="1184" spans="1:18" x14ac:dyDescent="0.25">
      <c r="A1184" t="s">
        <v>1204</v>
      </c>
      <c r="B1184" s="1">
        <v>45403</v>
      </c>
      <c r="C1184" t="s">
        <v>13</v>
      </c>
      <c r="D1184">
        <v>89</v>
      </c>
      <c r="E1184" t="s">
        <v>14</v>
      </c>
      <c r="F1184">
        <v>24</v>
      </c>
      <c r="G1184" t="s">
        <v>21</v>
      </c>
      <c r="H1184">
        <v>5</v>
      </c>
      <c r="I1184">
        <v>2</v>
      </c>
      <c r="J1184">
        <v>0</v>
      </c>
      <c r="K1184" t="s">
        <v>17</v>
      </c>
      <c r="L1184" t="s">
        <v>17</v>
      </c>
      <c r="M1184">
        <f>IF(Table1[[#This Row],[ألغى الاشتراك]]="نعم",1,0)</f>
        <v>0</v>
      </c>
      <c r="N1184">
        <f>IF(Table1[[#This Row],[وسيلة الدفع]]="بطاقة",1,0)</f>
        <v>0</v>
      </c>
      <c r="O1184">
        <f>IF(Table1[[#This Row],[وسيلة الدفع]]="محفظة",1,0)</f>
        <v>1</v>
      </c>
      <c r="P1184">
        <f>IF(Table1[[#This Row],[وسيلة الدفع]]="تحويل",1,0)</f>
        <v>0</v>
      </c>
      <c r="Q1184">
        <f>IF(Table1[[#This Row],[حضر التهيئة]]="نعم",1,0)</f>
        <v>0</v>
      </c>
      <c r="R1184">
        <f>IF(Table1[[#This Row],[دورة الفوترة]]="شهري",1,0)</f>
        <v>1</v>
      </c>
    </row>
    <row r="1185" spans="1:18" x14ac:dyDescent="0.25">
      <c r="A1185" t="s">
        <v>1205</v>
      </c>
      <c r="B1185" s="1">
        <v>45910</v>
      </c>
      <c r="C1185" t="s">
        <v>28</v>
      </c>
      <c r="D1185">
        <v>39</v>
      </c>
      <c r="E1185" t="s">
        <v>20</v>
      </c>
      <c r="F1185">
        <v>11</v>
      </c>
      <c r="G1185" t="s">
        <v>23</v>
      </c>
      <c r="H1185">
        <v>1</v>
      </c>
      <c r="I1185">
        <v>35</v>
      </c>
      <c r="J1185">
        <v>0</v>
      </c>
      <c r="K1185" t="s">
        <v>17</v>
      </c>
      <c r="L1185" t="s">
        <v>17</v>
      </c>
      <c r="M1185">
        <f>IF(Table1[[#This Row],[ألغى الاشتراك]]="نعم",1,0)</f>
        <v>0</v>
      </c>
      <c r="N1185">
        <f>IF(Table1[[#This Row],[وسيلة الدفع]]="بطاقة",1,0)</f>
        <v>0</v>
      </c>
      <c r="O1185">
        <f>IF(Table1[[#This Row],[وسيلة الدفع]]="محفظة",1,0)</f>
        <v>0</v>
      </c>
      <c r="P1185">
        <f>IF(Table1[[#This Row],[وسيلة الدفع]]="تحويل",1,0)</f>
        <v>1</v>
      </c>
      <c r="Q1185">
        <f>IF(Table1[[#This Row],[حضر التهيئة]]="نعم",1,0)</f>
        <v>0</v>
      </c>
      <c r="R1185">
        <f>IF(Table1[[#This Row],[دورة الفوترة]]="شهري",1,0)</f>
        <v>0</v>
      </c>
    </row>
    <row r="1186" spans="1:18" x14ac:dyDescent="0.25">
      <c r="A1186" t="s">
        <v>1206</v>
      </c>
      <c r="B1186" s="1">
        <v>45981</v>
      </c>
      <c r="C1186" t="s">
        <v>28</v>
      </c>
      <c r="D1186">
        <v>39</v>
      </c>
      <c r="E1186" t="s">
        <v>14</v>
      </c>
      <c r="F1186">
        <v>24</v>
      </c>
      <c r="G1186" t="s">
        <v>15</v>
      </c>
      <c r="H1186">
        <v>1</v>
      </c>
      <c r="I1186">
        <v>56</v>
      </c>
      <c r="J1186">
        <v>15</v>
      </c>
      <c r="K1186" t="s">
        <v>16</v>
      </c>
      <c r="L1186" t="s">
        <v>17</v>
      </c>
      <c r="M1186">
        <f>IF(Table1[[#This Row],[ألغى الاشتراك]]="نعم",1,0)</f>
        <v>0</v>
      </c>
      <c r="N1186">
        <f>IF(Table1[[#This Row],[وسيلة الدفع]]="بطاقة",1,0)</f>
        <v>1</v>
      </c>
      <c r="O1186">
        <f>IF(Table1[[#This Row],[وسيلة الدفع]]="محفظة",1,0)</f>
        <v>0</v>
      </c>
      <c r="P1186">
        <f>IF(Table1[[#This Row],[وسيلة الدفع]]="تحويل",1,0)</f>
        <v>0</v>
      </c>
      <c r="Q1186">
        <f>IF(Table1[[#This Row],[حضر التهيئة]]="نعم",1,0)</f>
        <v>1</v>
      </c>
      <c r="R1186">
        <f>IF(Table1[[#This Row],[دورة الفوترة]]="شهري",1,0)</f>
        <v>1</v>
      </c>
    </row>
    <row r="1187" spans="1:18" x14ac:dyDescent="0.25">
      <c r="A1187" t="s">
        <v>1207</v>
      </c>
      <c r="B1187" s="1">
        <v>45407</v>
      </c>
      <c r="C1187" t="s">
        <v>19</v>
      </c>
      <c r="D1187">
        <v>189</v>
      </c>
      <c r="E1187" t="s">
        <v>14</v>
      </c>
      <c r="F1187">
        <v>26</v>
      </c>
      <c r="G1187" t="s">
        <v>23</v>
      </c>
      <c r="H1187">
        <v>0</v>
      </c>
      <c r="I1187">
        <v>54</v>
      </c>
      <c r="J1187">
        <v>0</v>
      </c>
      <c r="K1187" t="s">
        <v>17</v>
      </c>
      <c r="L1187" t="s">
        <v>17</v>
      </c>
      <c r="M1187">
        <f>IF(Table1[[#This Row],[ألغى الاشتراك]]="نعم",1,0)</f>
        <v>0</v>
      </c>
      <c r="N1187">
        <f>IF(Table1[[#This Row],[وسيلة الدفع]]="بطاقة",1,0)</f>
        <v>0</v>
      </c>
      <c r="O1187">
        <f>IF(Table1[[#This Row],[وسيلة الدفع]]="محفظة",1,0)</f>
        <v>0</v>
      </c>
      <c r="P1187">
        <f>IF(Table1[[#This Row],[وسيلة الدفع]]="تحويل",1,0)</f>
        <v>1</v>
      </c>
      <c r="Q1187">
        <f>IF(Table1[[#This Row],[حضر التهيئة]]="نعم",1,0)</f>
        <v>0</v>
      </c>
      <c r="R1187">
        <f>IF(Table1[[#This Row],[دورة الفوترة]]="شهري",1,0)</f>
        <v>1</v>
      </c>
    </row>
    <row r="1188" spans="1:18" x14ac:dyDescent="0.25">
      <c r="A1188" t="s">
        <v>1208</v>
      </c>
      <c r="B1188" s="1">
        <v>45902</v>
      </c>
      <c r="C1188" t="s">
        <v>19</v>
      </c>
      <c r="D1188">
        <v>189</v>
      </c>
      <c r="E1188" t="s">
        <v>20</v>
      </c>
      <c r="F1188">
        <v>5</v>
      </c>
      <c r="G1188" t="s">
        <v>15</v>
      </c>
      <c r="H1188">
        <v>0</v>
      </c>
      <c r="I1188">
        <v>49</v>
      </c>
      <c r="J1188">
        <v>0</v>
      </c>
      <c r="K1188" t="s">
        <v>16</v>
      </c>
      <c r="L1188" t="s">
        <v>17</v>
      </c>
      <c r="M1188">
        <f>IF(Table1[[#This Row],[ألغى الاشتراك]]="نعم",1,0)</f>
        <v>0</v>
      </c>
      <c r="N1188">
        <f>IF(Table1[[#This Row],[وسيلة الدفع]]="بطاقة",1,0)</f>
        <v>1</v>
      </c>
      <c r="O1188">
        <f>IF(Table1[[#This Row],[وسيلة الدفع]]="محفظة",1,0)</f>
        <v>0</v>
      </c>
      <c r="P1188">
        <f>IF(Table1[[#This Row],[وسيلة الدفع]]="تحويل",1,0)</f>
        <v>0</v>
      </c>
      <c r="Q1188">
        <f>IF(Table1[[#This Row],[حضر التهيئة]]="نعم",1,0)</f>
        <v>1</v>
      </c>
      <c r="R1188">
        <f>IF(Table1[[#This Row],[دورة الفوترة]]="شهري",1,0)</f>
        <v>0</v>
      </c>
    </row>
    <row r="1189" spans="1:18" x14ac:dyDescent="0.25">
      <c r="A1189" t="s">
        <v>1209</v>
      </c>
      <c r="B1189" s="1">
        <v>45580</v>
      </c>
      <c r="C1189" t="s">
        <v>28</v>
      </c>
      <c r="D1189">
        <v>39</v>
      </c>
      <c r="E1189" t="s">
        <v>14</v>
      </c>
      <c r="F1189">
        <v>20</v>
      </c>
      <c r="G1189" t="s">
        <v>21</v>
      </c>
      <c r="H1189">
        <v>4</v>
      </c>
      <c r="I1189">
        <v>56</v>
      </c>
      <c r="J1189">
        <v>0</v>
      </c>
      <c r="K1189" t="s">
        <v>16</v>
      </c>
      <c r="L1189" t="s">
        <v>17</v>
      </c>
      <c r="M1189">
        <f>IF(Table1[[#This Row],[ألغى الاشتراك]]="نعم",1,0)</f>
        <v>0</v>
      </c>
      <c r="N1189">
        <f>IF(Table1[[#This Row],[وسيلة الدفع]]="بطاقة",1,0)</f>
        <v>0</v>
      </c>
      <c r="O1189">
        <f>IF(Table1[[#This Row],[وسيلة الدفع]]="محفظة",1,0)</f>
        <v>1</v>
      </c>
      <c r="P1189">
        <f>IF(Table1[[#This Row],[وسيلة الدفع]]="تحويل",1,0)</f>
        <v>0</v>
      </c>
      <c r="Q1189">
        <f>IF(Table1[[#This Row],[حضر التهيئة]]="نعم",1,0)</f>
        <v>1</v>
      </c>
      <c r="R1189">
        <f>IF(Table1[[#This Row],[دورة الفوترة]]="شهري",1,0)</f>
        <v>1</v>
      </c>
    </row>
    <row r="1190" spans="1:18" x14ac:dyDescent="0.25">
      <c r="A1190" t="s">
        <v>1210</v>
      </c>
      <c r="B1190" s="1">
        <v>45399</v>
      </c>
      <c r="C1190" t="s">
        <v>19</v>
      </c>
      <c r="D1190">
        <v>189</v>
      </c>
      <c r="E1190" t="s">
        <v>14</v>
      </c>
      <c r="F1190">
        <v>15</v>
      </c>
      <c r="G1190" t="s">
        <v>15</v>
      </c>
      <c r="H1190">
        <v>3</v>
      </c>
      <c r="I1190">
        <v>29</v>
      </c>
      <c r="J1190">
        <v>25</v>
      </c>
      <c r="K1190" t="s">
        <v>16</v>
      </c>
      <c r="L1190" t="s">
        <v>17</v>
      </c>
      <c r="M1190">
        <f>IF(Table1[[#This Row],[ألغى الاشتراك]]="نعم",1,0)</f>
        <v>0</v>
      </c>
      <c r="N1190">
        <f>IF(Table1[[#This Row],[وسيلة الدفع]]="بطاقة",1,0)</f>
        <v>1</v>
      </c>
      <c r="O1190">
        <f>IF(Table1[[#This Row],[وسيلة الدفع]]="محفظة",1,0)</f>
        <v>0</v>
      </c>
      <c r="P1190">
        <f>IF(Table1[[#This Row],[وسيلة الدفع]]="تحويل",1,0)</f>
        <v>0</v>
      </c>
      <c r="Q1190">
        <f>IF(Table1[[#This Row],[حضر التهيئة]]="نعم",1,0)</f>
        <v>1</v>
      </c>
      <c r="R1190">
        <f>IF(Table1[[#This Row],[دورة الفوترة]]="شهري",1,0)</f>
        <v>1</v>
      </c>
    </row>
    <row r="1191" spans="1:18" x14ac:dyDescent="0.25">
      <c r="A1191" t="s">
        <v>1211</v>
      </c>
      <c r="B1191" s="1">
        <v>45337</v>
      </c>
      <c r="C1191" t="s">
        <v>13</v>
      </c>
      <c r="D1191">
        <v>89</v>
      </c>
      <c r="E1191" t="s">
        <v>20</v>
      </c>
      <c r="F1191">
        <v>21</v>
      </c>
      <c r="G1191" t="s">
        <v>21</v>
      </c>
      <c r="H1191">
        <v>2</v>
      </c>
      <c r="I1191">
        <v>55</v>
      </c>
      <c r="J1191">
        <v>10</v>
      </c>
      <c r="K1191" t="s">
        <v>17</v>
      </c>
      <c r="L1191" t="s">
        <v>17</v>
      </c>
      <c r="M1191">
        <f>IF(Table1[[#This Row],[ألغى الاشتراك]]="نعم",1,0)</f>
        <v>0</v>
      </c>
      <c r="N1191">
        <f>IF(Table1[[#This Row],[وسيلة الدفع]]="بطاقة",1,0)</f>
        <v>0</v>
      </c>
      <c r="O1191">
        <f>IF(Table1[[#This Row],[وسيلة الدفع]]="محفظة",1,0)</f>
        <v>1</v>
      </c>
      <c r="P1191">
        <f>IF(Table1[[#This Row],[وسيلة الدفع]]="تحويل",1,0)</f>
        <v>0</v>
      </c>
      <c r="Q1191">
        <f>IF(Table1[[#This Row],[حضر التهيئة]]="نعم",1,0)</f>
        <v>0</v>
      </c>
      <c r="R1191">
        <f>IF(Table1[[#This Row],[دورة الفوترة]]="شهري",1,0)</f>
        <v>0</v>
      </c>
    </row>
    <row r="1192" spans="1:18" x14ac:dyDescent="0.25">
      <c r="A1192" t="s">
        <v>1212</v>
      </c>
      <c r="B1192" s="1">
        <v>45724</v>
      </c>
      <c r="C1192" t="s">
        <v>13</v>
      </c>
      <c r="D1192">
        <v>89</v>
      </c>
      <c r="E1192" t="s">
        <v>14</v>
      </c>
      <c r="F1192">
        <v>21</v>
      </c>
      <c r="G1192" t="s">
        <v>21</v>
      </c>
      <c r="H1192">
        <v>7</v>
      </c>
      <c r="I1192">
        <v>27</v>
      </c>
      <c r="J1192">
        <v>0</v>
      </c>
      <c r="K1192" t="s">
        <v>17</v>
      </c>
      <c r="L1192" t="s">
        <v>17</v>
      </c>
      <c r="M1192">
        <f>IF(Table1[[#This Row],[ألغى الاشتراك]]="نعم",1,0)</f>
        <v>0</v>
      </c>
      <c r="N1192">
        <f>IF(Table1[[#This Row],[وسيلة الدفع]]="بطاقة",1,0)</f>
        <v>0</v>
      </c>
      <c r="O1192">
        <f>IF(Table1[[#This Row],[وسيلة الدفع]]="محفظة",1,0)</f>
        <v>1</v>
      </c>
      <c r="P1192">
        <f>IF(Table1[[#This Row],[وسيلة الدفع]]="تحويل",1,0)</f>
        <v>0</v>
      </c>
      <c r="Q1192">
        <f>IF(Table1[[#This Row],[حضر التهيئة]]="نعم",1,0)</f>
        <v>0</v>
      </c>
      <c r="R1192">
        <f>IF(Table1[[#This Row],[دورة الفوترة]]="شهري",1,0)</f>
        <v>1</v>
      </c>
    </row>
    <row r="1193" spans="1:18" x14ac:dyDescent="0.25">
      <c r="A1193" t="s">
        <v>1213</v>
      </c>
      <c r="B1193" s="1">
        <v>45627</v>
      </c>
      <c r="C1193" t="s">
        <v>28</v>
      </c>
      <c r="D1193">
        <v>39</v>
      </c>
      <c r="E1193" t="s">
        <v>14</v>
      </c>
      <c r="F1193">
        <v>28</v>
      </c>
      <c r="G1193" t="s">
        <v>21</v>
      </c>
      <c r="H1193">
        <v>5</v>
      </c>
      <c r="I1193">
        <v>36</v>
      </c>
      <c r="J1193">
        <v>0</v>
      </c>
      <c r="K1193" t="s">
        <v>16</v>
      </c>
      <c r="L1193" t="s">
        <v>17</v>
      </c>
      <c r="M1193">
        <f>IF(Table1[[#This Row],[ألغى الاشتراك]]="نعم",1,0)</f>
        <v>0</v>
      </c>
      <c r="N1193">
        <f>IF(Table1[[#This Row],[وسيلة الدفع]]="بطاقة",1,0)</f>
        <v>0</v>
      </c>
      <c r="O1193">
        <f>IF(Table1[[#This Row],[وسيلة الدفع]]="محفظة",1,0)</f>
        <v>1</v>
      </c>
      <c r="P1193">
        <f>IF(Table1[[#This Row],[وسيلة الدفع]]="تحويل",1,0)</f>
        <v>0</v>
      </c>
      <c r="Q1193">
        <f>IF(Table1[[#This Row],[حضر التهيئة]]="نعم",1,0)</f>
        <v>1</v>
      </c>
      <c r="R1193">
        <f>IF(Table1[[#This Row],[دورة الفوترة]]="شهري",1,0)</f>
        <v>1</v>
      </c>
    </row>
    <row r="1194" spans="1:18" x14ac:dyDescent="0.25">
      <c r="A1194" t="s">
        <v>1214</v>
      </c>
      <c r="B1194" s="1">
        <v>45914</v>
      </c>
      <c r="C1194" t="s">
        <v>19</v>
      </c>
      <c r="D1194">
        <v>189</v>
      </c>
      <c r="E1194" t="s">
        <v>14</v>
      </c>
      <c r="F1194">
        <v>11</v>
      </c>
      <c r="G1194" t="s">
        <v>23</v>
      </c>
      <c r="H1194">
        <v>1</v>
      </c>
      <c r="I1194">
        <v>9</v>
      </c>
      <c r="J1194">
        <v>0</v>
      </c>
      <c r="K1194" t="s">
        <v>16</v>
      </c>
      <c r="L1194" t="s">
        <v>17</v>
      </c>
      <c r="M1194">
        <f>IF(Table1[[#This Row],[ألغى الاشتراك]]="نعم",1,0)</f>
        <v>0</v>
      </c>
      <c r="N1194">
        <f>IF(Table1[[#This Row],[وسيلة الدفع]]="بطاقة",1,0)</f>
        <v>0</v>
      </c>
      <c r="O1194">
        <f>IF(Table1[[#This Row],[وسيلة الدفع]]="محفظة",1,0)</f>
        <v>0</v>
      </c>
      <c r="P1194">
        <f>IF(Table1[[#This Row],[وسيلة الدفع]]="تحويل",1,0)</f>
        <v>1</v>
      </c>
      <c r="Q1194">
        <f>IF(Table1[[#This Row],[حضر التهيئة]]="نعم",1,0)</f>
        <v>1</v>
      </c>
      <c r="R1194">
        <f>IF(Table1[[#This Row],[دورة الفوترة]]="شهري",1,0)</f>
        <v>1</v>
      </c>
    </row>
    <row r="1195" spans="1:18" x14ac:dyDescent="0.25">
      <c r="A1195" t="s">
        <v>1215</v>
      </c>
      <c r="B1195" s="1">
        <v>45470</v>
      </c>
      <c r="C1195" t="s">
        <v>13</v>
      </c>
      <c r="D1195">
        <v>89</v>
      </c>
      <c r="E1195" t="s">
        <v>20</v>
      </c>
      <c r="F1195">
        <v>20</v>
      </c>
      <c r="G1195" t="s">
        <v>15</v>
      </c>
      <c r="H1195">
        <v>0</v>
      </c>
      <c r="I1195">
        <v>14</v>
      </c>
      <c r="J1195">
        <v>0</v>
      </c>
      <c r="K1195" t="s">
        <v>16</v>
      </c>
      <c r="L1195" t="s">
        <v>17</v>
      </c>
      <c r="M1195">
        <f>IF(Table1[[#This Row],[ألغى الاشتراك]]="نعم",1,0)</f>
        <v>0</v>
      </c>
      <c r="N1195">
        <f>IF(Table1[[#This Row],[وسيلة الدفع]]="بطاقة",1,0)</f>
        <v>1</v>
      </c>
      <c r="O1195">
        <f>IF(Table1[[#This Row],[وسيلة الدفع]]="محفظة",1,0)</f>
        <v>0</v>
      </c>
      <c r="P1195">
        <f>IF(Table1[[#This Row],[وسيلة الدفع]]="تحويل",1,0)</f>
        <v>0</v>
      </c>
      <c r="Q1195">
        <f>IF(Table1[[#This Row],[حضر التهيئة]]="نعم",1,0)</f>
        <v>1</v>
      </c>
      <c r="R1195">
        <f>IF(Table1[[#This Row],[دورة الفوترة]]="شهري",1,0)</f>
        <v>0</v>
      </c>
    </row>
    <row r="1196" spans="1:18" x14ac:dyDescent="0.25">
      <c r="A1196" t="s">
        <v>1216</v>
      </c>
      <c r="B1196" s="1">
        <v>45391</v>
      </c>
      <c r="C1196" t="s">
        <v>28</v>
      </c>
      <c r="D1196">
        <v>39</v>
      </c>
      <c r="E1196" t="s">
        <v>14</v>
      </c>
      <c r="F1196">
        <v>13</v>
      </c>
      <c r="G1196" t="s">
        <v>21</v>
      </c>
      <c r="H1196">
        <v>0</v>
      </c>
      <c r="I1196">
        <v>19</v>
      </c>
      <c r="J1196">
        <v>25</v>
      </c>
      <c r="K1196" t="s">
        <v>17</v>
      </c>
      <c r="L1196" t="s">
        <v>17</v>
      </c>
      <c r="M1196">
        <f>IF(Table1[[#This Row],[ألغى الاشتراك]]="نعم",1,0)</f>
        <v>0</v>
      </c>
      <c r="N1196">
        <f>IF(Table1[[#This Row],[وسيلة الدفع]]="بطاقة",1,0)</f>
        <v>0</v>
      </c>
      <c r="O1196">
        <f>IF(Table1[[#This Row],[وسيلة الدفع]]="محفظة",1,0)</f>
        <v>1</v>
      </c>
      <c r="P1196">
        <f>IF(Table1[[#This Row],[وسيلة الدفع]]="تحويل",1,0)</f>
        <v>0</v>
      </c>
      <c r="Q1196">
        <f>IF(Table1[[#This Row],[حضر التهيئة]]="نعم",1,0)</f>
        <v>0</v>
      </c>
      <c r="R1196">
        <f>IF(Table1[[#This Row],[دورة الفوترة]]="شهري",1,0)</f>
        <v>1</v>
      </c>
    </row>
    <row r="1197" spans="1:18" x14ac:dyDescent="0.25">
      <c r="A1197" t="s">
        <v>1217</v>
      </c>
      <c r="B1197" s="1">
        <v>45454</v>
      </c>
      <c r="C1197" t="s">
        <v>28</v>
      </c>
      <c r="D1197">
        <v>39</v>
      </c>
      <c r="E1197" t="s">
        <v>14</v>
      </c>
      <c r="F1197">
        <v>25</v>
      </c>
      <c r="G1197" t="s">
        <v>23</v>
      </c>
      <c r="H1197">
        <v>1</v>
      </c>
      <c r="I1197">
        <v>17</v>
      </c>
      <c r="J1197">
        <v>10</v>
      </c>
      <c r="K1197" t="s">
        <v>17</v>
      </c>
      <c r="L1197" t="s">
        <v>17</v>
      </c>
      <c r="M1197">
        <f>IF(Table1[[#This Row],[ألغى الاشتراك]]="نعم",1,0)</f>
        <v>0</v>
      </c>
      <c r="N1197">
        <f>IF(Table1[[#This Row],[وسيلة الدفع]]="بطاقة",1,0)</f>
        <v>0</v>
      </c>
      <c r="O1197">
        <f>IF(Table1[[#This Row],[وسيلة الدفع]]="محفظة",1,0)</f>
        <v>0</v>
      </c>
      <c r="P1197">
        <f>IF(Table1[[#This Row],[وسيلة الدفع]]="تحويل",1,0)</f>
        <v>1</v>
      </c>
      <c r="Q1197">
        <f>IF(Table1[[#This Row],[حضر التهيئة]]="نعم",1,0)</f>
        <v>0</v>
      </c>
      <c r="R1197">
        <f>IF(Table1[[#This Row],[دورة الفوترة]]="شهري",1,0)</f>
        <v>1</v>
      </c>
    </row>
    <row r="1198" spans="1:18" x14ac:dyDescent="0.25">
      <c r="A1198" t="s">
        <v>1218</v>
      </c>
      <c r="B1198" s="1">
        <v>45407</v>
      </c>
      <c r="C1198" t="s">
        <v>19</v>
      </c>
      <c r="D1198">
        <v>189</v>
      </c>
      <c r="E1198" t="s">
        <v>14</v>
      </c>
      <c r="F1198">
        <v>5</v>
      </c>
      <c r="G1198" t="s">
        <v>15</v>
      </c>
      <c r="H1198">
        <v>4</v>
      </c>
      <c r="I1198">
        <v>5</v>
      </c>
      <c r="J1198">
        <v>25</v>
      </c>
      <c r="K1198" t="s">
        <v>16</v>
      </c>
      <c r="L1198" t="s">
        <v>17</v>
      </c>
      <c r="M1198">
        <f>IF(Table1[[#This Row],[ألغى الاشتراك]]="نعم",1,0)</f>
        <v>0</v>
      </c>
      <c r="N1198">
        <f>IF(Table1[[#This Row],[وسيلة الدفع]]="بطاقة",1,0)</f>
        <v>1</v>
      </c>
      <c r="O1198">
        <f>IF(Table1[[#This Row],[وسيلة الدفع]]="محفظة",1,0)</f>
        <v>0</v>
      </c>
      <c r="P1198">
        <f>IF(Table1[[#This Row],[وسيلة الدفع]]="تحويل",1,0)</f>
        <v>0</v>
      </c>
      <c r="Q1198">
        <f>IF(Table1[[#This Row],[حضر التهيئة]]="نعم",1,0)</f>
        <v>1</v>
      </c>
      <c r="R1198">
        <f>IF(Table1[[#This Row],[دورة الفوترة]]="شهري",1,0)</f>
        <v>1</v>
      </c>
    </row>
    <row r="1199" spans="1:18" x14ac:dyDescent="0.25">
      <c r="A1199" t="s">
        <v>1219</v>
      </c>
      <c r="B1199" s="1">
        <v>45902</v>
      </c>
      <c r="C1199" t="s">
        <v>28</v>
      </c>
      <c r="D1199">
        <v>39</v>
      </c>
      <c r="E1199" t="s">
        <v>20</v>
      </c>
      <c r="F1199">
        <v>21</v>
      </c>
      <c r="G1199" t="s">
        <v>15</v>
      </c>
      <c r="H1199">
        <v>6</v>
      </c>
      <c r="I1199">
        <v>35</v>
      </c>
      <c r="J1199">
        <v>0</v>
      </c>
      <c r="K1199" t="s">
        <v>17</v>
      </c>
      <c r="L1199" t="s">
        <v>17</v>
      </c>
      <c r="M1199">
        <f>IF(Table1[[#This Row],[ألغى الاشتراك]]="نعم",1,0)</f>
        <v>0</v>
      </c>
      <c r="N1199">
        <f>IF(Table1[[#This Row],[وسيلة الدفع]]="بطاقة",1,0)</f>
        <v>1</v>
      </c>
      <c r="O1199">
        <f>IF(Table1[[#This Row],[وسيلة الدفع]]="محفظة",1,0)</f>
        <v>0</v>
      </c>
      <c r="P1199">
        <f>IF(Table1[[#This Row],[وسيلة الدفع]]="تحويل",1,0)</f>
        <v>0</v>
      </c>
      <c r="Q1199">
        <f>IF(Table1[[#This Row],[حضر التهيئة]]="نعم",1,0)</f>
        <v>0</v>
      </c>
      <c r="R1199">
        <f>IF(Table1[[#This Row],[دورة الفوترة]]="شهري",1,0)</f>
        <v>0</v>
      </c>
    </row>
    <row r="1200" spans="1:18" x14ac:dyDescent="0.25">
      <c r="A1200" t="s">
        <v>1220</v>
      </c>
      <c r="B1200" s="1">
        <v>45965</v>
      </c>
      <c r="C1200" t="s">
        <v>19</v>
      </c>
      <c r="D1200">
        <v>189</v>
      </c>
      <c r="E1200" t="s">
        <v>20</v>
      </c>
      <c r="F1200">
        <v>30</v>
      </c>
      <c r="G1200" t="s">
        <v>21</v>
      </c>
      <c r="H1200">
        <v>2</v>
      </c>
      <c r="I1200">
        <v>32</v>
      </c>
      <c r="J1200">
        <v>15</v>
      </c>
      <c r="K1200" t="s">
        <v>17</v>
      </c>
      <c r="L1200" t="s">
        <v>17</v>
      </c>
      <c r="M1200">
        <f>IF(Table1[[#This Row],[ألغى الاشتراك]]="نعم",1,0)</f>
        <v>0</v>
      </c>
      <c r="N1200">
        <f>IF(Table1[[#This Row],[وسيلة الدفع]]="بطاقة",1,0)</f>
        <v>0</v>
      </c>
      <c r="O1200">
        <f>IF(Table1[[#This Row],[وسيلة الدفع]]="محفظة",1,0)</f>
        <v>1</v>
      </c>
      <c r="P1200">
        <f>IF(Table1[[#This Row],[وسيلة الدفع]]="تحويل",1,0)</f>
        <v>0</v>
      </c>
      <c r="Q1200">
        <f>IF(Table1[[#This Row],[حضر التهيئة]]="نعم",1,0)</f>
        <v>0</v>
      </c>
      <c r="R1200">
        <f>IF(Table1[[#This Row],[دورة الفوترة]]="شهري",1,0)</f>
        <v>0</v>
      </c>
    </row>
    <row r="1201" spans="1:18" x14ac:dyDescent="0.25">
      <c r="A1201" t="s">
        <v>1221</v>
      </c>
      <c r="B1201" s="1">
        <v>45667</v>
      </c>
      <c r="C1201" t="s">
        <v>28</v>
      </c>
      <c r="D1201">
        <v>39</v>
      </c>
      <c r="E1201" t="s">
        <v>14</v>
      </c>
      <c r="F1201">
        <v>6</v>
      </c>
      <c r="G1201" t="s">
        <v>15</v>
      </c>
      <c r="H1201">
        <v>1</v>
      </c>
      <c r="I1201">
        <v>50</v>
      </c>
      <c r="J1201">
        <v>5</v>
      </c>
      <c r="K1201" t="s">
        <v>16</v>
      </c>
      <c r="L1201" t="s">
        <v>17</v>
      </c>
      <c r="M1201">
        <f>IF(Table1[[#This Row],[ألغى الاشتراك]]="نعم",1,0)</f>
        <v>0</v>
      </c>
      <c r="N1201">
        <f>IF(Table1[[#This Row],[وسيلة الدفع]]="بطاقة",1,0)</f>
        <v>1</v>
      </c>
      <c r="O1201">
        <f>IF(Table1[[#This Row],[وسيلة الدفع]]="محفظة",1,0)</f>
        <v>0</v>
      </c>
      <c r="P1201">
        <f>IF(Table1[[#This Row],[وسيلة الدفع]]="تحويل",1,0)</f>
        <v>0</v>
      </c>
      <c r="Q1201">
        <f>IF(Table1[[#This Row],[حضر التهيئة]]="نعم",1,0)</f>
        <v>1</v>
      </c>
      <c r="R1201">
        <f>IF(Table1[[#This Row],[دورة الفوترة]]="شهري",1,0)</f>
        <v>1</v>
      </c>
    </row>
    <row r="1202" spans="1:18" x14ac:dyDescent="0.25">
      <c r="A1202" t="s">
        <v>1222</v>
      </c>
      <c r="B1202" s="1">
        <v>45462</v>
      </c>
      <c r="C1202" t="s">
        <v>19</v>
      </c>
      <c r="D1202">
        <v>189</v>
      </c>
      <c r="E1202" t="s">
        <v>14</v>
      </c>
      <c r="F1202">
        <v>8</v>
      </c>
      <c r="G1202" t="s">
        <v>23</v>
      </c>
      <c r="H1202">
        <v>0</v>
      </c>
      <c r="I1202">
        <v>22</v>
      </c>
      <c r="J1202">
        <v>0</v>
      </c>
      <c r="K1202" t="s">
        <v>16</v>
      </c>
      <c r="L1202" t="s">
        <v>17</v>
      </c>
      <c r="M1202">
        <f>IF(Table1[[#This Row],[ألغى الاشتراك]]="نعم",1,0)</f>
        <v>0</v>
      </c>
      <c r="N1202">
        <f>IF(Table1[[#This Row],[وسيلة الدفع]]="بطاقة",1,0)</f>
        <v>0</v>
      </c>
      <c r="O1202">
        <f>IF(Table1[[#This Row],[وسيلة الدفع]]="محفظة",1,0)</f>
        <v>0</v>
      </c>
      <c r="P1202">
        <f>IF(Table1[[#This Row],[وسيلة الدفع]]="تحويل",1,0)</f>
        <v>1</v>
      </c>
      <c r="Q1202">
        <f>IF(Table1[[#This Row],[حضر التهيئة]]="نعم",1,0)</f>
        <v>1</v>
      </c>
      <c r="R1202">
        <f>IF(Table1[[#This Row],[دورة الفوترة]]="شهري",1,0)</f>
        <v>1</v>
      </c>
    </row>
    <row r="1203" spans="1:18" x14ac:dyDescent="0.25">
      <c r="A1203" t="s">
        <v>1223</v>
      </c>
      <c r="B1203" s="1">
        <v>45866</v>
      </c>
      <c r="C1203" t="s">
        <v>13</v>
      </c>
      <c r="D1203">
        <v>89</v>
      </c>
      <c r="E1203" t="s">
        <v>20</v>
      </c>
      <c r="F1203">
        <v>1</v>
      </c>
      <c r="G1203" t="s">
        <v>23</v>
      </c>
      <c r="H1203">
        <v>0</v>
      </c>
      <c r="I1203">
        <v>51</v>
      </c>
      <c r="J1203">
        <v>0</v>
      </c>
      <c r="K1203" t="s">
        <v>16</v>
      </c>
      <c r="L1203" t="s">
        <v>17</v>
      </c>
      <c r="M1203">
        <f>IF(Table1[[#This Row],[ألغى الاشتراك]]="نعم",1,0)</f>
        <v>0</v>
      </c>
      <c r="N1203">
        <f>IF(Table1[[#This Row],[وسيلة الدفع]]="بطاقة",1,0)</f>
        <v>0</v>
      </c>
      <c r="O1203">
        <f>IF(Table1[[#This Row],[وسيلة الدفع]]="محفظة",1,0)</f>
        <v>0</v>
      </c>
      <c r="P1203">
        <f>IF(Table1[[#This Row],[وسيلة الدفع]]="تحويل",1,0)</f>
        <v>1</v>
      </c>
      <c r="Q1203">
        <f>IF(Table1[[#This Row],[حضر التهيئة]]="نعم",1,0)</f>
        <v>1</v>
      </c>
      <c r="R1203">
        <f>IF(Table1[[#This Row],[دورة الفوترة]]="شهري",1,0)</f>
        <v>0</v>
      </c>
    </row>
    <row r="1204" spans="1:18" x14ac:dyDescent="0.25">
      <c r="A1204" t="s">
        <v>1224</v>
      </c>
      <c r="B1204" s="1">
        <v>45387</v>
      </c>
      <c r="C1204" t="s">
        <v>28</v>
      </c>
      <c r="D1204">
        <v>39</v>
      </c>
      <c r="E1204" t="s">
        <v>14</v>
      </c>
      <c r="F1204">
        <v>28</v>
      </c>
      <c r="G1204" t="s">
        <v>21</v>
      </c>
      <c r="H1204">
        <v>0</v>
      </c>
      <c r="I1204">
        <v>8</v>
      </c>
      <c r="J1204">
        <v>0</v>
      </c>
      <c r="K1204" t="s">
        <v>17</v>
      </c>
      <c r="L1204" t="s">
        <v>17</v>
      </c>
      <c r="M1204">
        <f>IF(Table1[[#This Row],[ألغى الاشتراك]]="نعم",1,0)</f>
        <v>0</v>
      </c>
      <c r="N1204">
        <f>IF(Table1[[#This Row],[وسيلة الدفع]]="بطاقة",1,0)</f>
        <v>0</v>
      </c>
      <c r="O1204">
        <f>IF(Table1[[#This Row],[وسيلة الدفع]]="محفظة",1,0)</f>
        <v>1</v>
      </c>
      <c r="P1204">
        <f>IF(Table1[[#This Row],[وسيلة الدفع]]="تحويل",1,0)</f>
        <v>0</v>
      </c>
      <c r="Q1204">
        <f>IF(Table1[[#This Row],[حضر التهيئة]]="نعم",1,0)</f>
        <v>0</v>
      </c>
      <c r="R1204">
        <f>IF(Table1[[#This Row],[دورة الفوترة]]="شهري",1,0)</f>
        <v>1</v>
      </c>
    </row>
    <row r="1205" spans="1:18" x14ac:dyDescent="0.25">
      <c r="A1205" t="s">
        <v>1225</v>
      </c>
      <c r="B1205" s="1">
        <v>45470</v>
      </c>
      <c r="C1205" t="s">
        <v>19</v>
      </c>
      <c r="D1205">
        <v>189</v>
      </c>
      <c r="E1205" t="s">
        <v>14</v>
      </c>
      <c r="F1205">
        <v>25</v>
      </c>
      <c r="G1205" t="s">
        <v>21</v>
      </c>
      <c r="H1205">
        <v>2</v>
      </c>
      <c r="I1205">
        <v>59</v>
      </c>
      <c r="J1205">
        <v>10</v>
      </c>
      <c r="K1205" t="s">
        <v>16</v>
      </c>
      <c r="L1205" t="s">
        <v>17</v>
      </c>
      <c r="M1205">
        <f>IF(Table1[[#This Row],[ألغى الاشتراك]]="نعم",1,0)</f>
        <v>0</v>
      </c>
      <c r="N1205">
        <f>IF(Table1[[#This Row],[وسيلة الدفع]]="بطاقة",1,0)</f>
        <v>0</v>
      </c>
      <c r="O1205">
        <f>IF(Table1[[#This Row],[وسيلة الدفع]]="محفظة",1,0)</f>
        <v>1</v>
      </c>
      <c r="P1205">
        <f>IF(Table1[[#This Row],[وسيلة الدفع]]="تحويل",1,0)</f>
        <v>0</v>
      </c>
      <c r="Q1205">
        <f>IF(Table1[[#This Row],[حضر التهيئة]]="نعم",1,0)</f>
        <v>1</v>
      </c>
      <c r="R1205">
        <f>IF(Table1[[#This Row],[دورة الفوترة]]="شهري",1,0)</f>
        <v>1</v>
      </c>
    </row>
    <row r="1206" spans="1:18" x14ac:dyDescent="0.25">
      <c r="A1206" t="s">
        <v>1226</v>
      </c>
      <c r="B1206" s="1">
        <v>45977</v>
      </c>
      <c r="C1206" t="s">
        <v>19</v>
      </c>
      <c r="D1206">
        <v>189</v>
      </c>
      <c r="E1206" t="s">
        <v>14</v>
      </c>
      <c r="F1206">
        <v>27</v>
      </c>
      <c r="G1206" t="s">
        <v>15</v>
      </c>
      <c r="H1206">
        <v>0</v>
      </c>
      <c r="I1206">
        <v>55</v>
      </c>
      <c r="J1206">
        <v>0</v>
      </c>
      <c r="K1206" t="s">
        <v>17</v>
      </c>
      <c r="L1206" t="s">
        <v>17</v>
      </c>
      <c r="M1206">
        <f>IF(Table1[[#This Row],[ألغى الاشتراك]]="نعم",1,0)</f>
        <v>0</v>
      </c>
      <c r="N1206">
        <f>IF(Table1[[#This Row],[وسيلة الدفع]]="بطاقة",1,0)</f>
        <v>1</v>
      </c>
      <c r="O1206">
        <f>IF(Table1[[#This Row],[وسيلة الدفع]]="محفظة",1,0)</f>
        <v>0</v>
      </c>
      <c r="P1206">
        <f>IF(Table1[[#This Row],[وسيلة الدفع]]="تحويل",1,0)</f>
        <v>0</v>
      </c>
      <c r="Q1206">
        <f>IF(Table1[[#This Row],[حضر التهيئة]]="نعم",1,0)</f>
        <v>0</v>
      </c>
      <c r="R1206">
        <f>IF(Table1[[#This Row],[دورة الفوترة]]="شهري",1,0)</f>
        <v>1</v>
      </c>
    </row>
    <row r="1207" spans="1:18" x14ac:dyDescent="0.25">
      <c r="A1207" t="s">
        <v>1227</v>
      </c>
      <c r="B1207" s="1">
        <v>45517</v>
      </c>
      <c r="C1207" t="s">
        <v>13</v>
      </c>
      <c r="D1207">
        <v>89</v>
      </c>
      <c r="E1207" t="s">
        <v>14</v>
      </c>
      <c r="F1207">
        <v>28</v>
      </c>
      <c r="G1207" t="s">
        <v>23</v>
      </c>
      <c r="H1207">
        <v>7</v>
      </c>
      <c r="I1207">
        <v>52</v>
      </c>
      <c r="J1207">
        <v>0</v>
      </c>
      <c r="K1207" t="s">
        <v>16</v>
      </c>
      <c r="L1207" t="s">
        <v>16</v>
      </c>
      <c r="M1207">
        <f>IF(Table1[[#This Row],[ألغى الاشتراك]]="نعم",1,0)</f>
        <v>1</v>
      </c>
      <c r="N1207">
        <f>IF(Table1[[#This Row],[وسيلة الدفع]]="بطاقة",1,0)</f>
        <v>0</v>
      </c>
      <c r="O1207">
        <f>IF(Table1[[#This Row],[وسيلة الدفع]]="محفظة",1,0)</f>
        <v>0</v>
      </c>
      <c r="P1207">
        <f>IF(Table1[[#This Row],[وسيلة الدفع]]="تحويل",1,0)</f>
        <v>1</v>
      </c>
      <c r="Q1207">
        <f>IF(Table1[[#This Row],[حضر التهيئة]]="نعم",1,0)</f>
        <v>1</v>
      </c>
      <c r="R1207">
        <f>IF(Table1[[#This Row],[دورة الفوترة]]="شهري",1,0)</f>
        <v>1</v>
      </c>
    </row>
    <row r="1208" spans="1:18" x14ac:dyDescent="0.25">
      <c r="A1208" t="s">
        <v>1228</v>
      </c>
      <c r="B1208" s="1">
        <v>45325</v>
      </c>
      <c r="C1208" t="s">
        <v>19</v>
      </c>
      <c r="D1208">
        <v>189</v>
      </c>
      <c r="E1208" t="s">
        <v>20</v>
      </c>
      <c r="F1208">
        <v>15</v>
      </c>
      <c r="G1208" t="s">
        <v>21</v>
      </c>
      <c r="H1208">
        <v>3</v>
      </c>
      <c r="I1208">
        <v>19</v>
      </c>
      <c r="J1208">
        <v>10</v>
      </c>
      <c r="K1208" t="s">
        <v>17</v>
      </c>
      <c r="L1208" t="s">
        <v>16</v>
      </c>
      <c r="M1208">
        <f>IF(Table1[[#This Row],[ألغى الاشتراك]]="نعم",1,0)</f>
        <v>1</v>
      </c>
      <c r="N1208">
        <f>IF(Table1[[#This Row],[وسيلة الدفع]]="بطاقة",1,0)</f>
        <v>0</v>
      </c>
      <c r="O1208">
        <f>IF(Table1[[#This Row],[وسيلة الدفع]]="محفظة",1,0)</f>
        <v>1</v>
      </c>
      <c r="P1208">
        <f>IF(Table1[[#This Row],[وسيلة الدفع]]="تحويل",1,0)</f>
        <v>0</v>
      </c>
      <c r="Q1208">
        <f>IF(Table1[[#This Row],[حضر التهيئة]]="نعم",1,0)</f>
        <v>0</v>
      </c>
      <c r="R1208">
        <f>IF(Table1[[#This Row],[دورة الفوترة]]="شهري",1,0)</f>
        <v>0</v>
      </c>
    </row>
    <row r="1209" spans="1:18" x14ac:dyDescent="0.25">
      <c r="A1209" t="s">
        <v>1229</v>
      </c>
      <c r="B1209" s="1">
        <v>45985</v>
      </c>
      <c r="C1209" t="s">
        <v>13</v>
      </c>
      <c r="D1209">
        <v>89</v>
      </c>
      <c r="E1209" t="s">
        <v>14</v>
      </c>
      <c r="F1209">
        <v>27</v>
      </c>
      <c r="G1209" t="s">
        <v>15</v>
      </c>
      <c r="H1209">
        <v>10</v>
      </c>
      <c r="I1209">
        <v>29</v>
      </c>
      <c r="J1209">
        <v>0</v>
      </c>
      <c r="K1209" t="s">
        <v>17</v>
      </c>
      <c r="L1209" t="s">
        <v>17</v>
      </c>
      <c r="M1209">
        <f>IF(Table1[[#This Row],[ألغى الاشتراك]]="نعم",1,0)</f>
        <v>0</v>
      </c>
      <c r="N1209">
        <f>IF(Table1[[#This Row],[وسيلة الدفع]]="بطاقة",1,0)</f>
        <v>1</v>
      </c>
      <c r="O1209">
        <f>IF(Table1[[#This Row],[وسيلة الدفع]]="محفظة",1,0)</f>
        <v>0</v>
      </c>
      <c r="P1209">
        <f>IF(Table1[[#This Row],[وسيلة الدفع]]="تحويل",1,0)</f>
        <v>0</v>
      </c>
      <c r="Q1209">
        <f>IF(Table1[[#This Row],[حضر التهيئة]]="نعم",1,0)</f>
        <v>0</v>
      </c>
      <c r="R1209">
        <f>IF(Table1[[#This Row],[دورة الفوترة]]="شهري",1,0)</f>
        <v>1</v>
      </c>
    </row>
    <row r="1210" spans="1:18" x14ac:dyDescent="0.25">
      <c r="A1210" t="s">
        <v>1230</v>
      </c>
      <c r="B1210" s="1">
        <v>45795</v>
      </c>
      <c r="C1210" t="s">
        <v>28</v>
      </c>
      <c r="D1210">
        <v>39</v>
      </c>
      <c r="E1210" t="s">
        <v>20</v>
      </c>
      <c r="F1210">
        <v>26</v>
      </c>
      <c r="G1210" t="s">
        <v>21</v>
      </c>
      <c r="H1210">
        <v>1</v>
      </c>
      <c r="I1210">
        <v>52</v>
      </c>
      <c r="J1210">
        <v>5</v>
      </c>
      <c r="K1210" t="s">
        <v>16</v>
      </c>
      <c r="L1210" t="s">
        <v>17</v>
      </c>
      <c r="M1210">
        <f>IF(Table1[[#This Row],[ألغى الاشتراك]]="نعم",1,0)</f>
        <v>0</v>
      </c>
      <c r="N1210">
        <f>IF(Table1[[#This Row],[وسيلة الدفع]]="بطاقة",1,0)</f>
        <v>0</v>
      </c>
      <c r="O1210">
        <f>IF(Table1[[#This Row],[وسيلة الدفع]]="محفظة",1,0)</f>
        <v>1</v>
      </c>
      <c r="P1210">
        <f>IF(Table1[[#This Row],[وسيلة الدفع]]="تحويل",1,0)</f>
        <v>0</v>
      </c>
      <c r="Q1210">
        <f>IF(Table1[[#This Row],[حضر التهيئة]]="نعم",1,0)</f>
        <v>1</v>
      </c>
      <c r="R1210">
        <f>IF(Table1[[#This Row],[دورة الفوترة]]="شهري",1,0)</f>
        <v>0</v>
      </c>
    </row>
    <row r="1211" spans="1:18" x14ac:dyDescent="0.25">
      <c r="A1211" t="s">
        <v>1231</v>
      </c>
      <c r="B1211" s="1">
        <v>45732</v>
      </c>
      <c r="C1211" t="s">
        <v>19</v>
      </c>
      <c r="D1211">
        <v>189</v>
      </c>
      <c r="E1211" t="s">
        <v>14</v>
      </c>
      <c r="F1211">
        <v>18</v>
      </c>
      <c r="G1211" t="s">
        <v>23</v>
      </c>
      <c r="H1211">
        <v>0</v>
      </c>
      <c r="I1211">
        <v>6</v>
      </c>
      <c r="J1211">
        <v>15</v>
      </c>
      <c r="K1211" t="s">
        <v>16</v>
      </c>
      <c r="L1211" t="s">
        <v>17</v>
      </c>
      <c r="M1211">
        <f>IF(Table1[[#This Row],[ألغى الاشتراك]]="نعم",1,0)</f>
        <v>0</v>
      </c>
      <c r="N1211">
        <f>IF(Table1[[#This Row],[وسيلة الدفع]]="بطاقة",1,0)</f>
        <v>0</v>
      </c>
      <c r="O1211">
        <f>IF(Table1[[#This Row],[وسيلة الدفع]]="محفظة",1,0)</f>
        <v>0</v>
      </c>
      <c r="P1211">
        <f>IF(Table1[[#This Row],[وسيلة الدفع]]="تحويل",1,0)</f>
        <v>1</v>
      </c>
      <c r="Q1211">
        <f>IF(Table1[[#This Row],[حضر التهيئة]]="نعم",1,0)</f>
        <v>1</v>
      </c>
      <c r="R1211">
        <f>IF(Table1[[#This Row],[دورة الفوترة]]="شهري",1,0)</f>
        <v>1</v>
      </c>
    </row>
    <row r="1212" spans="1:18" x14ac:dyDescent="0.25">
      <c r="A1212" t="s">
        <v>1232</v>
      </c>
      <c r="B1212" s="1">
        <v>45391</v>
      </c>
      <c r="C1212" t="s">
        <v>28</v>
      </c>
      <c r="D1212">
        <v>39</v>
      </c>
      <c r="E1212" t="s">
        <v>14</v>
      </c>
      <c r="F1212">
        <v>28</v>
      </c>
      <c r="G1212" t="s">
        <v>23</v>
      </c>
      <c r="H1212">
        <v>1</v>
      </c>
      <c r="I1212">
        <v>26</v>
      </c>
      <c r="J1212">
        <v>0</v>
      </c>
      <c r="K1212" t="s">
        <v>16</v>
      </c>
      <c r="L1212" t="s">
        <v>17</v>
      </c>
      <c r="M1212">
        <f>IF(Table1[[#This Row],[ألغى الاشتراك]]="نعم",1,0)</f>
        <v>0</v>
      </c>
      <c r="N1212">
        <f>IF(Table1[[#This Row],[وسيلة الدفع]]="بطاقة",1,0)</f>
        <v>0</v>
      </c>
      <c r="O1212">
        <f>IF(Table1[[#This Row],[وسيلة الدفع]]="محفظة",1,0)</f>
        <v>0</v>
      </c>
      <c r="P1212">
        <f>IF(Table1[[#This Row],[وسيلة الدفع]]="تحويل",1,0)</f>
        <v>1</v>
      </c>
      <c r="Q1212">
        <f>IF(Table1[[#This Row],[حضر التهيئة]]="نعم",1,0)</f>
        <v>1</v>
      </c>
      <c r="R1212">
        <f>IF(Table1[[#This Row],[دورة الفوترة]]="شهري",1,0)</f>
        <v>1</v>
      </c>
    </row>
    <row r="1213" spans="1:18" x14ac:dyDescent="0.25">
      <c r="A1213" t="s">
        <v>1233</v>
      </c>
      <c r="B1213" s="1">
        <v>45791</v>
      </c>
      <c r="C1213" t="s">
        <v>28</v>
      </c>
      <c r="D1213">
        <v>39</v>
      </c>
      <c r="E1213" t="s">
        <v>14</v>
      </c>
      <c r="F1213">
        <v>9</v>
      </c>
      <c r="G1213" t="s">
        <v>21</v>
      </c>
      <c r="H1213">
        <v>0</v>
      </c>
      <c r="I1213">
        <v>25</v>
      </c>
      <c r="J1213">
        <v>0</v>
      </c>
      <c r="K1213" t="s">
        <v>17</v>
      </c>
      <c r="L1213" t="s">
        <v>17</v>
      </c>
      <c r="M1213">
        <f>IF(Table1[[#This Row],[ألغى الاشتراك]]="نعم",1,0)</f>
        <v>0</v>
      </c>
      <c r="N1213">
        <f>IF(Table1[[#This Row],[وسيلة الدفع]]="بطاقة",1,0)</f>
        <v>0</v>
      </c>
      <c r="O1213">
        <f>IF(Table1[[#This Row],[وسيلة الدفع]]="محفظة",1,0)</f>
        <v>1</v>
      </c>
      <c r="P1213">
        <f>IF(Table1[[#This Row],[وسيلة الدفع]]="تحويل",1,0)</f>
        <v>0</v>
      </c>
      <c r="Q1213">
        <f>IF(Table1[[#This Row],[حضر التهيئة]]="نعم",1,0)</f>
        <v>0</v>
      </c>
      <c r="R1213">
        <f>IF(Table1[[#This Row],[دورة الفوترة]]="شهري",1,0)</f>
        <v>1</v>
      </c>
    </row>
    <row r="1214" spans="1:18" x14ac:dyDescent="0.25">
      <c r="A1214" t="s">
        <v>1234</v>
      </c>
      <c r="B1214" s="1">
        <v>45345</v>
      </c>
      <c r="C1214" t="s">
        <v>13</v>
      </c>
      <c r="D1214">
        <v>89</v>
      </c>
      <c r="E1214" t="s">
        <v>14</v>
      </c>
      <c r="F1214">
        <v>14</v>
      </c>
      <c r="G1214" t="s">
        <v>23</v>
      </c>
      <c r="H1214">
        <v>2</v>
      </c>
      <c r="I1214">
        <v>26</v>
      </c>
      <c r="J1214">
        <v>0</v>
      </c>
      <c r="K1214" t="s">
        <v>17</v>
      </c>
      <c r="L1214" t="s">
        <v>17</v>
      </c>
      <c r="M1214">
        <f>IF(Table1[[#This Row],[ألغى الاشتراك]]="نعم",1,0)</f>
        <v>0</v>
      </c>
      <c r="N1214">
        <f>IF(Table1[[#This Row],[وسيلة الدفع]]="بطاقة",1,0)</f>
        <v>0</v>
      </c>
      <c r="O1214">
        <f>IF(Table1[[#This Row],[وسيلة الدفع]]="محفظة",1,0)</f>
        <v>0</v>
      </c>
      <c r="P1214">
        <f>IF(Table1[[#This Row],[وسيلة الدفع]]="تحويل",1,0)</f>
        <v>1</v>
      </c>
      <c r="Q1214">
        <f>IF(Table1[[#This Row],[حضر التهيئة]]="نعم",1,0)</f>
        <v>0</v>
      </c>
      <c r="R1214">
        <f>IF(Table1[[#This Row],[دورة الفوترة]]="شهري",1,0)</f>
        <v>1</v>
      </c>
    </row>
    <row r="1215" spans="1:18" x14ac:dyDescent="0.25">
      <c r="A1215" t="s">
        <v>1235</v>
      </c>
      <c r="B1215" s="1">
        <v>45842</v>
      </c>
      <c r="C1215" t="s">
        <v>28</v>
      </c>
      <c r="D1215">
        <v>39</v>
      </c>
      <c r="E1215" t="s">
        <v>20</v>
      </c>
      <c r="F1215">
        <v>9</v>
      </c>
      <c r="G1215" t="s">
        <v>21</v>
      </c>
      <c r="H1215">
        <v>2</v>
      </c>
      <c r="I1215">
        <v>9</v>
      </c>
      <c r="J1215">
        <v>0</v>
      </c>
      <c r="K1215" t="s">
        <v>16</v>
      </c>
      <c r="L1215" t="s">
        <v>17</v>
      </c>
      <c r="M1215">
        <f>IF(Table1[[#This Row],[ألغى الاشتراك]]="نعم",1,0)</f>
        <v>0</v>
      </c>
      <c r="N1215">
        <f>IF(Table1[[#This Row],[وسيلة الدفع]]="بطاقة",1,0)</f>
        <v>0</v>
      </c>
      <c r="O1215">
        <f>IF(Table1[[#This Row],[وسيلة الدفع]]="محفظة",1,0)</f>
        <v>1</v>
      </c>
      <c r="P1215">
        <f>IF(Table1[[#This Row],[وسيلة الدفع]]="تحويل",1,0)</f>
        <v>0</v>
      </c>
      <c r="Q1215">
        <f>IF(Table1[[#This Row],[حضر التهيئة]]="نعم",1,0)</f>
        <v>1</v>
      </c>
      <c r="R1215">
        <f>IF(Table1[[#This Row],[دورة الفوترة]]="شهري",1,0)</f>
        <v>0</v>
      </c>
    </row>
    <row r="1216" spans="1:18" x14ac:dyDescent="0.25">
      <c r="A1216" t="s">
        <v>1236</v>
      </c>
      <c r="B1216" s="1">
        <v>45671</v>
      </c>
      <c r="C1216" t="s">
        <v>28</v>
      </c>
      <c r="D1216">
        <v>39</v>
      </c>
      <c r="E1216" t="s">
        <v>14</v>
      </c>
      <c r="F1216">
        <v>30</v>
      </c>
      <c r="G1216" t="s">
        <v>23</v>
      </c>
      <c r="H1216">
        <v>3</v>
      </c>
      <c r="I1216">
        <v>46</v>
      </c>
      <c r="J1216">
        <v>5</v>
      </c>
      <c r="K1216" t="s">
        <v>16</v>
      </c>
      <c r="L1216" t="s">
        <v>17</v>
      </c>
      <c r="M1216">
        <f>IF(Table1[[#This Row],[ألغى الاشتراك]]="نعم",1,0)</f>
        <v>0</v>
      </c>
      <c r="N1216">
        <f>IF(Table1[[#This Row],[وسيلة الدفع]]="بطاقة",1,0)</f>
        <v>0</v>
      </c>
      <c r="O1216">
        <f>IF(Table1[[#This Row],[وسيلة الدفع]]="محفظة",1,0)</f>
        <v>0</v>
      </c>
      <c r="P1216">
        <f>IF(Table1[[#This Row],[وسيلة الدفع]]="تحويل",1,0)</f>
        <v>1</v>
      </c>
      <c r="Q1216">
        <f>IF(Table1[[#This Row],[حضر التهيئة]]="نعم",1,0)</f>
        <v>1</v>
      </c>
      <c r="R1216">
        <f>IF(Table1[[#This Row],[دورة الفوترة]]="شهري",1,0)</f>
        <v>1</v>
      </c>
    </row>
    <row r="1217" spans="1:18" x14ac:dyDescent="0.25">
      <c r="A1217" t="s">
        <v>1237</v>
      </c>
      <c r="B1217" s="1">
        <v>45337</v>
      </c>
      <c r="C1217" t="s">
        <v>28</v>
      </c>
      <c r="D1217">
        <v>39</v>
      </c>
      <c r="E1217" t="s">
        <v>20</v>
      </c>
      <c r="F1217">
        <v>30</v>
      </c>
      <c r="G1217" t="s">
        <v>15</v>
      </c>
      <c r="H1217">
        <v>2</v>
      </c>
      <c r="I1217">
        <v>8</v>
      </c>
      <c r="J1217">
        <v>0</v>
      </c>
      <c r="K1217" t="s">
        <v>16</v>
      </c>
      <c r="L1217" t="s">
        <v>17</v>
      </c>
      <c r="M1217">
        <f>IF(Table1[[#This Row],[ألغى الاشتراك]]="نعم",1,0)</f>
        <v>0</v>
      </c>
      <c r="N1217">
        <f>IF(Table1[[#This Row],[وسيلة الدفع]]="بطاقة",1,0)</f>
        <v>1</v>
      </c>
      <c r="O1217">
        <f>IF(Table1[[#This Row],[وسيلة الدفع]]="محفظة",1,0)</f>
        <v>0</v>
      </c>
      <c r="P1217">
        <f>IF(Table1[[#This Row],[وسيلة الدفع]]="تحويل",1,0)</f>
        <v>0</v>
      </c>
      <c r="Q1217">
        <f>IF(Table1[[#This Row],[حضر التهيئة]]="نعم",1,0)</f>
        <v>1</v>
      </c>
      <c r="R1217">
        <f>IF(Table1[[#This Row],[دورة الفوترة]]="شهري",1,0)</f>
        <v>0</v>
      </c>
    </row>
    <row r="1218" spans="1:18" x14ac:dyDescent="0.25">
      <c r="A1218" t="s">
        <v>1238</v>
      </c>
      <c r="B1218" s="1">
        <v>45973</v>
      </c>
      <c r="C1218" t="s">
        <v>28</v>
      </c>
      <c r="D1218">
        <v>39</v>
      </c>
      <c r="E1218" t="s">
        <v>14</v>
      </c>
      <c r="F1218">
        <v>9</v>
      </c>
      <c r="G1218" t="s">
        <v>23</v>
      </c>
      <c r="H1218">
        <v>0</v>
      </c>
      <c r="I1218">
        <v>51</v>
      </c>
      <c r="J1218">
        <v>0</v>
      </c>
      <c r="K1218" t="s">
        <v>16</v>
      </c>
      <c r="L1218" t="s">
        <v>17</v>
      </c>
      <c r="M1218">
        <f>IF(Table1[[#This Row],[ألغى الاشتراك]]="نعم",1,0)</f>
        <v>0</v>
      </c>
      <c r="N1218">
        <f>IF(Table1[[#This Row],[وسيلة الدفع]]="بطاقة",1,0)</f>
        <v>0</v>
      </c>
      <c r="O1218">
        <f>IF(Table1[[#This Row],[وسيلة الدفع]]="محفظة",1,0)</f>
        <v>0</v>
      </c>
      <c r="P1218">
        <f>IF(Table1[[#This Row],[وسيلة الدفع]]="تحويل",1,0)</f>
        <v>1</v>
      </c>
      <c r="Q1218">
        <f>IF(Table1[[#This Row],[حضر التهيئة]]="نعم",1,0)</f>
        <v>1</v>
      </c>
      <c r="R1218">
        <f>IF(Table1[[#This Row],[دورة الفوترة]]="شهري",1,0)</f>
        <v>1</v>
      </c>
    </row>
    <row r="1219" spans="1:18" x14ac:dyDescent="0.25">
      <c r="A1219" t="s">
        <v>1239</v>
      </c>
      <c r="B1219" s="1">
        <v>45791</v>
      </c>
      <c r="C1219" t="s">
        <v>19</v>
      </c>
      <c r="D1219">
        <v>189</v>
      </c>
      <c r="E1219" t="s">
        <v>14</v>
      </c>
      <c r="F1219">
        <v>20</v>
      </c>
      <c r="G1219" t="s">
        <v>23</v>
      </c>
      <c r="H1219">
        <v>1</v>
      </c>
      <c r="I1219">
        <v>14</v>
      </c>
      <c r="J1219">
        <v>5</v>
      </c>
      <c r="K1219" t="s">
        <v>16</v>
      </c>
      <c r="L1219" t="s">
        <v>17</v>
      </c>
      <c r="M1219">
        <f>IF(Table1[[#This Row],[ألغى الاشتراك]]="نعم",1,0)</f>
        <v>0</v>
      </c>
      <c r="N1219">
        <f>IF(Table1[[#This Row],[وسيلة الدفع]]="بطاقة",1,0)</f>
        <v>0</v>
      </c>
      <c r="O1219">
        <f>IF(Table1[[#This Row],[وسيلة الدفع]]="محفظة",1,0)</f>
        <v>0</v>
      </c>
      <c r="P1219">
        <f>IF(Table1[[#This Row],[وسيلة الدفع]]="تحويل",1,0)</f>
        <v>1</v>
      </c>
      <c r="Q1219">
        <f>IF(Table1[[#This Row],[حضر التهيئة]]="نعم",1,0)</f>
        <v>1</v>
      </c>
      <c r="R1219">
        <f>IF(Table1[[#This Row],[دورة الفوترة]]="شهري",1,0)</f>
        <v>1</v>
      </c>
    </row>
    <row r="1220" spans="1:18" x14ac:dyDescent="0.25">
      <c r="A1220" t="s">
        <v>1240</v>
      </c>
      <c r="B1220" s="1">
        <v>45973</v>
      </c>
      <c r="C1220" t="s">
        <v>28</v>
      </c>
      <c r="D1220">
        <v>39</v>
      </c>
      <c r="E1220" t="s">
        <v>14</v>
      </c>
      <c r="F1220">
        <v>14</v>
      </c>
      <c r="G1220" t="s">
        <v>15</v>
      </c>
      <c r="H1220">
        <v>0</v>
      </c>
      <c r="I1220">
        <v>14</v>
      </c>
      <c r="J1220">
        <v>15</v>
      </c>
      <c r="K1220" t="s">
        <v>16</v>
      </c>
      <c r="L1220" t="s">
        <v>17</v>
      </c>
      <c r="M1220">
        <f>IF(Table1[[#This Row],[ألغى الاشتراك]]="نعم",1,0)</f>
        <v>0</v>
      </c>
      <c r="N1220">
        <f>IF(Table1[[#This Row],[وسيلة الدفع]]="بطاقة",1,0)</f>
        <v>1</v>
      </c>
      <c r="O1220">
        <f>IF(Table1[[#This Row],[وسيلة الدفع]]="محفظة",1,0)</f>
        <v>0</v>
      </c>
      <c r="P1220">
        <f>IF(Table1[[#This Row],[وسيلة الدفع]]="تحويل",1,0)</f>
        <v>0</v>
      </c>
      <c r="Q1220">
        <f>IF(Table1[[#This Row],[حضر التهيئة]]="نعم",1,0)</f>
        <v>1</v>
      </c>
      <c r="R1220">
        <f>IF(Table1[[#This Row],[دورة الفوترة]]="شهري",1,0)</f>
        <v>1</v>
      </c>
    </row>
    <row r="1221" spans="1:18" x14ac:dyDescent="0.25">
      <c r="A1221" t="s">
        <v>1241</v>
      </c>
      <c r="B1221" s="1">
        <v>45383</v>
      </c>
      <c r="C1221" t="s">
        <v>19</v>
      </c>
      <c r="D1221">
        <v>189</v>
      </c>
      <c r="E1221" t="s">
        <v>14</v>
      </c>
      <c r="F1221">
        <v>4</v>
      </c>
      <c r="G1221" t="s">
        <v>21</v>
      </c>
      <c r="H1221">
        <v>0</v>
      </c>
      <c r="I1221">
        <v>54</v>
      </c>
      <c r="J1221">
        <v>0</v>
      </c>
      <c r="K1221" t="s">
        <v>16</v>
      </c>
      <c r="L1221" t="s">
        <v>17</v>
      </c>
      <c r="M1221">
        <f>IF(Table1[[#This Row],[ألغى الاشتراك]]="نعم",1,0)</f>
        <v>0</v>
      </c>
      <c r="N1221">
        <f>IF(Table1[[#This Row],[وسيلة الدفع]]="بطاقة",1,0)</f>
        <v>0</v>
      </c>
      <c r="O1221">
        <f>IF(Table1[[#This Row],[وسيلة الدفع]]="محفظة",1,0)</f>
        <v>1</v>
      </c>
      <c r="P1221">
        <f>IF(Table1[[#This Row],[وسيلة الدفع]]="تحويل",1,0)</f>
        <v>0</v>
      </c>
      <c r="Q1221">
        <f>IF(Table1[[#This Row],[حضر التهيئة]]="نعم",1,0)</f>
        <v>1</v>
      </c>
      <c r="R1221">
        <f>IF(Table1[[#This Row],[دورة الفوترة]]="شهري",1,0)</f>
        <v>1</v>
      </c>
    </row>
    <row r="1222" spans="1:18" x14ac:dyDescent="0.25">
      <c r="A1222" t="s">
        <v>1242</v>
      </c>
      <c r="B1222" s="1">
        <v>45791</v>
      </c>
      <c r="C1222" t="s">
        <v>13</v>
      </c>
      <c r="D1222">
        <v>89</v>
      </c>
      <c r="E1222" t="s">
        <v>14</v>
      </c>
      <c r="F1222">
        <v>9</v>
      </c>
      <c r="G1222" t="s">
        <v>21</v>
      </c>
      <c r="H1222">
        <v>4</v>
      </c>
      <c r="I1222">
        <v>49</v>
      </c>
      <c r="J1222">
        <v>0</v>
      </c>
      <c r="K1222" t="s">
        <v>16</v>
      </c>
      <c r="L1222" t="s">
        <v>17</v>
      </c>
      <c r="M1222">
        <f>IF(Table1[[#This Row],[ألغى الاشتراك]]="نعم",1,0)</f>
        <v>0</v>
      </c>
      <c r="N1222">
        <f>IF(Table1[[#This Row],[وسيلة الدفع]]="بطاقة",1,0)</f>
        <v>0</v>
      </c>
      <c r="O1222">
        <f>IF(Table1[[#This Row],[وسيلة الدفع]]="محفظة",1,0)</f>
        <v>1</v>
      </c>
      <c r="P1222">
        <f>IF(Table1[[#This Row],[وسيلة الدفع]]="تحويل",1,0)</f>
        <v>0</v>
      </c>
      <c r="Q1222">
        <f>IF(Table1[[#This Row],[حضر التهيئة]]="نعم",1,0)</f>
        <v>1</v>
      </c>
      <c r="R1222">
        <f>IF(Table1[[#This Row],[دورة الفوترة]]="شهري",1,0)</f>
        <v>1</v>
      </c>
    </row>
    <row r="1223" spans="1:18" x14ac:dyDescent="0.25">
      <c r="A1223" t="s">
        <v>1243</v>
      </c>
      <c r="B1223" s="1">
        <v>45568</v>
      </c>
      <c r="C1223" t="s">
        <v>13</v>
      </c>
      <c r="D1223">
        <v>89</v>
      </c>
      <c r="E1223" t="s">
        <v>20</v>
      </c>
      <c r="F1223">
        <v>6</v>
      </c>
      <c r="G1223" t="s">
        <v>15</v>
      </c>
      <c r="H1223">
        <v>1</v>
      </c>
      <c r="I1223">
        <v>46</v>
      </c>
      <c r="J1223">
        <v>0</v>
      </c>
      <c r="K1223" t="s">
        <v>17</v>
      </c>
      <c r="L1223" t="s">
        <v>17</v>
      </c>
      <c r="M1223">
        <f>IF(Table1[[#This Row],[ألغى الاشتراك]]="نعم",1,0)</f>
        <v>0</v>
      </c>
      <c r="N1223">
        <f>IF(Table1[[#This Row],[وسيلة الدفع]]="بطاقة",1,0)</f>
        <v>1</v>
      </c>
      <c r="O1223">
        <f>IF(Table1[[#This Row],[وسيلة الدفع]]="محفظة",1,0)</f>
        <v>0</v>
      </c>
      <c r="P1223">
        <f>IF(Table1[[#This Row],[وسيلة الدفع]]="تحويل",1,0)</f>
        <v>0</v>
      </c>
      <c r="Q1223">
        <f>IF(Table1[[#This Row],[حضر التهيئة]]="نعم",1,0)</f>
        <v>0</v>
      </c>
      <c r="R1223">
        <f>IF(Table1[[#This Row],[دورة الفوترة]]="شهري",1,0)</f>
        <v>0</v>
      </c>
    </row>
    <row r="1224" spans="1:18" x14ac:dyDescent="0.25">
      <c r="A1224" t="s">
        <v>1244</v>
      </c>
      <c r="B1224" s="1">
        <v>45509</v>
      </c>
      <c r="C1224" t="s">
        <v>19</v>
      </c>
      <c r="D1224">
        <v>189</v>
      </c>
      <c r="E1224" t="s">
        <v>20</v>
      </c>
      <c r="F1224">
        <v>29</v>
      </c>
      <c r="G1224" t="s">
        <v>21</v>
      </c>
      <c r="H1224">
        <v>2</v>
      </c>
      <c r="I1224">
        <v>41</v>
      </c>
      <c r="J1224">
        <v>25</v>
      </c>
      <c r="K1224" t="s">
        <v>16</v>
      </c>
      <c r="L1224" t="s">
        <v>17</v>
      </c>
      <c r="M1224">
        <f>IF(Table1[[#This Row],[ألغى الاشتراك]]="نعم",1,0)</f>
        <v>0</v>
      </c>
      <c r="N1224">
        <f>IF(Table1[[#This Row],[وسيلة الدفع]]="بطاقة",1,0)</f>
        <v>0</v>
      </c>
      <c r="O1224">
        <f>IF(Table1[[#This Row],[وسيلة الدفع]]="محفظة",1,0)</f>
        <v>1</v>
      </c>
      <c r="P1224">
        <f>IF(Table1[[#This Row],[وسيلة الدفع]]="تحويل",1,0)</f>
        <v>0</v>
      </c>
      <c r="Q1224">
        <f>IF(Table1[[#This Row],[حضر التهيئة]]="نعم",1,0)</f>
        <v>1</v>
      </c>
      <c r="R1224">
        <f>IF(Table1[[#This Row],[دورة الفوترة]]="شهري",1,0)</f>
        <v>0</v>
      </c>
    </row>
    <row r="1225" spans="1:18" x14ac:dyDescent="0.25">
      <c r="A1225" t="s">
        <v>1245</v>
      </c>
      <c r="B1225" s="1">
        <v>45922</v>
      </c>
      <c r="C1225" t="s">
        <v>19</v>
      </c>
      <c r="D1225">
        <v>189</v>
      </c>
      <c r="E1225" t="s">
        <v>14</v>
      </c>
      <c r="F1225">
        <v>7</v>
      </c>
      <c r="G1225" t="s">
        <v>21</v>
      </c>
      <c r="H1225">
        <v>8</v>
      </c>
      <c r="I1225">
        <v>17</v>
      </c>
      <c r="J1225">
        <v>0</v>
      </c>
      <c r="K1225" t="s">
        <v>16</v>
      </c>
      <c r="L1225" t="s">
        <v>17</v>
      </c>
      <c r="M1225">
        <f>IF(Table1[[#This Row],[ألغى الاشتراك]]="نعم",1,0)</f>
        <v>0</v>
      </c>
      <c r="N1225">
        <f>IF(Table1[[#This Row],[وسيلة الدفع]]="بطاقة",1,0)</f>
        <v>0</v>
      </c>
      <c r="O1225">
        <f>IF(Table1[[#This Row],[وسيلة الدفع]]="محفظة",1,0)</f>
        <v>1</v>
      </c>
      <c r="P1225">
        <f>IF(Table1[[#This Row],[وسيلة الدفع]]="تحويل",1,0)</f>
        <v>0</v>
      </c>
      <c r="Q1225">
        <f>IF(Table1[[#This Row],[حضر التهيئة]]="نعم",1,0)</f>
        <v>1</v>
      </c>
      <c r="R1225">
        <f>IF(Table1[[#This Row],[دورة الفوترة]]="شهري",1,0)</f>
        <v>1</v>
      </c>
    </row>
    <row r="1226" spans="1:18" x14ac:dyDescent="0.25">
      <c r="A1226" t="s">
        <v>1246</v>
      </c>
      <c r="B1226" s="1">
        <v>45325</v>
      </c>
      <c r="C1226" t="s">
        <v>28</v>
      </c>
      <c r="D1226">
        <v>39</v>
      </c>
      <c r="E1226" t="s">
        <v>14</v>
      </c>
      <c r="F1226">
        <v>8</v>
      </c>
      <c r="G1226" t="s">
        <v>21</v>
      </c>
      <c r="H1226">
        <v>2</v>
      </c>
      <c r="I1226">
        <v>58</v>
      </c>
      <c r="J1226">
        <v>0</v>
      </c>
      <c r="K1226" t="s">
        <v>16</v>
      </c>
      <c r="L1226" t="s">
        <v>17</v>
      </c>
      <c r="M1226">
        <f>IF(Table1[[#This Row],[ألغى الاشتراك]]="نعم",1,0)</f>
        <v>0</v>
      </c>
      <c r="N1226">
        <f>IF(Table1[[#This Row],[وسيلة الدفع]]="بطاقة",1,0)</f>
        <v>0</v>
      </c>
      <c r="O1226">
        <f>IF(Table1[[#This Row],[وسيلة الدفع]]="محفظة",1,0)</f>
        <v>1</v>
      </c>
      <c r="P1226">
        <f>IF(Table1[[#This Row],[وسيلة الدفع]]="تحويل",1,0)</f>
        <v>0</v>
      </c>
      <c r="Q1226">
        <f>IF(Table1[[#This Row],[حضر التهيئة]]="نعم",1,0)</f>
        <v>1</v>
      </c>
      <c r="R1226">
        <f>IF(Table1[[#This Row],[دورة الفوترة]]="شهري",1,0)</f>
        <v>1</v>
      </c>
    </row>
    <row r="1227" spans="1:18" x14ac:dyDescent="0.25">
      <c r="A1227" t="s">
        <v>1247</v>
      </c>
      <c r="B1227" s="1">
        <v>45744</v>
      </c>
      <c r="C1227" t="s">
        <v>19</v>
      </c>
      <c r="D1227">
        <v>189</v>
      </c>
      <c r="E1227" t="s">
        <v>14</v>
      </c>
      <c r="F1227">
        <v>1</v>
      </c>
      <c r="G1227" t="s">
        <v>21</v>
      </c>
      <c r="H1227">
        <v>0</v>
      </c>
      <c r="I1227">
        <v>15</v>
      </c>
      <c r="J1227">
        <v>0</v>
      </c>
      <c r="K1227" t="s">
        <v>16</v>
      </c>
      <c r="L1227" t="s">
        <v>17</v>
      </c>
      <c r="M1227">
        <f>IF(Table1[[#This Row],[ألغى الاشتراك]]="نعم",1,0)</f>
        <v>0</v>
      </c>
      <c r="N1227">
        <f>IF(Table1[[#This Row],[وسيلة الدفع]]="بطاقة",1,0)</f>
        <v>0</v>
      </c>
      <c r="O1227">
        <f>IF(Table1[[#This Row],[وسيلة الدفع]]="محفظة",1,0)</f>
        <v>1</v>
      </c>
      <c r="P1227">
        <f>IF(Table1[[#This Row],[وسيلة الدفع]]="تحويل",1,0)</f>
        <v>0</v>
      </c>
      <c r="Q1227">
        <f>IF(Table1[[#This Row],[حضر التهيئة]]="نعم",1,0)</f>
        <v>1</v>
      </c>
      <c r="R1227">
        <f>IF(Table1[[#This Row],[دورة الفوترة]]="شهري",1,0)</f>
        <v>1</v>
      </c>
    </row>
    <row r="1228" spans="1:18" x14ac:dyDescent="0.25">
      <c r="A1228" t="s">
        <v>1248</v>
      </c>
      <c r="B1228" s="1">
        <v>45627</v>
      </c>
      <c r="C1228" t="s">
        <v>28</v>
      </c>
      <c r="D1228">
        <v>39</v>
      </c>
      <c r="E1228" t="s">
        <v>20</v>
      </c>
      <c r="F1228">
        <v>28</v>
      </c>
      <c r="G1228" t="s">
        <v>15</v>
      </c>
      <c r="H1228">
        <v>0</v>
      </c>
      <c r="I1228">
        <v>12</v>
      </c>
      <c r="J1228">
        <v>0</v>
      </c>
      <c r="K1228" t="s">
        <v>16</v>
      </c>
      <c r="L1228" t="s">
        <v>17</v>
      </c>
      <c r="M1228">
        <f>IF(Table1[[#This Row],[ألغى الاشتراك]]="نعم",1,0)</f>
        <v>0</v>
      </c>
      <c r="N1228">
        <f>IF(Table1[[#This Row],[وسيلة الدفع]]="بطاقة",1,0)</f>
        <v>1</v>
      </c>
      <c r="O1228">
        <f>IF(Table1[[#This Row],[وسيلة الدفع]]="محفظة",1,0)</f>
        <v>0</v>
      </c>
      <c r="P1228">
        <f>IF(Table1[[#This Row],[وسيلة الدفع]]="تحويل",1,0)</f>
        <v>0</v>
      </c>
      <c r="Q1228">
        <f>IF(Table1[[#This Row],[حضر التهيئة]]="نعم",1,0)</f>
        <v>1</v>
      </c>
      <c r="R1228">
        <f>IF(Table1[[#This Row],[دورة الفوترة]]="شهري",1,0)</f>
        <v>0</v>
      </c>
    </row>
    <row r="1229" spans="1:18" x14ac:dyDescent="0.25">
      <c r="A1229" t="s">
        <v>1249</v>
      </c>
      <c r="B1229" s="1">
        <v>45659</v>
      </c>
      <c r="C1229" t="s">
        <v>19</v>
      </c>
      <c r="D1229">
        <v>189</v>
      </c>
      <c r="E1229" t="s">
        <v>20</v>
      </c>
      <c r="F1229">
        <v>11</v>
      </c>
      <c r="G1229" t="s">
        <v>15</v>
      </c>
      <c r="H1229">
        <v>6</v>
      </c>
      <c r="I1229">
        <v>11</v>
      </c>
      <c r="J1229">
        <v>0</v>
      </c>
      <c r="K1229" t="s">
        <v>16</v>
      </c>
      <c r="L1229" t="s">
        <v>17</v>
      </c>
      <c r="M1229">
        <f>IF(Table1[[#This Row],[ألغى الاشتراك]]="نعم",1,0)</f>
        <v>0</v>
      </c>
      <c r="N1229">
        <f>IF(Table1[[#This Row],[وسيلة الدفع]]="بطاقة",1,0)</f>
        <v>1</v>
      </c>
      <c r="O1229">
        <f>IF(Table1[[#This Row],[وسيلة الدفع]]="محفظة",1,0)</f>
        <v>0</v>
      </c>
      <c r="P1229">
        <f>IF(Table1[[#This Row],[وسيلة الدفع]]="تحويل",1,0)</f>
        <v>0</v>
      </c>
      <c r="Q1229">
        <f>IF(Table1[[#This Row],[حضر التهيئة]]="نعم",1,0)</f>
        <v>1</v>
      </c>
      <c r="R1229">
        <f>IF(Table1[[#This Row],[دورة الفوترة]]="شهري",1,0)</f>
        <v>0</v>
      </c>
    </row>
    <row r="1230" spans="1:18" x14ac:dyDescent="0.25">
      <c r="A1230" t="s">
        <v>1250</v>
      </c>
      <c r="B1230" s="1">
        <v>45341</v>
      </c>
      <c r="C1230" t="s">
        <v>13</v>
      </c>
      <c r="D1230">
        <v>89</v>
      </c>
      <c r="E1230" t="s">
        <v>20</v>
      </c>
      <c r="F1230">
        <v>14</v>
      </c>
      <c r="G1230" t="s">
        <v>23</v>
      </c>
      <c r="H1230">
        <v>8</v>
      </c>
      <c r="I1230">
        <v>36</v>
      </c>
      <c r="J1230">
        <v>0</v>
      </c>
      <c r="K1230" t="s">
        <v>16</v>
      </c>
      <c r="L1230" t="s">
        <v>17</v>
      </c>
      <c r="M1230">
        <f>IF(Table1[[#This Row],[ألغى الاشتراك]]="نعم",1,0)</f>
        <v>0</v>
      </c>
      <c r="N1230">
        <f>IF(Table1[[#This Row],[وسيلة الدفع]]="بطاقة",1,0)</f>
        <v>0</v>
      </c>
      <c r="O1230">
        <f>IF(Table1[[#This Row],[وسيلة الدفع]]="محفظة",1,0)</f>
        <v>0</v>
      </c>
      <c r="P1230">
        <f>IF(Table1[[#This Row],[وسيلة الدفع]]="تحويل",1,0)</f>
        <v>1</v>
      </c>
      <c r="Q1230">
        <f>IF(Table1[[#This Row],[حضر التهيئة]]="نعم",1,0)</f>
        <v>1</v>
      </c>
      <c r="R1230">
        <f>IF(Table1[[#This Row],[دورة الفوترة]]="شهري",1,0)</f>
        <v>0</v>
      </c>
    </row>
    <row r="1231" spans="1:18" x14ac:dyDescent="0.25">
      <c r="A1231" t="s">
        <v>1251</v>
      </c>
      <c r="B1231" s="1">
        <v>45850</v>
      </c>
      <c r="C1231" t="s">
        <v>19</v>
      </c>
      <c r="D1231">
        <v>189</v>
      </c>
      <c r="E1231" t="s">
        <v>14</v>
      </c>
      <c r="F1231">
        <v>25</v>
      </c>
      <c r="G1231" t="s">
        <v>23</v>
      </c>
      <c r="H1231">
        <v>0</v>
      </c>
      <c r="I1231">
        <v>21</v>
      </c>
      <c r="J1231">
        <v>0</v>
      </c>
      <c r="K1231" t="s">
        <v>17</v>
      </c>
      <c r="L1231" t="s">
        <v>17</v>
      </c>
      <c r="M1231">
        <f>IF(Table1[[#This Row],[ألغى الاشتراك]]="نعم",1,0)</f>
        <v>0</v>
      </c>
      <c r="N1231">
        <f>IF(Table1[[#This Row],[وسيلة الدفع]]="بطاقة",1,0)</f>
        <v>0</v>
      </c>
      <c r="O1231">
        <f>IF(Table1[[#This Row],[وسيلة الدفع]]="محفظة",1,0)</f>
        <v>0</v>
      </c>
      <c r="P1231">
        <f>IF(Table1[[#This Row],[وسيلة الدفع]]="تحويل",1,0)</f>
        <v>1</v>
      </c>
      <c r="Q1231">
        <f>IF(Table1[[#This Row],[حضر التهيئة]]="نعم",1,0)</f>
        <v>0</v>
      </c>
      <c r="R1231">
        <f>IF(Table1[[#This Row],[دورة الفوترة]]="شهري",1,0)</f>
        <v>1</v>
      </c>
    </row>
    <row r="1232" spans="1:18" x14ac:dyDescent="0.25">
      <c r="A1232" t="s">
        <v>1252</v>
      </c>
      <c r="B1232" s="1">
        <v>45403</v>
      </c>
      <c r="C1232" t="s">
        <v>13</v>
      </c>
      <c r="D1232">
        <v>89</v>
      </c>
      <c r="E1232" t="s">
        <v>14</v>
      </c>
      <c r="F1232">
        <v>20</v>
      </c>
      <c r="G1232" t="s">
        <v>21</v>
      </c>
      <c r="H1232">
        <v>9</v>
      </c>
      <c r="I1232">
        <v>34</v>
      </c>
      <c r="J1232">
        <v>0</v>
      </c>
      <c r="K1232" t="s">
        <v>16</v>
      </c>
      <c r="L1232" t="s">
        <v>17</v>
      </c>
      <c r="M1232">
        <f>IF(Table1[[#This Row],[ألغى الاشتراك]]="نعم",1,0)</f>
        <v>0</v>
      </c>
      <c r="N1232">
        <f>IF(Table1[[#This Row],[وسيلة الدفع]]="بطاقة",1,0)</f>
        <v>0</v>
      </c>
      <c r="O1232">
        <f>IF(Table1[[#This Row],[وسيلة الدفع]]="محفظة",1,0)</f>
        <v>1</v>
      </c>
      <c r="P1232">
        <f>IF(Table1[[#This Row],[وسيلة الدفع]]="تحويل",1,0)</f>
        <v>0</v>
      </c>
      <c r="Q1232">
        <f>IF(Table1[[#This Row],[حضر التهيئة]]="نعم",1,0)</f>
        <v>1</v>
      </c>
      <c r="R1232">
        <f>IF(Table1[[#This Row],[دورة الفوترة]]="شهري",1,0)</f>
        <v>1</v>
      </c>
    </row>
    <row r="1233" spans="1:18" x14ac:dyDescent="0.25">
      <c r="A1233" t="s">
        <v>1253</v>
      </c>
      <c r="B1233" s="1">
        <v>45450</v>
      </c>
      <c r="C1233" t="s">
        <v>13</v>
      </c>
      <c r="D1233">
        <v>89</v>
      </c>
      <c r="E1233" t="s">
        <v>14</v>
      </c>
      <c r="F1233">
        <v>21</v>
      </c>
      <c r="G1233" t="s">
        <v>23</v>
      </c>
      <c r="H1233">
        <v>8</v>
      </c>
      <c r="I1233">
        <v>21</v>
      </c>
      <c r="J1233">
        <v>10</v>
      </c>
      <c r="K1233" t="s">
        <v>17</v>
      </c>
      <c r="L1233" t="s">
        <v>17</v>
      </c>
      <c r="M1233">
        <f>IF(Table1[[#This Row],[ألغى الاشتراك]]="نعم",1,0)</f>
        <v>0</v>
      </c>
      <c r="N1233">
        <f>IF(Table1[[#This Row],[وسيلة الدفع]]="بطاقة",1,0)</f>
        <v>0</v>
      </c>
      <c r="O1233">
        <f>IF(Table1[[#This Row],[وسيلة الدفع]]="محفظة",1,0)</f>
        <v>0</v>
      </c>
      <c r="P1233">
        <f>IF(Table1[[#This Row],[وسيلة الدفع]]="تحويل",1,0)</f>
        <v>1</v>
      </c>
      <c r="Q1233">
        <f>IF(Table1[[#This Row],[حضر التهيئة]]="نعم",1,0)</f>
        <v>0</v>
      </c>
      <c r="R1233">
        <f>IF(Table1[[#This Row],[دورة الفوترة]]="شهري",1,0)</f>
        <v>1</v>
      </c>
    </row>
    <row r="1234" spans="1:18" x14ac:dyDescent="0.25">
      <c r="A1234" t="s">
        <v>1254</v>
      </c>
      <c r="B1234" s="1">
        <v>45969</v>
      </c>
      <c r="C1234" t="s">
        <v>19</v>
      </c>
      <c r="D1234">
        <v>189</v>
      </c>
      <c r="E1234" t="s">
        <v>20</v>
      </c>
      <c r="F1234">
        <v>21</v>
      </c>
      <c r="G1234" t="s">
        <v>23</v>
      </c>
      <c r="H1234">
        <v>0</v>
      </c>
      <c r="I1234">
        <v>39</v>
      </c>
      <c r="J1234">
        <v>0</v>
      </c>
      <c r="K1234" t="s">
        <v>16</v>
      </c>
      <c r="L1234" t="s">
        <v>17</v>
      </c>
      <c r="M1234">
        <f>IF(Table1[[#This Row],[ألغى الاشتراك]]="نعم",1,0)</f>
        <v>0</v>
      </c>
      <c r="N1234">
        <f>IF(Table1[[#This Row],[وسيلة الدفع]]="بطاقة",1,0)</f>
        <v>0</v>
      </c>
      <c r="O1234">
        <f>IF(Table1[[#This Row],[وسيلة الدفع]]="محفظة",1,0)</f>
        <v>0</v>
      </c>
      <c r="P1234">
        <f>IF(Table1[[#This Row],[وسيلة الدفع]]="تحويل",1,0)</f>
        <v>1</v>
      </c>
      <c r="Q1234">
        <f>IF(Table1[[#This Row],[حضر التهيئة]]="نعم",1,0)</f>
        <v>1</v>
      </c>
      <c r="R1234">
        <f>IF(Table1[[#This Row],[دورة الفوترة]]="شهري",1,0)</f>
        <v>0</v>
      </c>
    </row>
    <row r="1235" spans="1:18" x14ac:dyDescent="0.25">
      <c r="A1235" t="s">
        <v>1255</v>
      </c>
      <c r="B1235" s="1">
        <v>45517</v>
      </c>
      <c r="C1235" t="s">
        <v>19</v>
      </c>
      <c r="D1235">
        <v>189</v>
      </c>
      <c r="E1235" t="s">
        <v>20</v>
      </c>
      <c r="F1235">
        <v>22</v>
      </c>
      <c r="G1235" t="s">
        <v>15</v>
      </c>
      <c r="H1235">
        <v>1</v>
      </c>
      <c r="I1235">
        <v>30</v>
      </c>
      <c r="J1235">
        <v>0</v>
      </c>
      <c r="K1235" t="s">
        <v>16</v>
      </c>
      <c r="L1235" t="s">
        <v>17</v>
      </c>
      <c r="M1235">
        <f>IF(Table1[[#This Row],[ألغى الاشتراك]]="نعم",1,0)</f>
        <v>0</v>
      </c>
      <c r="N1235">
        <f>IF(Table1[[#This Row],[وسيلة الدفع]]="بطاقة",1,0)</f>
        <v>1</v>
      </c>
      <c r="O1235">
        <f>IF(Table1[[#This Row],[وسيلة الدفع]]="محفظة",1,0)</f>
        <v>0</v>
      </c>
      <c r="P1235">
        <f>IF(Table1[[#This Row],[وسيلة الدفع]]="تحويل",1,0)</f>
        <v>0</v>
      </c>
      <c r="Q1235">
        <f>IF(Table1[[#This Row],[حضر التهيئة]]="نعم",1,0)</f>
        <v>1</v>
      </c>
      <c r="R1235">
        <f>IF(Table1[[#This Row],[دورة الفوترة]]="شهري",1,0)</f>
        <v>0</v>
      </c>
    </row>
    <row r="1236" spans="1:18" x14ac:dyDescent="0.25">
      <c r="A1236" t="s">
        <v>1256</v>
      </c>
      <c r="B1236" s="1">
        <v>45783</v>
      </c>
      <c r="C1236" t="s">
        <v>13</v>
      </c>
      <c r="D1236">
        <v>89</v>
      </c>
      <c r="E1236" t="s">
        <v>14</v>
      </c>
      <c r="F1236">
        <v>21</v>
      </c>
      <c r="G1236" t="s">
        <v>23</v>
      </c>
      <c r="H1236">
        <v>11</v>
      </c>
      <c r="I1236">
        <v>19</v>
      </c>
      <c r="J1236">
        <v>0</v>
      </c>
      <c r="K1236" t="s">
        <v>16</v>
      </c>
      <c r="L1236" t="s">
        <v>17</v>
      </c>
      <c r="M1236">
        <f>IF(Table1[[#This Row],[ألغى الاشتراك]]="نعم",1,0)</f>
        <v>0</v>
      </c>
      <c r="N1236">
        <f>IF(Table1[[#This Row],[وسيلة الدفع]]="بطاقة",1,0)</f>
        <v>0</v>
      </c>
      <c r="O1236">
        <f>IF(Table1[[#This Row],[وسيلة الدفع]]="محفظة",1,0)</f>
        <v>0</v>
      </c>
      <c r="P1236">
        <f>IF(Table1[[#This Row],[وسيلة الدفع]]="تحويل",1,0)</f>
        <v>1</v>
      </c>
      <c r="Q1236">
        <f>IF(Table1[[#This Row],[حضر التهيئة]]="نعم",1,0)</f>
        <v>1</v>
      </c>
      <c r="R1236">
        <f>IF(Table1[[#This Row],[دورة الفوترة]]="شهري",1,0)</f>
        <v>1</v>
      </c>
    </row>
    <row r="1237" spans="1:18" x14ac:dyDescent="0.25">
      <c r="A1237" t="s">
        <v>1257</v>
      </c>
      <c r="B1237" s="1">
        <v>45580</v>
      </c>
      <c r="C1237" t="s">
        <v>28</v>
      </c>
      <c r="D1237">
        <v>39</v>
      </c>
      <c r="E1237" t="s">
        <v>14</v>
      </c>
      <c r="F1237">
        <v>6</v>
      </c>
      <c r="G1237" t="s">
        <v>21</v>
      </c>
      <c r="H1237">
        <v>2</v>
      </c>
      <c r="I1237">
        <v>50</v>
      </c>
      <c r="J1237">
        <v>0</v>
      </c>
      <c r="K1237" t="s">
        <v>16</v>
      </c>
      <c r="L1237" t="s">
        <v>17</v>
      </c>
      <c r="M1237">
        <f>IF(Table1[[#This Row],[ألغى الاشتراك]]="نعم",1,0)</f>
        <v>0</v>
      </c>
      <c r="N1237">
        <f>IF(Table1[[#This Row],[وسيلة الدفع]]="بطاقة",1,0)</f>
        <v>0</v>
      </c>
      <c r="O1237">
        <f>IF(Table1[[#This Row],[وسيلة الدفع]]="محفظة",1,0)</f>
        <v>1</v>
      </c>
      <c r="P1237">
        <f>IF(Table1[[#This Row],[وسيلة الدفع]]="تحويل",1,0)</f>
        <v>0</v>
      </c>
      <c r="Q1237">
        <f>IF(Table1[[#This Row],[حضر التهيئة]]="نعم",1,0)</f>
        <v>1</v>
      </c>
      <c r="R1237">
        <f>IF(Table1[[#This Row],[دورة الفوترة]]="شهري",1,0)</f>
        <v>1</v>
      </c>
    </row>
    <row r="1238" spans="1:18" x14ac:dyDescent="0.25">
      <c r="A1238" t="s">
        <v>1258</v>
      </c>
      <c r="B1238" s="1">
        <v>45989</v>
      </c>
      <c r="C1238" t="s">
        <v>28</v>
      </c>
      <c r="D1238">
        <v>39</v>
      </c>
      <c r="E1238" t="s">
        <v>20</v>
      </c>
      <c r="F1238">
        <v>25</v>
      </c>
      <c r="G1238" t="s">
        <v>21</v>
      </c>
      <c r="H1238">
        <v>1</v>
      </c>
      <c r="I1238">
        <v>9</v>
      </c>
      <c r="J1238">
        <v>0</v>
      </c>
      <c r="K1238" t="s">
        <v>16</v>
      </c>
      <c r="L1238" t="s">
        <v>17</v>
      </c>
      <c r="M1238">
        <f>IF(Table1[[#This Row],[ألغى الاشتراك]]="نعم",1,0)</f>
        <v>0</v>
      </c>
      <c r="N1238">
        <f>IF(Table1[[#This Row],[وسيلة الدفع]]="بطاقة",1,0)</f>
        <v>0</v>
      </c>
      <c r="O1238">
        <f>IF(Table1[[#This Row],[وسيلة الدفع]]="محفظة",1,0)</f>
        <v>1</v>
      </c>
      <c r="P1238">
        <f>IF(Table1[[#This Row],[وسيلة الدفع]]="تحويل",1,0)</f>
        <v>0</v>
      </c>
      <c r="Q1238">
        <f>IF(Table1[[#This Row],[حضر التهيئة]]="نعم",1,0)</f>
        <v>1</v>
      </c>
      <c r="R1238">
        <f>IF(Table1[[#This Row],[دورة الفوترة]]="شهري",1,0)</f>
        <v>0</v>
      </c>
    </row>
    <row r="1239" spans="1:18" x14ac:dyDescent="0.25">
      <c r="A1239" t="s">
        <v>1259</v>
      </c>
      <c r="B1239" s="1">
        <v>45513</v>
      </c>
      <c r="C1239" t="s">
        <v>28</v>
      </c>
      <c r="D1239">
        <v>39</v>
      </c>
      <c r="E1239" t="s">
        <v>14</v>
      </c>
      <c r="F1239">
        <v>8</v>
      </c>
      <c r="G1239" t="s">
        <v>23</v>
      </c>
      <c r="H1239">
        <v>0</v>
      </c>
      <c r="I1239">
        <v>48</v>
      </c>
      <c r="J1239">
        <v>0</v>
      </c>
      <c r="K1239" t="s">
        <v>16</v>
      </c>
      <c r="L1239" t="s">
        <v>17</v>
      </c>
      <c r="M1239">
        <f>IF(Table1[[#This Row],[ألغى الاشتراك]]="نعم",1,0)</f>
        <v>0</v>
      </c>
      <c r="N1239">
        <f>IF(Table1[[#This Row],[وسيلة الدفع]]="بطاقة",1,0)</f>
        <v>0</v>
      </c>
      <c r="O1239">
        <f>IF(Table1[[#This Row],[وسيلة الدفع]]="محفظة",1,0)</f>
        <v>0</v>
      </c>
      <c r="P1239">
        <f>IF(Table1[[#This Row],[وسيلة الدفع]]="تحويل",1,0)</f>
        <v>1</v>
      </c>
      <c r="Q1239">
        <f>IF(Table1[[#This Row],[حضر التهيئة]]="نعم",1,0)</f>
        <v>1</v>
      </c>
      <c r="R1239">
        <f>IF(Table1[[#This Row],[دورة الفوترة]]="شهري",1,0)</f>
        <v>1</v>
      </c>
    </row>
    <row r="1240" spans="1:18" x14ac:dyDescent="0.25">
      <c r="A1240" t="s">
        <v>1260</v>
      </c>
      <c r="B1240" s="1">
        <v>45341</v>
      </c>
      <c r="C1240" t="s">
        <v>13</v>
      </c>
      <c r="D1240">
        <v>89</v>
      </c>
      <c r="E1240" t="s">
        <v>20</v>
      </c>
      <c r="F1240">
        <v>25</v>
      </c>
      <c r="G1240" t="s">
        <v>23</v>
      </c>
      <c r="H1240">
        <v>0</v>
      </c>
      <c r="I1240">
        <v>11</v>
      </c>
      <c r="J1240">
        <v>10</v>
      </c>
      <c r="K1240" t="s">
        <v>16</v>
      </c>
      <c r="L1240" t="s">
        <v>17</v>
      </c>
      <c r="M1240">
        <f>IF(Table1[[#This Row],[ألغى الاشتراك]]="نعم",1,0)</f>
        <v>0</v>
      </c>
      <c r="N1240">
        <f>IF(Table1[[#This Row],[وسيلة الدفع]]="بطاقة",1,0)</f>
        <v>0</v>
      </c>
      <c r="O1240">
        <f>IF(Table1[[#This Row],[وسيلة الدفع]]="محفظة",1,0)</f>
        <v>0</v>
      </c>
      <c r="P1240">
        <f>IF(Table1[[#This Row],[وسيلة الدفع]]="تحويل",1,0)</f>
        <v>1</v>
      </c>
      <c r="Q1240">
        <f>IF(Table1[[#This Row],[حضر التهيئة]]="نعم",1,0)</f>
        <v>1</v>
      </c>
      <c r="R1240">
        <f>IF(Table1[[#This Row],[دورة الفوترة]]="شهري",1,0)</f>
        <v>0</v>
      </c>
    </row>
    <row r="1241" spans="1:18" x14ac:dyDescent="0.25">
      <c r="A1241" t="s">
        <v>1261</v>
      </c>
      <c r="B1241" s="1">
        <v>45862</v>
      </c>
      <c r="C1241" t="s">
        <v>13</v>
      </c>
      <c r="D1241">
        <v>89</v>
      </c>
      <c r="E1241" t="s">
        <v>14</v>
      </c>
      <c r="F1241">
        <v>25</v>
      </c>
      <c r="G1241" t="s">
        <v>23</v>
      </c>
      <c r="H1241">
        <v>0</v>
      </c>
      <c r="I1241">
        <v>45</v>
      </c>
      <c r="J1241">
        <v>0</v>
      </c>
      <c r="K1241" t="s">
        <v>16</v>
      </c>
      <c r="L1241" t="s">
        <v>17</v>
      </c>
      <c r="M1241">
        <f>IF(Table1[[#This Row],[ألغى الاشتراك]]="نعم",1,0)</f>
        <v>0</v>
      </c>
      <c r="N1241">
        <f>IF(Table1[[#This Row],[وسيلة الدفع]]="بطاقة",1,0)</f>
        <v>0</v>
      </c>
      <c r="O1241">
        <f>IF(Table1[[#This Row],[وسيلة الدفع]]="محفظة",1,0)</f>
        <v>0</v>
      </c>
      <c r="P1241">
        <f>IF(Table1[[#This Row],[وسيلة الدفع]]="تحويل",1,0)</f>
        <v>1</v>
      </c>
      <c r="Q1241">
        <f>IF(Table1[[#This Row],[حضر التهيئة]]="نعم",1,0)</f>
        <v>1</v>
      </c>
      <c r="R1241">
        <f>IF(Table1[[#This Row],[دورة الفوترة]]="شهري",1,0)</f>
        <v>1</v>
      </c>
    </row>
    <row r="1242" spans="1:18" x14ac:dyDescent="0.25">
      <c r="A1242" t="s">
        <v>1262</v>
      </c>
      <c r="B1242" s="1">
        <v>45787</v>
      </c>
      <c r="C1242" t="s">
        <v>13</v>
      </c>
      <c r="D1242">
        <v>89</v>
      </c>
      <c r="E1242" t="s">
        <v>14</v>
      </c>
      <c r="F1242">
        <v>10</v>
      </c>
      <c r="G1242" t="s">
        <v>15</v>
      </c>
      <c r="H1242">
        <v>0</v>
      </c>
      <c r="I1242">
        <v>14</v>
      </c>
      <c r="J1242">
        <v>5</v>
      </c>
      <c r="K1242" t="s">
        <v>17</v>
      </c>
      <c r="L1242" t="s">
        <v>17</v>
      </c>
      <c r="M1242">
        <f>IF(Table1[[#This Row],[ألغى الاشتراك]]="نعم",1,0)</f>
        <v>0</v>
      </c>
      <c r="N1242">
        <f>IF(Table1[[#This Row],[وسيلة الدفع]]="بطاقة",1,0)</f>
        <v>1</v>
      </c>
      <c r="O1242">
        <f>IF(Table1[[#This Row],[وسيلة الدفع]]="محفظة",1,0)</f>
        <v>0</v>
      </c>
      <c r="P1242">
        <f>IF(Table1[[#This Row],[وسيلة الدفع]]="تحويل",1,0)</f>
        <v>0</v>
      </c>
      <c r="Q1242">
        <f>IF(Table1[[#This Row],[حضر التهيئة]]="نعم",1,0)</f>
        <v>0</v>
      </c>
      <c r="R1242">
        <f>IF(Table1[[#This Row],[دورة الفوترة]]="شهري",1,0)</f>
        <v>1</v>
      </c>
    </row>
    <row r="1243" spans="1:18" x14ac:dyDescent="0.25">
      <c r="A1243" t="s">
        <v>1263</v>
      </c>
      <c r="B1243" s="1">
        <v>45576</v>
      </c>
      <c r="C1243" t="s">
        <v>19</v>
      </c>
      <c r="D1243">
        <v>189</v>
      </c>
      <c r="E1243" t="s">
        <v>20</v>
      </c>
      <c r="F1243">
        <v>8</v>
      </c>
      <c r="G1243" t="s">
        <v>23</v>
      </c>
      <c r="H1243">
        <v>1</v>
      </c>
      <c r="I1243">
        <v>36</v>
      </c>
      <c r="J1243">
        <v>0</v>
      </c>
      <c r="K1243" t="s">
        <v>17</v>
      </c>
      <c r="L1243" t="s">
        <v>17</v>
      </c>
      <c r="M1243">
        <f>IF(Table1[[#This Row],[ألغى الاشتراك]]="نعم",1,0)</f>
        <v>0</v>
      </c>
      <c r="N1243">
        <f>IF(Table1[[#This Row],[وسيلة الدفع]]="بطاقة",1,0)</f>
        <v>0</v>
      </c>
      <c r="O1243">
        <f>IF(Table1[[#This Row],[وسيلة الدفع]]="محفظة",1,0)</f>
        <v>0</v>
      </c>
      <c r="P1243">
        <f>IF(Table1[[#This Row],[وسيلة الدفع]]="تحويل",1,0)</f>
        <v>1</v>
      </c>
      <c r="Q1243">
        <f>IF(Table1[[#This Row],[حضر التهيئة]]="نعم",1,0)</f>
        <v>0</v>
      </c>
      <c r="R1243">
        <f>IF(Table1[[#This Row],[دورة الفوترة]]="شهري",1,0)</f>
        <v>0</v>
      </c>
    </row>
    <row r="1244" spans="1:18" x14ac:dyDescent="0.25">
      <c r="A1244" t="s">
        <v>1264</v>
      </c>
      <c r="B1244" s="1">
        <v>45643</v>
      </c>
      <c r="C1244" t="s">
        <v>19</v>
      </c>
      <c r="D1244">
        <v>189</v>
      </c>
      <c r="E1244" t="s">
        <v>14</v>
      </c>
      <c r="F1244">
        <v>21</v>
      </c>
      <c r="G1244" t="s">
        <v>15</v>
      </c>
      <c r="H1244">
        <v>2</v>
      </c>
      <c r="I1244">
        <v>27</v>
      </c>
      <c r="J1244">
        <v>25</v>
      </c>
      <c r="K1244" t="s">
        <v>17</v>
      </c>
      <c r="L1244" t="s">
        <v>17</v>
      </c>
      <c r="M1244">
        <f>IF(Table1[[#This Row],[ألغى الاشتراك]]="نعم",1,0)</f>
        <v>0</v>
      </c>
      <c r="N1244">
        <f>IF(Table1[[#This Row],[وسيلة الدفع]]="بطاقة",1,0)</f>
        <v>1</v>
      </c>
      <c r="O1244">
        <f>IF(Table1[[#This Row],[وسيلة الدفع]]="محفظة",1,0)</f>
        <v>0</v>
      </c>
      <c r="P1244">
        <f>IF(Table1[[#This Row],[وسيلة الدفع]]="تحويل",1,0)</f>
        <v>0</v>
      </c>
      <c r="Q1244">
        <f>IF(Table1[[#This Row],[حضر التهيئة]]="نعم",1,0)</f>
        <v>0</v>
      </c>
      <c r="R1244">
        <f>IF(Table1[[#This Row],[دورة الفوترة]]="شهري",1,0)</f>
        <v>1</v>
      </c>
    </row>
    <row r="1245" spans="1:18" x14ac:dyDescent="0.25">
      <c r="A1245" t="s">
        <v>1265</v>
      </c>
      <c r="B1245" s="1">
        <v>45779</v>
      </c>
      <c r="C1245" t="s">
        <v>19</v>
      </c>
      <c r="D1245">
        <v>189</v>
      </c>
      <c r="E1245" t="s">
        <v>14</v>
      </c>
      <c r="F1245">
        <v>7</v>
      </c>
      <c r="G1245" t="s">
        <v>21</v>
      </c>
      <c r="H1245">
        <v>1</v>
      </c>
      <c r="I1245">
        <v>37</v>
      </c>
      <c r="J1245">
        <v>0</v>
      </c>
      <c r="K1245" t="s">
        <v>16</v>
      </c>
      <c r="L1245" t="s">
        <v>17</v>
      </c>
      <c r="M1245">
        <f>IF(Table1[[#This Row],[ألغى الاشتراك]]="نعم",1,0)</f>
        <v>0</v>
      </c>
      <c r="N1245">
        <f>IF(Table1[[#This Row],[وسيلة الدفع]]="بطاقة",1,0)</f>
        <v>0</v>
      </c>
      <c r="O1245">
        <f>IF(Table1[[#This Row],[وسيلة الدفع]]="محفظة",1,0)</f>
        <v>1</v>
      </c>
      <c r="P1245">
        <f>IF(Table1[[#This Row],[وسيلة الدفع]]="تحويل",1,0)</f>
        <v>0</v>
      </c>
      <c r="Q1245">
        <f>IF(Table1[[#This Row],[حضر التهيئة]]="نعم",1,0)</f>
        <v>1</v>
      </c>
      <c r="R1245">
        <f>IF(Table1[[#This Row],[دورة الفوترة]]="شهري",1,0)</f>
        <v>1</v>
      </c>
    </row>
    <row r="1246" spans="1:18" x14ac:dyDescent="0.25">
      <c r="A1246" t="s">
        <v>1266</v>
      </c>
      <c r="B1246" s="1">
        <v>45466</v>
      </c>
      <c r="C1246" t="s">
        <v>13</v>
      </c>
      <c r="D1246">
        <v>89</v>
      </c>
      <c r="E1246" t="s">
        <v>14</v>
      </c>
      <c r="F1246">
        <v>18</v>
      </c>
      <c r="G1246" t="s">
        <v>21</v>
      </c>
      <c r="H1246">
        <v>0</v>
      </c>
      <c r="I1246">
        <v>40</v>
      </c>
      <c r="J1246">
        <v>0</v>
      </c>
      <c r="K1246" t="s">
        <v>16</v>
      </c>
      <c r="L1246" t="s">
        <v>17</v>
      </c>
      <c r="M1246">
        <f>IF(Table1[[#This Row],[ألغى الاشتراك]]="نعم",1,0)</f>
        <v>0</v>
      </c>
      <c r="N1246">
        <f>IF(Table1[[#This Row],[وسيلة الدفع]]="بطاقة",1,0)</f>
        <v>0</v>
      </c>
      <c r="O1246">
        <f>IF(Table1[[#This Row],[وسيلة الدفع]]="محفظة",1,0)</f>
        <v>1</v>
      </c>
      <c r="P1246">
        <f>IF(Table1[[#This Row],[وسيلة الدفع]]="تحويل",1,0)</f>
        <v>0</v>
      </c>
      <c r="Q1246">
        <f>IF(Table1[[#This Row],[حضر التهيئة]]="نعم",1,0)</f>
        <v>1</v>
      </c>
      <c r="R1246">
        <f>IF(Table1[[#This Row],[دورة الفوترة]]="شهري",1,0)</f>
        <v>1</v>
      </c>
    </row>
    <row r="1247" spans="1:18" x14ac:dyDescent="0.25">
      <c r="A1247" t="s">
        <v>1267</v>
      </c>
      <c r="B1247" s="1">
        <v>45989</v>
      </c>
      <c r="C1247" t="s">
        <v>28</v>
      </c>
      <c r="D1247">
        <v>39</v>
      </c>
      <c r="E1247" t="s">
        <v>20</v>
      </c>
      <c r="F1247">
        <v>27</v>
      </c>
      <c r="G1247" t="s">
        <v>23</v>
      </c>
      <c r="H1247">
        <v>5</v>
      </c>
      <c r="I1247">
        <v>17</v>
      </c>
      <c r="J1247">
        <v>0</v>
      </c>
      <c r="K1247" t="s">
        <v>17</v>
      </c>
      <c r="L1247" t="s">
        <v>16</v>
      </c>
      <c r="M1247">
        <f>IF(Table1[[#This Row],[ألغى الاشتراك]]="نعم",1,0)</f>
        <v>1</v>
      </c>
      <c r="N1247">
        <f>IF(Table1[[#This Row],[وسيلة الدفع]]="بطاقة",1,0)</f>
        <v>0</v>
      </c>
      <c r="O1247">
        <f>IF(Table1[[#This Row],[وسيلة الدفع]]="محفظة",1,0)</f>
        <v>0</v>
      </c>
      <c r="P1247">
        <f>IF(Table1[[#This Row],[وسيلة الدفع]]="تحويل",1,0)</f>
        <v>1</v>
      </c>
      <c r="Q1247">
        <f>IF(Table1[[#This Row],[حضر التهيئة]]="نعم",1,0)</f>
        <v>0</v>
      </c>
      <c r="R1247">
        <f>IF(Table1[[#This Row],[دورة الفوترة]]="شهري",1,0)</f>
        <v>0</v>
      </c>
    </row>
    <row r="1248" spans="1:18" x14ac:dyDescent="0.25">
      <c r="A1248" t="s">
        <v>1268</v>
      </c>
      <c r="B1248" s="1">
        <v>45513</v>
      </c>
      <c r="C1248" t="s">
        <v>13</v>
      </c>
      <c r="D1248">
        <v>89</v>
      </c>
      <c r="E1248" t="s">
        <v>20</v>
      </c>
      <c r="F1248">
        <v>2</v>
      </c>
      <c r="G1248" t="s">
        <v>23</v>
      </c>
      <c r="H1248">
        <v>0</v>
      </c>
      <c r="I1248">
        <v>54</v>
      </c>
      <c r="J1248">
        <v>0</v>
      </c>
      <c r="K1248" t="s">
        <v>16</v>
      </c>
      <c r="L1248" t="s">
        <v>17</v>
      </c>
      <c r="M1248">
        <f>IF(Table1[[#This Row],[ألغى الاشتراك]]="نعم",1,0)</f>
        <v>0</v>
      </c>
      <c r="N1248">
        <f>IF(Table1[[#This Row],[وسيلة الدفع]]="بطاقة",1,0)</f>
        <v>0</v>
      </c>
      <c r="O1248">
        <f>IF(Table1[[#This Row],[وسيلة الدفع]]="محفظة",1,0)</f>
        <v>0</v>
      </c>
      <c r="P1248">
        <f>IF(Table1[[#This Row],[وسيلة الدفع]]="تحويل",1,0)</f>
        <v>1</v>
      </c>
      <c r="Q1248">
        <f>IF(Table1[[#This Row],[حضر التهيئة]]="نعم",1,0)</f>
        <v>1</v>
      </c>
      <c r="R1248">
        <f>IF(Table1[[#This Row],[دورة الفوترة]]="شهري",1,0)</f>
        <v>0</v>
      </c>
    </row>
    <row r="1249" spans="1:18" x14ac:dyDescent="0.25">
      <c r="A1249" t="s">
        <v>1269</v>
      </c>
      <c r="B1249" s="1">
        <v>45675</v>
      </c>
      <c r="C1249" t="s">
        <v>28</v>
      </c>
      <c r="D1249">
        <v>39</v>
      </c>
      <c r="E1249" t="s">
        <v>14</v>
      </c>
      <c r="F1249">
        <v>9</v>
      </c>
      <c r="G1249" t="s">
        <v>21</v>
      </c>
      <c r="H1249">
        <v>1</v>
      </c>
      <c r="I1249">
        <v>59</v>
      </c>
      <c r="J1249">
        <v>0</v>
      </c>
      <c r="K1249" t="s">
        <v>17</v>
      </c>
      <c r="L1249" t="s">
        <v>17</v>
      </c>
      <c r="M1249">
        <f>IF(Table1[[#This Row],[ألغى الاشتراك]]="نعم",1,0)</f>
        <v>0</v>
      </c>
      <c r="N1249">
        <f>IF(Table1[[#This Row],[وسيلة الدفع]]="بطاقة",1,0)</f>
        <v>0</v>
      </c>
      <c r="O1249">
        <f>IF(Table1[[#This Row],[وسيلة الدفع]]="محفظة",1,0)</f>
        <v>1</v>
      </c>
      <c r="P1249">
        <f>IF(Table1[[#This Row],[وسيلة الدفع]]="تحويل",1,0)</f>
        <v>0</v>
      </c>
      <c r="Q1249">
        <f>IF(Table1[[#This Row],[حضر التهيئة]]="نعم",1,0)</f>
        <v>0</v>
      </c>
      <c r="R1249">
        <f>IF(Table1[[#This Row],[دورة الفوترة]]="شهري",1,0)</f>
        <v>1</v>
      </c>
    </row>
    <row r="1250" spans="1:18" x14ac:dyDescent="0.25">
      <c r="A1250" t="s">
        <v>1270</v>
      </c>
      <c r="B1250" s="1">
        <v>45458</v>
      </c>
      <c r="C1250" t="s">
        <v>28</v>
      </c>
      <c r="D1250">
        <v>39</v>
      </c>
      <c r="E1250" t="s">
        <v>14</v>
      </c>
      <c r="F1250">
        <v>16</v>
      </c>
      <c r="G1250" t="s">
        <v>15</v>
      </c>
      <c r="H1250">
        <v>1</v>
      </c>
      <c r="I1250">
        <v>30</v>
      </c>
      <c r="J1250">
        <v>0</v>
      </c>
      <c r="K1250" t="s">
        <v>16</v>
      </c>
      <c r="L1250" t="s">
        <v>17</v>
      </c>
      <c r="M1250">
        <f>IF(Table1[[#This Row],[ألغى الاشتراك]]="نعم",1,0)</f>
        <v>0</v>
      </c>
      <c r="N1250">
        <f>IF(Table1[[#This Row],[وسيلة الدفع]]="بطاقة",1,0)</f>
        <v>1</v>
      </c>
      <c r="O1250">
        <f>IF(Table1[[#This Row],[وسيلة الدفع]]="محفظة",1,0)</f>
        <v>0</v>
      </c>
      <c r="P1250">
        <f>IF(Table1[[#This Row],[وسيلة الدفع]]="تحويل",1,0)</f>
        <v>0</v>
      </c>
      <c r="Q1250">
        <f>IF(Table1[[#This Row],[حضر التهيئة]]="نعم",1,0)</f>
        <v>1</v>
      </c>
      <c r="R1250">
        <f>IF(Table1[[#This Row],[دورة الفوترة]]="شهري",1,0)</f>
        <v>1</v>
      </c>
    </row>
    <row r="1251" spans="1:18" x14ac:dyDescent="0.25">
      <c r="A1251" t="s">
        <v>1271</v>
      </c>
      <c r="B1251" s="1">
        <v>45854</v>
      </c>
      <c r="C1251" t="s">
        <v>28</v>
      </c>
      <c r="D1251">
        <v>39</v>
      </c>
      <c r="E1251" t="s">
        <v>14</v>
      </c>
      <c r="F1251">
        <v>9</v>
      </c>
      <c r="G1251" t="s">
        <v>15</v>
      </c>
      <c r="H1251">
        <v>1</v>
      </c>
      <c r="I1251">
        <v>11</v>
      </c>
      <c r="J1251">
        <v>0</v>
      </c>
      <c r="K1251" t="s">
        <v>16</v>
      </c>
      <c r="L1251" t="s">
        <v>17</v>
      </c>
      <c r="M1251">
        <f>IF(Table1[[#This Row],[ألغى الاشتراك]]="نعم",1,0)</f>
        <v>0</v>
      </c>
      <c r="N1251">
        <f>IF(Table1[[#This Row],[وسيلة الدفع]]="بطاقة",1,0)</f>
        <v>1</v>
      </c>
      <c r="O1251">
        <f>IF(Table1[[#This Row],[وسيلة الدفع]]="محفظة",1,0)</f>
        <v>0</v>
      </c>
      <c r="P1251">
        <f>IF(Table1[[#This Row],[وسيلة الدفع]]="تحويل",1,0)</f>
        <v>0</v>
      </c>
      <c r="Q1251">
        <f>IF(Table1[[#This Row],[حضر التهيئة]]="نعم",1,0)</f>
        <v>1</v>
      </c>
      <c r="R1251">
        <f>IF(Table1[[#This Row],[دورة الفوترة]]="شهري",1,0)</f>
        <v>1</v>
      </c>
    </row>
    <row r="1252" spans="1:18" x14ac:dyDescent="0.25">
      <c r="A1252" t="s">
        <v>1272</v>
      </c>
      <c r="B1252" s="1">
        <v>45521</v>
      </c>
      <c r="C1252" t="s">
        <v>28</v>
      </c>
      <c r="D1252">
        <v>39</v>
      </c>
      <c r="E1252" t="s">
        <v>20</v>
      </c>
      <c r="F1252">
        <v>10</v>
      </c>
      <c r="G1252" t="s">
        <v>15</v>
      </c>
      <c r="H1252">
        <v>9</v>
      </c>
      <c r="I1252">
        <v>4</v>
      </c>
      <c r="J1252">
        <v>0</v>
      </c>
      <c r="K1252" t="s">
        <v>17</v>
      </c>
      <c r="L1252" t="s">
        <v>17</v>
      </c>
      <c r="M1252">
        <f>IF(Table1[[#This Row],[ألغى الاشتراك]]="نعم",1,0)</f>
        <v>0</v>
      </c>
      <c r="N1252">
        <f>IF(Table1[[#This Row],[وسيلة الدفع]]="بطاقة",1,0)</f>
        <v>1</v>
      </c>
      <c r="O1252">
        <f>IF(Table1[[#This Row],[وسيلة الدفع]]="محفظة",1,0)</f>
        <v>0</v>
      </c>
      <c r="P1252">
        <f>IF(Table1[[#This Row],[وسيلة الدفع]]="تحويل",1,0)</f>
        <v>0</v>
      </c>
      <c r="Q1252">
        <f>IF(Table1[[#This Row],[حضر التهيئة]]="نعم",1,0)</f>
        <v>0</v>
      </c>
      <c r="R1252">
        <f>IF(Table1[[#This Row],[دورة الفوترة]]="شهري",1,0)</f>
        <v>0</v>
      </c>
    </row>
    <row r="1253" spans="1:18" x14ac:dyDescent="0.25">
      <c r="A1253" t="s">
        <v>1273</v>
      </c>
      <c r="B1253" s="1">
        <v>45588</v>
      </c>
      <c r="C1253" t="s">
        <v>28</v>
      </c>
      <c r="D1253">
        <v>39</v>
      </c>
      <c r="E1253" t="s">
        <v>14</v>
      </c>
      <c r="F1253">
        <v>13</v>
      </c>
      <c r="G1253" t="s">
        <v>15</v>
      </c>
      <c r="H1253">
        <v>11</v>
      </c>
      <c r="I1253">
        <v>53</v>
      </c>
      <c r="J1253">
        <v>10</v>
      </c>
      <c r="K1253" t="s">
        <v>16</v>
      </c>
      <c r="L1253" t="s">
        <v>17</v>
      </c>
      <c r="M1253">
        <f>IF(Table1[[#This Row],[ألغى الاشتراك]]="نعم",1,0)</f>
        <v>0</v>
      </c>
      <c r="N1253">
        <f>IF(Table1[[#This Row],[وسيلة الدفع]]="بطاقة",1,0)</f>
        <v>1</v>
      </c>
      <c r="O1253">
        <f>IF(Table1[[#This Row],[وسيلة الدفع]]="محفظة",1,0)</f>
        <v>0</v>
      </c>
      <c r="P1253">
        <f>IF(Table1[[#This Row],[وسيلة الدفع]]="تحويل",1,0)</f>
        <v>0</v>
      </c>
      <c r="Q1253">
        <f>IF(Table1[[#This Row],[حضر التهيئة]]="نعم",1,0)</f>
        <v>1</v>
      </c>
      <c r="R1253">
        <f>IF(Table1[[#This Row],[دورة الفوترة]]="شهري",1,0)</f>
        <v>1</v>
      </c>
    </row>
    <row r="1254" spans="1:18" x14ac:dyDescent="0.25">
      <c r="A1254" t="s">
        <v>1274</v>
      </c>
      <c r="B1254" s="1">
        <v>45854</v>
      </c>
      <c r="C1254" t="s">
        <v>13</v>
      </c>
      <c r="D1254">
        <v>89</v>
      </c>
      <c r="E1254" t="s">
        <v>14</v>
      </c>
      <c r="F1254">
        <v>3</v>
      </c>
      <c r="G1254" t="s">
        <v>21</v>
      </c>
      <c r="H1254">
        <v>1</v>
      </c>
      <c r="I1254">
        <v>23</v>
      </c>
      <c r="J1254">
        <v>0</v>
      </c>
      <c r="K1254" t="s">
        <v>17</v>
      </c>
      <c r="L1254" t="s">
        <v>17</v>
      </c>
      <c r="M1254">
        <f>IF(Table1[[#This Row],[ألغى الاشتراك]]="نعم",1,0)</f>
        <v>0</v>
      </c>
      <c r="N1254">
        <f>IF(Table1[[#This Row],[وسيلة الدفع]]="بطاقة",1,0)</f>
        <v>0</v>
      </c>
      <c r="O1254">
        <f>IF(Table1[[#This Row],[وسيلة الدفع]]="محفظة",1,0)</f>
        <v>1</v>
      </c>
      <c r="P1254">
        <f>IF(Table1[[#This Row],[وسيلة الدفع]]="تحويل",1,0)</f>
        <v>0</v>
      </c>
      <c r="Q1254">
        <f>IF(Table1[[#This Row],[حضر التهيئة]]="نعم",1,0)</f>
        <v>0</v>
      </c>
      <c r="R1254">
        <f>IF(Table1[[#This Row],[دورة الفوترة]]="شهري",1,0)</f>
        <v>1</v>
      </c>
    </row>
    <row r="1255" spans="1:18" x14ac:dyDescent="0.25">
      <c r="A1255" t="s">
        <v>1275</v>
      </c>
      <c r="B1255" s="1">
        <v>45922</v>
      </c>
      <c r="C1255" t="s">
        <v>28</v>
      </c>
      <c r="D1255">
        <v>39</v>
      </c>
      <c r="E1255" t="s">
        <v>20</v>
      </c>
      <c r="F1255">
        <v>12</v>
      </c>
      <c r="G1255" t="s">
        <v>15</v>
      </c>
      <c r="H1255">
        <v>2</v>
      </c>
      <c r="I1255">
        <v>14</v>
      </c>
      <c r="J1255">
        <v>5</v>
      </c>
      <c r="K1255" t="s">
        <v>17</v>
      </c>
      <c r="L1255" t="s">
        <v>16</v>
      </c>
      <c r="M1255">
        <f>IF(Table1[[#This Row],[ألغى الاشتراك]]="نعم",1,0)</f>
        <v>1</v>
      </c>
      <c r="N1255">
        <f>IF(Table1[[#This Row],[وسيلة الدفع]]="بطاقة",1,0)</f>
        <v>1</v>
      </c>
      <c r="O1255">
        <f>IF(Table1[[#This Row],[وسيلة الدفع]]="محفظة",1,0)</f>
        <v>0</v>
      </c>
      <c r="P1255">
        <f>IF(Table1[[#This Row],[وسيلة الدفع]]="تحويل",1,0)</f>
        <v>0</v>
      </c>
      <c r="Q1255">
        <f>IF(Table1[[#This Row],[حضر التهيئة]]="نعم",1,0)</f>
        <v>0</v>
      </c>
      <c r="R1255">
        <f>IF(Table1[[#This Row],[دورة الفوترة]]="شهري",1,0)</f>
        <v>0</v>
      </c>
    </row>
    <row r="1256" spans="1:18" x14ac:dyDescent="0.25">
      <c r="A1256" t="s">
        <v>1276</v>
      </c>
      <c r="B1256" s="1">
        <v>45446</v>
      </c>
      <c r="C1256" t="s">
        <v>28</v>
      </c>
      <c r="D1256">
        <v>39</v>
      </c>
      <c r="E1256" t="s">
        <v>20</v>
      </c>
      <c r="F1256">
        <v>24</v>
      </c>
      <c r="G1256" t="s">
        <v>21</v>
      </c>
      <c r="H1256">
        <v>6</v>
      </c>
      <c r="I1256">
        <v>16</v>
      </c>
      <c r="J1256">
        <v>0</v>
      </c>
      <c r="K1256" t="s">
        <v>16</v>
      </c>
      <c r="L1256" t="s">
        <v>17</v>
      </c>
      <c r="M1256">
        <f>IF(Table1[[#This Row],[ألغى الاشتراك]]="نعم",1,0)</f>
        <v>0</v>
      </c>
      <c r="N1256">
        <f>IF(Table1[[#This Row],[وسيلة الدفع]]="بطاقة",1,0)</f>
        <v>0</v>
      </c>
      <c r="O1256">
        <f>IF(Table1[[#This Row],[وسيلة الدفع]]="محفظة",1,0)</f>
        <v>1</v>
      </c>
      <c r="P1256">
        <f>IF(Table1[[#This Row],[وسيلة الدفع]]="تحويل",1,0)</f>
        <v>0</v>
      </c>
      <c r="Q1256">
        <f>IF(Table1[[#This Row],[حضر التهيئة]]="نعم",1,0)</f>
        <v>1</v>
      </c>
      <c r="R1256">
        <f>IF(Table1[[#This Row],[دورة الفوترة]]="شهري",1,0)</f>
        <v>0</v>
      </c>
    </row>
    <row r="1257" spans="1:18" x14ac:dyDescent="0.25">
      <c r="A1257" t="s">
        <v>1277</v>
      </c>
      <c r="B1257" s="1">
        <v>45744</v>
      </c>
      <c r="C1257" t="s">
        <v>19</v>
      </c>
      <c r="D1257">
        <v>189</v>
      </c>
      <c r="E1257" t="s">
        <v>14</v>
      </c>
      <c r="F1257">
        <v>29</v>
      </c>
      <c r="G1257" t="s">
        <v>21</v>
      </c>
      <c r="H1257">
        <v>2</v>
      </c>
      <c r="I1257">
        <v>19</v>
      </c>
      <c r="J1257">
        <v>0</v>
      </c>
      <c r="K1257" t="s">
        <v>17</v>
      </c>
      <c r="L1257" t="s">
        <v>17</v>
      </c>
      <c r="M1257">
        <f>IF(Table1[[#This Row],[ألغى الاشتراك]]="نعم",1,0)</f>
        <v>0</v>
      </c>
      <c r="N1257">
        <f>IF(Table1[[#This Row],[وسيلة الدفع]]="بطاقة",1,0)</f>
        <v>0</v>
      </c>
      <c r="O1257">
        <f>IF(Table1[[#This Row],[وسيلة الدفع]]="محفظة",1,0)</f>
        <v>1</v>
      </c>
      <c r="P1257">
        <f>IF(Table1[[#This Row],[وسيلة الدفع]]="تحويل",1,0)</f>
        <v>0</v>
      </c>
      <c r="Q1257">
        <f>IF(Table1[[#This Row],[حضر التهيئة]]="نعم",1,0)</f>
        <v>0</v>
      </c>
      <c r="R1257">
        <f>IF(Table1[[#This Row],[دورة الفوترة]]="شهري",1,0)</f>
        <v>1</v>
      </c>
    </row>
    <row r="1258" spans="1:18" x14ac:dyDescent="0.25">
      <c r="A1258" t="s">
        <v>1278</v>
      </c>
      <c r="B1258" s="1">
        <v>45643</v>
      </c>
      <c r="C1258" t="s">
        <v>13</v>
      </c>
      <c r="D1258">
        <v>89</v>
      </c>
      <c r="E1258" t="s">
        <v>20</v>
      </c>
      <c r="F1258">
        <v>22</v>
      </c>
      <c r="G1258" t="s">
        <v>21</v>
      </c>
      <c r="H1258">
        <v>1</v>
      </c>
      <c r="I1258">
        <v>6</v>
      </c>
      <c r="J1258">
        <v>0</v>
      </c>
      <c r="K1258" t="s">
        <v>16</v>
      </c>
      <c r="L1258" t="s">
        <v>16</v>
      </c>
      <c r="M1258">
        <f>IF(Table1[[#This Row],[ألغى الاشتراك]]="نعم",1,0)</f>
        <v>1</v>
      </c>
      <c r="N1258">
        <f>IF(Table1[[#This Row],[وسيلة الدفع]]="بطاقة",1,0)</f>
        <v>0</v>
      </c>
      <c r="O1258">
        <f>IF(Table1[[#This Row],[وسيلة الدفع]]="محفظة",1,0)</f>
        <v>1</v>
      </c>
      <c r="P1258">
        <f>IF(Table1[[#This Row],[وسيلة الدفع]]="تحويل",1,0)</f>
        <v>0</v>
      </c>
      <c r="Q1258">
        <f>IF(Table1[[#This Row],[حضر التهيئة]]="نعم",1,0)</f>
        <v>1</v>
      </c>
      <c r="R1258">
        <f>IF(Table1[[#This Row],[دورة الفوترة]]="شهري",1,0)</f>
        <v>0</v>
      </c>
    </row>
    <row r="1259" spans="1:18" x14ac:dyDescent="0.25">
      <c r="A1259" t="s">
        <v>1279</v>
      </c>
      <c r="B1259" s="1">
        <v>45667</v>
      </c>
      <c r="C1259" t="s">
        <v>13</v>
      </c>
      <c r="D1259">
        <v>89</v>
      </c>
      <c r="E1259" t="s">
        <v>14</v>
      </c>
      <c r="F1259">
        <v>21</v>
      </c>
      <c r="G1259" t="s">
        <v>21</v>
      </c>
      <c r="H1259">
        <v>1</v>
      </c>
      <c r="I1259">
        <v>39</v>
      </c>
      <c r="J1259">
        <v>0</v>
      </c>
      <c r="K1259" t="s">
        <v>16</v>
      </c>
      <c r="L1259" t="s">
        <v>17</v>
      </c>
      <c r="M1259">
        <f>IF(Table1[[#This Row],[ألغى الاشتراك]]="نعم",1,0)</f>
        <v>0</v>
      </c>
      <c r="N1259">
        <f>IF(Table1[[#This Row],[وسيلة الدفع]]="بطاقة",1,0)</f>
        <v>0</v>
      </c>
      <c r="O1259">
        <f>IF(Table1[[#This Row],[وسيلة الدفع]]="محفظة",1,0)</f>
        <v>1</v>
      </c>
      <c r="P1259">
        <f>IF(Table1[[#This Row],[وسيلة الدفع]]="تحويل",1,0)</f>
        <v>0</v>
      </c>
      <c r="Q1259">
        <f>IF(Table1[[#This Row],[حضر التهيئة]]="نعم",1,0)</f>
        <v>1</v>
      </c>
      <c r="R1259">
        <f>IF(Table1[[#This Row],[دورة الفوترة]]="شهري",1,0)</f>
        <v>1</v>
      </c>
    </row>
    <row r="1260" spans="1:18" x14ac:dyDescent="0.25">
      <c r="A1260" t="s">
        <v>1280</v>
      </c>
      <c r="B1260" s="1">
        <v>45989</v>
      </c>
      <c r="C1260" t="s">
        <v>13</v>
      </c>
      <c r="D1260">
        <v>89</v>
      </c>
      <c r="E1260" t="s">
        <v>14</v>
      </c>
      <c r="F1260">
        <v>26</v>
      </c>
      <c r="G1260" t="s">
        <v>23</v>
      </c>
      <c r="H1260">
        <v>2</v>
      </c>
      <c r="I1260">
        <v>58</v>
      </c>
      <c r="J1260">
        <v>15</v>
      </c>
      <c r="K1260" t="s">
        <v>17</v>
      </c>
      <c r="L1260" t="s">
        <v>16</v>
      </c>
      <c r="M1260">
        <f>IF(Table1[[#This Row],[ألغى الاشتراك]]="نعم",1,0)</f>
        <v>1</v>
      </c>
      <c r="N1260">
        <f>IF(Table1[[#This Row],[وسيلة الدفع]]="بطاقة",1,0)</f>
        <v>0</v>
      </c>
      <c r="O1260">
        <f>IF(Table1[[#This Row],[وسيلة الدفع]]="محفظة",1,0)</f>
        <v>0</v>
      </c>
      <c r="P1260">
        <f>IF(Table1[[#This Row],[وسيلة الدفع]]="تحويل",1,0)</f>
        <v>1</v>
      </c>
      <c r="Q1260">
        <f>IF(Table1[[#This Row],[حضر التهيئة]]="نعم",1,0)</f>
        <v>0</v>
      </c>
      <c r="R1260">
        <f>IF(Table1[[#This Row],[دورة الفوترة]]="شهري",1,0)</f>
        <v>1</v>
      </c>
    </row>
    <row r="1261" spans="1:18" x14ac:dyDescent="0.25">
      <c r="A1261" t="s">
        <v>1281</v>
      </c>
      <c r="B1261" s="1">
        <v>45643</v>
      </c>
      <c r="C1261" t="s">
        <v>28</v>
      </c>
      <c r="D1261">
        <v>39</v>
      </c>
      <c r="E1261" t="s">
        <v>14</v>
      </c>
      <c r="F1261">
        <v>28</v>
      </c>
      <c r="G1261" t="s">
        <v>21</v>
      </c>
      <c r="H1261">
        <v>0</v>
      </c>
      <c r="I1261">
        <v>48</v>
      </c>
      <c r="J1261">
        <v>0</v>
      </c>
      <c r="K1261" t="s">
        <v>16</v>
      </c>
      <c r="L1261" t="s">
        <v>16</v>
      </c>
      <c r="M1261">
        <f>IF(Table1[[#This Row],[ألغى الاشتراك]]="نعم",1,0)</f>
        <v>1</v>
      </c>
      <c r="N1261">
        <f>IF(Table1[[#This Row],[وسيلة الدفع]]="بطاقة",1,0)</f>
        <v>0</v>
      </c>
      <c r="O1261">
        <f>IF(Table1[[#This Row],[وسيلة الدفع]]="محفظة",1,0)</f>
        <v>1</v>
      </c>
      <c r="P1261">
        <f>IF(Table1[[#This Row],[وسيلة الدفع]]="تحويل",1,0)</f>
        <v>0</v>
      </c>
      <c r="Q1261">
        <f>IF(Table1[[#This Row],[حضر التهيئة]]="نعم",1,0)</f>
        <v>1</v>
      </c>
      <c r="R1261">
        <f>IF(Table1[[#This Row],[دورة الفوترة]]="شهري",1,0)</f>
        <v>1</v>
      </c>
    </row>
    <row r="1262" spans="1:18" x14ac:dyDescent="0.25">
      <c r="A1262" t="s">
        <v>1282</v>
      </c>
      <c r="B1262" s="1">
        <v>45906</v>
      </c>
      <c r="C1262" t="s">
        <v>13</v>
      </c>
      <c r="D1262">
        <v>89</v>
      </c>
      <c r="E1262" t="s">
        <v>14</v>
      </c>
      <c r="F1262">
        <v>23</v>
      </c>
      <c r="G1262" t="s">
        <v>21</v>
      </c>
      <c r="H1262">
        <v>2</v>
      </c>
      <c r="I1262">
        <v>7</v>
      </c>
      <c r="J1262">
        <v>0</v>
      </c>
      <c r="K1262" t="s">
        <v>17</v>
      </c>
      <c r="L1262" t="s">
        <v>17</v>
      </c>
      <c r="M1262">
        <f>IF(Table1[[#This Row],[ألغى الاشتراك]]="نعم",1,0)</f>
        <v>0</v>
      </c>
      <c r="N1262">
        <f>IF(Table1[[#This Row],[وسيلة الدفع]]="بطاقة",1,0)</f>
        <v>0</v>
      </c>
      <c r="O1262">
        <f>IF(Table1[[#This Row],[وسيلة الدفع]]="محفظة",1,0)</f>
        <v>1</v>
      </c>
      <c r="P1262">
        <f>IF(Table1[[#This Row],[وسيلة الدفع]]="تحويل",1,0)</f>
        <v>0</v>
      </c>
      <c r="Q1262">
        <f>IF(Table1[[#This Row],[حضر التهيئة]]="نعم",1,0)</f>
        <v>0</v>
      </c>
      <c r="R1262">
        <f>IF(Table1[[#This Row],[دورة الفوترة]]="شهري",1,0)</f>
        <v>1</v>
      </c>
    </row>
    <row r="1263" spans="1:18" x14ac:dyDescent="0.25">
      <c r="A1263" t="s">
        <v>1283</v>
      </c>
      <c r="B1263" s="1">
        <v>45969</v>
      </c>
      <c r="C1263" t="s">
        <v>13</v>
      </c>
      <c r="D1263">
        <v>89</v>
      </c>
      <c r="E1263" t="s">
        <v>14</v>
      </c>
      <c r="F1263">
        <v>14</v>
      </c>
      <c r="G1263" t="s">
        <v>21</v>
      </c>
      <c r="H1263">
        <v>3</v>
      </c>
      <c r="I1263">
        <v>4</v>
      </c>
      <c r="J1263">
        <v>15</v>
      </c>
      <c r="K1263" t="s">
        <v>16</v>
      </c>
      <c r="L1263" t="s">
        <v>17</v>
      </c>
      <c r="M1263">
        <f>IF(Table1[[#This Row],[ألغى الاشتراك]]="نعم",1,0)</f>
        <v>0</v>
      </c>
      <c r="N1263">
        <f>IF(Table1[[#This Row],[وسيلة الدفع]]="بطاقة",1,0)</f>
        <v>0</v>
      </c>
      <c r="O1263">
        <f>IF(Table1[[#This Row],[وسيلة الدفع]]="محفظة",1,0)</f>
        <v>1</v>
      </c>
      <c r="P1263">
        <f>IF(Table1[[#This Row],[وسيلة الدفع]]="تحويل",1,0)</f>
        <v>0</v>
      </c>
      <c r="Q1263">
        <f>IF(Table1[[#This Row],[حضر التهيئة]]="نعم",1,0)</f>
        <v>1</v>
      </c>
      <c r="R1263">
        <f>IF(Table1[[#This Row],[دورة الفوترة]]="شهري",1,0)</f>
        <v>1</v>
      </c>
    </row>
    <row r="1264" spans="1:18" x14ac:dyDescent="0.25">
      <c r="A1264" t="s">
        <v>1284</v>
      </c>
      <c r="B1264" s="1">
        <v>45529</v>
      </c>
      <c r="C1264" t="s">
        <v>28</v>
      </c>
      <c r="D1264">
        <v>39</v>
      </c>
      <c r="E1264" t="s">
        <v>14</v>
      </c>
      <c r="F1264">
        <v>12</v>
      </c>
      <c r="G1264" t="s">
        <v>15</v>
      </c>
      <c r="H1264">
        <v>5</v>
      </c>
      <c r="I1264">
        <v>34</v>
      </c>
      <c r="J1264">
        <v>0</v>
      </c>
      <c r="K1264" t="s">
        <v>17</v>
      </c>
      <c r="L1264" t="s">
        <v>17</v>
      </c>
      <c r="M1264">
        <f>IF(Table1[[#This Row],[ألغى الاشتراك]]="نعم",1,0)</f>
        <v>0</v>
      </c>
      <c r="N1264">
        <f>IF(Table1[[#This Row],[وسيلة الدفع]]="بطاقة",1,0)</f>
        <v>1</v>
      </c>
      <c r="O1264">
        <f>IF(Table1[[#This Row],[وسيلة الدفع]]="محفظة",1,0)</f>
        <v>0</v>
      </c>
      <c r="P1264">
        <f>IF(Table1[[#This Row],[وسيلة الدفع]]="تحويل",1,0)</f>
        <v>0</v>
      </c>
      <c r="Q1264">
        <f>IF(Table1[[#This Row],[حضر التهيئة]]="نعم",1,0)</f>
        <v>0</v>
      </c>
      <c r="R1264">
        <f>IF(Table1[[#This Row],[دورة الفوترة]]="شهري",1,0)</f>
        <v>1</v>
      </c>
    </row>
    <row r="1265" spans="1:18" x14ac:dyDescent="0.25">
      <c r="A1265" t="s">
        <v>1285</v>
      </c>
      <c r="B1265" s="1">
        <v>45783</v>
      </c>
      <c r="C1265" t="s">
        <v>13</v>
      </c>
      <c r="D1265">
        <v>89</v>
      </c>
      <c r="E1265" t="s">
        <v>20</v>
      </c>
      <c r="F1265">
        <v>3</v>
      </c>
      <c r="G1265" t="s">
        <v>23</v>
      </c>
      <c r="H1265">
        <v>1</v>
      </c>
      <c r="I1265">
        <v>3</v>
      </c>
      <c r="J1265">
        <v>0</v>
      </c>
      <c r="K1265" t="s">
        <v>17</v>
      </c>
      <c r="L1265" t="s">
        <v>17</v>
      </c>
      <c r="M1265">
        <f>IF(Table1[[#This Row],[ألغى الاشتراك]]="نعم",1,0)</f>
        <v>0</v>
      </c>
      <c r="N1265">
        <f>IF(Table1[[#This Row],[وسيلة الدفع]]="بطاقة",1,0)</f>
        <v>0</v>
      </c>
      <c r="O1265">
        <f>IF(Table1[[#This Row],[وسيلة الدفع]]="محفظة",1,0)</f>
        <v>0</v>
      </c>
      <c r="P1265">
        <f>IF(Table1[[#This Row],[وسيلة الدفع]]="تحويل",1,0)</f>
        <v>1</v>
      </c>
      <c r="Q1265">
        <f>IF(Table1[[#This Row],[حضر التهيئة]]="نعم",1,0)</f>
        <v>0</v>
      </c>
      <c r="R1265">
        <f>IF(Table1[[#This Row],[دورة الفوترة]]="شهري",1,0)</f>
        <v>0</v>
      </c>
    </row>
    <row r="1266" spans="1:18" x14ac:dyDescent="0.25">
      <c r="A1266" t="s">
        <v>1286</v>
      </c>
      <c r="B1266" s="1">
        <v>45965</v>
      </c>
      <c r="C1266" t="s">
        <v>19</v>
      </c>
      <c r="D1266">
        <v>189</v>
      </c>
      <c r="E1266" t="s">
        <v>14</v>
      </c>
      <c r="F1266">
        <v>20</v>
      </c>
      <c r="G1266" t="s">
        <v>21</v>
      </c>
      <c r="H1266">
        <v>2</v>
      </c>
      <c r="I1266">
        <v>22</v>
      </c>
      <c r="J1266">
        <v>15</v>
      </c>
      <c r="K1266" t="s">
        <v>17</v>
      </c>
      <c r="L1266" t="s">
        <v>17</v>
      </c>
      <c r="M1266">
        <f>IF(Table1[[#This Row],[ألغى الاشتراك]]="نعم",1,0)</f>
        <v>0</v>
      </c>
      <c r="N1266">
        <f>IF(Table1[[#This Row],[وسيلة الدفع]]="بطاقة",1,0)</f>
        <v>0</v>
      </c>
      <c r="O1266">
        <f>IF(Table1[[#This Row],[وسيلة الدفع]]="محفظة",1,0)</f>
        <v>1</v>
      </c>
      <c r="P1266">
        <f>IF(Table1[[#This Row],[وسيلة الدفع]]="تحويل",1,0)</f>
        <v>0</v>
      </c>
      <c r="Q1266">
        <f>IF(Table1[[#This Row],[حضر التهيئة]]="نعم",1,0)</f>
        <v>0</v>
      </c>
      <c r="R1266">
        <f>IF(Table1[[#This Row],[دورة الفوترة]]="شهري",1,0)</f>
        <v>1</v>
      </c>
    </row>
    <row r="1267" spans="1:18" x14ac:dyDescent="0.25">
      <c r="A1267" t="s">
        <v>1287</v>
      </c>
      <c r="B1267" s="1">
        <v>45525</v>
      </c>
      <c r="C1267" t="s">
        <v>13</v>
      </c>
      <c r="D1267">
        <v>89</v>
      </c>
      <c r="E1267" t="s">
        <v>14</v>
      </c>
      <c r="F1267">
        <v>20</v>
      </c>
      <c r="G1267" t="s">
        <v>23</v>
      </c>
      <c r="H1267">
        <v>0</v>
      </c>
      <c r="I1267">
        <v>12</v>
      </c>
      <c r="J1267">
        <v>0</v>
      </c>
      <c r="K1267" t="s">
        <v>16</v>
      </c>
      <c r="L1267" t="s">
        <v>17</v>
      </c>
      <c r="M1267">
        <f>IF(Table1[[#This Row],[ألغى الاشتراك]]="نعم",1,0)</f>
        <v>0</v>
      </c>
      <c r="N1267">
        <f>IF(Table1[[#This Row],[وسيلة الدفع]]="بطاقة",1,0)</f>
        <v>0</v>
      </c>
      <c r="O1267">
        <f>IF(Table1[[#This Row],[وسيلة الدفع]]="محفظة",1,0)</f>
        <v>0</v>
      </c>
      <c r="P1267">
        <f>IF(Table1[[#This Row],[وسيلة الدفع]]="تحويل",1,0)</f>
        <v>1</v>
      </c>
      <c r="Q1267">
        <f>IF(Table1[[#This Row],[حضر التهيئة]]="نعم",1,0)</f>
        <v>1</v>
      </c>
      <c r="R1267">
        <f>IF(Table1[[#This Row],[دورة الفوترة]]="شهري",1,0)</f>
        <v>1</v>
      </c>
    </row>
    <row r="1268" spans="1:18" x14ac:dyDescent="0.25">
      <c r="A1268" t="s">
        <v>1288</v>
      </c>
      <c r="B1268" s="1">
        <v>45926</v>
      </c>
      <c r="C1268" t="s">
        <v>19</v>
      </c>
      <c r="D1268">
        <v>189</v>
      </c>
      <c r="E1268" t="s">
        <v>14</v>
      </c>
      <c r="F1268">
        <v>21</v>
      </c>
      <c r="G1268" t="s">
        <v>21</v>
      </c>
      <c r="H1268">
        <v>1</v>
      </c>
      <c r="I1268">
        <v>21</v>
      </c>
      <c r="J1268">
        <v>0</v>
      </c>
      <c r="K1268" t="s">
        <v>17</v>
      </c>
      <c r="L1268" t="s">
        <v>17</v>
      </c>
      <c r="M1268">
        <f>IF(Table1[[#This Row],[ألغى الاشتراك]]="نعم",1,0)</f>
        <v>0</v>
      </c>
      <c r="N1268">
        <f>IF(Table1[[#This Row],[وسيلة الدفع]]="بطاقة",1,0)</f>
        <v>0</v>
      </c>
      <c r="O1268">
        <f>IF(Table1[[#This Row],[وسيلة الدفع]]="محفظة",1,0)</f>
        <v>1</v>
      </c>
      <c r="P1268">
        <f>IF(Table1[[#This Row],[وسيلة الدفع]]="تحويل",1,0)</f>
        <v>0</v>
      </c>
      <c r="Q1268">
        <f>IF(Table1[[#This Row],[حضر التهيئة]]="نعم",1,0)</f>
        <v>0</v>
      </c>
      <c r="R1268">
        <f>IF(Table1[[#This Row],[دورة الفوترة]]="شهري",1,0)</f>
        <v>1</v>
      </c>
    </row>
    <row r="1269" spans="1:18" x14ac:dyDescent="0.25">
      <c r="A1269" t="s">
        <v>1289</v>
      </c>
      <c r="B1269" s="1">
        <v>45584</v>
      </c>
      <c r="C1269" t="s">
        <v>28</v>
      </c>
      <c r="D1269">
        <v>39</v>
      </c>
      <c r="E1269" t="s">
        <v>20</v>
      </c>
      <c r="F1269">
        <v>18</v>
      </c>
      <c r="G1269" t="s">
        <v>23</v>
      </c>
      <c r="H1269">
        <v>1</v>
      </c>
      <c r="I1269">
        <v>20</v>
      </c>
      <c r="J1269">
        <v>0</v>
      </c>
      <c r="K1269" t="s">
        <v>16</v>
      </c>
      <c r="L1269" t="s">
        <v>17</v>
      </c>
      <c r="M1269">
        <f>IF(Table1[[#This Row],[ألغى الاشتراك]]="نعم",1,0)</f>
        <v>0</v>
      </c>
      <c r="N1269">
        <f>IF(Table1[[#This Row],[وسيلة الدفع]]="بطاقة",1,0)</f>
        <v>0</v>
      </c>
      <c r="O1269">
        <f>IF(Table1[[#This Row],[وسيلة الدفع]]="محفظة",1,0)</f>
        <v>0</v>
      </c>
      <c r="P1269">
        <f>IF(Table1[[#This Row],[وسيلة الدفع]]="تحويل",1,0)</f>
        <v>1</v>
      </c>
      <c r="Q1269">
        <f>IF(Table1[[#This Row],[حضر التهيئة]]="نعم",1,0)</f>
        <v>1</v>
      </c>
      <c r="R1269">
        <f>IF(Table1[[#This Row],[دورة الفوترة]]="شهري",1,0)</f>
        <v>0</v>
      </c>
    </row>
    <row r="1270" spans="1:18" x14ac:dyDescent="0.25">
      <c r="A1270" t="s">
        <v>1290</v>
      </c>
      <c r="B1270" s="1">
        <v>45981</v>
      </c>
      <c r="C1270" t="s">
        <v>28</v>
      </c>
      <c r="D1270">
        <v>39</v>
      </c>
      <c r="E1270" t="s">
        <v>20</v>
      </c>
      <c r="F1270">
        <v>29</v>
      </c>
      <c r="G1270" t="s">
        <v>23</v>
      </c>
      <c r="H1270">
        <v>0</v>
      </c>
      <c r="I1270">
        <v>45</v>
      </c>
      <c r="J1270">
        <v>0</v>
      </c>
      <c r="K1270" t="s">
        <v>17</v>
      </c>
      <c r="L1270" t="s">
        <v>17</v>
      </c>
      <c r="M1270">
        <f>IF(Table1[[#This Row],[ألغى الاشتراك]]="نعم",1,0)</f>
        <v>0</v>
      </c>
      <c r="N1270">
        <f>IF(Table1[[#This Row],[وسيلة الدفع]]="بطاقة",1,0)</f>
        <v>0</v>
      </c>
      <c r="O1270">
        <f>IF(Table1[[#This Row],[وسيلة الدفع]]="محفظة",1,0)</f>
        <v>0</v>
      </c>
      <c r="P1270">
        <f>IF(Table1[[#This Row],[وسيلة الدفع]]="تحويل",1,0)</f>
        <v>1</v>
      </c>
      <c r="Q1270">
        <f>IF(Table1[[#This Row],[حضر التهيئة]]="نعم",1,0)</f>
        <v>0</v>
      </c>
      <c r="R1270">
        <f>IF(Table1[[#This Row],[دورة الفوترة]]="شهري",1,0)</f>
        <v>0</v>
      </c>
    </row>
    <row r="1271" spans="1:18" x14ac:dyDescent="0.25">
      <c r="A1271" t="s">
        <v>1291</v>
      </c>
      <c r="B1271" s="1">
        <v>45914</v>
      </c>
      <c r="C1271" t="s">
        <v>13</v>
      </c>
      <c r="D1271">
        <v>89</v>
      </c>
      <c r="E1271" t="s">
        <v>14</v>
      </c>
      <c r="F1271">
        <v>10</v>
      </c>
      <c r="G1271" t="s">
        <v>15</v>
      </c>
      <c r="H1271">
        <v>11</v>
      </c>
      <c r="I1271">
        <v>52</v>
      </c>
      <c r="J1271">
        <v>5</v>
      </c>
      <c r="K1271" t="s">
        <v>16</v>
      </c>
      <c r="L1271" t="s">
        <v>17</v>
      </c>
      <c r="M1271">
        <f>IF(Table1[[#This Row],[ألغى الاشتراك]]="نعم",1,0)</f>
        <v>0</v>
      </c>
      <c r="N1271">
        <f>IF(Table1[[#This Row],[وسيلة الدفع]]="بطاقة",1,0)</f>
        <v>1</v>
      </c>
      <c r="O1271">
        <f>IF(Table1[[#This Row],[وسيلة الدفع]]="محفظة",1,0)</f>
        <v>0</v>
      </c>
      <c r="P1271">
        <f>IF(Table1[[#This Row],[وسيلة الدفع]]="تحويل",1,0)</f>
        <v>0</v>
      </c>
      <c r="Q1271">
        <f>IF(Table1[[#This Row],[حضر التهيئة]]="نعم",1,0)</f>
        <v>1</v>
      </c>
      <c r="R1271">
        <f>IF(Table1[[#This Row],[دورة الفوترة]]="شهري",1,0)</f>
        <v>1</v>
      </c>
    </row>
    <row r="1272" spans="1:18" x14ac:dyDescent="0.25">
      <c r="A1272" t="s">
        <v>1292</v>
      </c>
      <c r="B1272" s="1">
        <v>45854</v>
      </c>
      <c r="C1272" t="s">
        <v>28</v>
      </c>
      <c r="D1272">
        <v>39</v>
      </c>
      <c r="E1272" t="s">
        <v>14</v>
      </c>
      <c r="F1272">
        <v>18</v>
      </c>
      <c r="G1272" t="s">
        <v>23</v>
      </c>
      <c r="H1272">
        <v>11</v>
      </c>
      <c r="I1272">
        <v>22</v>
      </c>
      <c r="J1272">
        <v>15</v>
      </c>
      <c r="K1272" t="s">
        <v>16</v>
      </c>
      <c r="L1272" t="s">
        <v>17</v>
      </c>
      <c r="M1272">
        <f>IF(Table1[[#This Row],[ألغى الاشتراك]]="نعم",1,0)</f>
        <v>0</v>
      </c>
      <c r="N1272">
        <f>IF(Table1[[#This Row],[وسيلة الدفع]]="بطاقة",1,0)</f>
        <v>0</v>
      </c>
      <c r="O1272">
        <f>IF(Table1[[#This Row],[وسيلة الدفع]]="محفظة",1,0)</f>
        <v>0</v>
      </c>
      <c r="P1272">
        <f>IF(Table1[[#This Row],[وسيلة الدفع]]="تحويل",1,0)</f>
        <v>1</v>
      </c>
      <c r="Q1272">
        <f>IF(Table1[[#This Row],[حضر التهيئة]]="نعم",1,0)</f>
        <v>1</v>
      </c>
      <c r="R1272">
        <f>IF(Table1[[#This Row],[دورة الفوترة]]="شهري",1,0)</f>
        <v>1</v>
      </c>
    </row>
    <row r="1273" spans="1:18" x14ac:dyDescent="0.25">
      <c r="A1273" t="s">
        <v>1293</v>
      </c>
      <c r="B1273" s="1">
        <v>45635</v>
      </c>
      <c r="C1273" t="s">
        <v>28</v>
      </c>
      <c r="D1273">
        <v>39</v>
      </c>
      <c r="E1273" t="s">
        <v>20</v>
      </c>
      <c r="F1273">
        <v>12</v>
      </c>
      <c r="G1273" t="s">
        <v>15</v>
      </c>
      <c r="H1273">
        <v>6</v>
      </c>
      <c r="I1273">
        <v>52</v>
      </c>
      <c r="J1273">
        <v>0</v>
      </c>
      <c r="K1273" t="s">
        <v>16</v>
      </c>
      <c r="L1273" t="s">
        <v>17</v>
      </c>
      <c r="M1273">
        <f>IF(Table1[[#This Row],[ألغى الاشتراك]]="نعم",1,0)</f>
        <v>0</v>
      </c>
      <c r="N1273">
        <f>IF(Table1[[#This Row],[وسيلة الدفع]]="بطاقة",1,0)</f>
        <v>1</v>
      </c>
      <c r="O1273">
        <f>IF(Table1[[#This Row],[وسيلة الدفع]]="محفظة",1,0)</f>
        <v>0</v>
      </c>
      <c r="P1273">
        <f>IF(Table1[[#This Row],[وسيلة الدفع]]="تحويل",1,0)</f>
        <v>0</v>
      </c>
      <c r="Q1273">
        <f>IF(Table1[[#This Row],[حضر التهيئة]]="نعم",1,0)</f>
        <v>1</v>
      </c>
      <c r="R1273">
        <f>IF(Table1[[#This Row],[دورة الفوترة]]="شهري",1,0)</f>
        <v>0</v>
      </c>
    </row>
    <row r="1274" spans="1:18" x14ac:dyDescent="0.25">
      <c r="A1274" t="s">
        <v>1294</v>
      </c>
      <c r="B1274" s="1">
        <v>45799</v>
      </c>
      <c r="C1274" t="s">
        <v>19</v>
      </c>
      <c r="D1274">
        <v>189</v>
      </c>
      <c r="E1274" t="s">
        <v>14</v>
      </c>
      <c r="F1274">
        <v>3</v>
      </c>
      <c r="G1274" t="s">
        <v>21</v>
      </c>
      <c r="H1274">
        <v>0</v>
      </c>
      <c r="I1274">
        <v>23</v>
      </c>
      <c r="J1274">
        <v>0</v>
      </c>
      <c r="K1274" t="s">
        <v>16</v>
      </c>
      <c r="L1274" t="s">
        <v>17</v>
      </c>
      <c r="M1274">
        <f>IF(Table1[[#This Row],[ألغى الاشتراك]]="نعم",1,0)</f>
        <v>0</v>
      </c>
      <c r="N1274">
        <f>IF(Table1[[#This Row],[وسيلة الدفع]]="بطاقة",1,0)</f>
        <v>0</v>
      </c>
      <c r="O1274">
        <f>IF(Table1[[#This Row],[وسيلة الدفع]]="محفظة",1,0)</f>
        <v>1</v>
      </c>
      <c r="P1274">
        <f>IF(Table1[[#This Row],[وسيلة الدفع]]="تحويل",1,0)</f>
        <v>0</v>
      </c>
      <c r="Q1274">
        <f>IF(Table1[[#This Row],[حضر التهيئة]]="نعم",1,0)</f>
        <v>1</v>
      </c>
      <c r="R1274">
        <f>IF(Table1[[#This Row],[دورة الفوترة]]="شهري",1,0)</f>
        <v>1</v>
      </c>
    </row>
    <row r="1275" spans="1:18" x14ac:dyDescent="0.25">
      <c r="A1275" t="s">
        <v>1295</v>
      </c>
      <c r="B1275" s="1">
        <v>45450</v>
      </c>
      <c r="C1275" t="s">
        <v>13</v>
      </c>
      <c r="D1275">
        <v>89</v>
      </c>
      <c r="E1275" t="s">
        <v>20</v>
      </c>
      <c r="F1275">
        <v>26</v>
      </c>
      <c r="G1275" t="s">
        <v>15</v>
      </c>
      <c r="H1275">
        <v>2</v>
      </c>
      <c r="I1275">
        <v>8</v>
      </c>
      <c r="J1275">
        <v>0</v>
      </c>
      <c r="K1275" t="s">
        <v>16</v>
      </c>
      <c r="L1275" t="s">
        <v>17</v>
      </c>
      <c r="M1275">
        <f>IF(Table1[[#This Row],[ألغى الاشتراك]]="نعم",1,0)</f>
        <v>0</v>
      </c>
      <c r="N1275">
        <f>IF(Table1[[#This Row],[وسيلة الدفع]]="بطاقة",1,0)</f>
        <v>1</v>
      </c>
      <c r="O1275">
        <f>IF(Table1[[#This Row],[وسيلة الدفع]]="محفظة",1,0)</f>
        <v>0</v>
      </c>
      <c r="P1275">
        <f>IF(Table1[[#This Row],[وسيلة الدفع]]="تحويل",1,0)</f>
        <v>0</v>
      </c>
      <c r="Q1275">
        <f>IF(Table1[[#This Row],[حضر التهيئة]]="نعم",1,0)</f>
        <v>1</v>
      </c>
      <c r="R1275">
        <f>IF(Table1[[#This Row],[دورة الفوترة]]="شهري",1,0)</f>
        <v>0</v>
      </c>
    </row>
    <row r="1276" spans="1:18" x14ac:dyDescent="0.25">
      <c r="A1276" t="s">
        <v>1296</v>
      </c>
      <c r="B1276" s="1">
        <v>45981</v>
      </c>
      <c r="C1276" t="s">
        <v>28</v>
      </c>
      <c r="D1276">
        <v>39</v>
      </c>
      <c r="E1276" t="s">
        <v>20</v>
      </c>
      <c r="F1276">
        <v>5</v>
      </c>
      <c r="G1276" t="s">
        <v>15</v>
      </c>
      <c r="H1276">
        <v>7</v>
      </c>
      <c r="I1276">
        <v>13</v>
      </c>
      <c r="J1276">
        <v>0</v>
      </c>
      <c r="K1276" t="s">
        <v>16</v>
      </c>
      <c r="L1276" t="s">
        <v>17</v>
      </c>
      <c r="M1276">
        <f>IF(Table1[[#This Row],[ألغى الاشتراك]]="نعم",1,0)</f>
        <v>0</v>
      </c>
      <c r="N1276">
        <f>IF(Table1[[#This Row],[وسيلة الدفع]]="بطاقة",1,0)</f>
        <v>1</v>
      </c>
      <c r="O1276">
        <f>IF(Table1[[#This Row],[وسيلة الدفع]]="محفظة",1,0)</f>
        <v>0</v>
      </c>
      <c r="P1276">
        <f>IF(Table1[[#This Row],[وسيلة الدفع]]="تحويل",1,0)</f>
        <v>0</v>
      </c>
      <c r="Q1276">
        <f>IF(Table1[[#This Row],[حضر التهيئة]]="نعم",1,0)</f>
        <v>1</v>
      </c>
      <c r="R1276">
        <f>IF(Table1[[#This Row],[دورة الفوترة]]="شهري",1,0)</f>
        <v>0</v>
      </c>
    </row>
    <row r="1277" spans="1:18" x14ac:dyDescent="0.25">
      <c r="A1277" t="s">
        <v>1297</v>
      </c>
      <c r="B1277" s="1">
        <v>45395</v>
      </c>
      <c r="C1277" t="s">
        <v>19</v>
      </c>
      <c r="D1277">
        <v>189</v>
      </c>
      <c r="E1277" t="s">
        <v>14</v>
      </c>
      <c r="F1277">
        <v>30</v>
      </c>
      <c r="G1277" t="s">
        <v>15</v>
      </c>
      <c r="H1277">
        <v>3</v>
      </c>
      <c r="I1277">
        <v>12</v>
      </c>
      <c r="J1277">
        <v>0</v>
      </c>
      <c r="K1277" t="s">
        <v>16</v>
      </c>
      <c r="L1277" t="s">
        <v>17</v>
      </c>
      <c r="M1277">
        <f>IF(Table1[[#This Row],[ألغى الاشتراك]]="نعم",1,0)</f>
        <v>0</v>
      </c>
      <c r="N1277">
        <f>IF(Table1[[#This Row],[وسيلة الدفع]]="بطاقة",1,0)</f>
        <v>1</v>
      </c>
      <c r="O1277">
        <f>IF(Table1[[#This Row],[وسيلة الدفع]]="محفظة",1,0)</f>
        <v>0</v>
      </c>
      <c r="P1277">
        <f>IF(Table1[[#This Row],[وسيلة الدفع]]="تحويل",1,0)</f>
        <v>0</v>
      </c>
      <c r="Q1277">
        <f>IF(Table1[[#This Row],[حضر التهيئة]]="نعم",1,0)</f>
        <v>1</v>
      </c>
      <c r="R1277">
        <f>IF(Table1[[#This Row],[دورة الفوترة]]="شهري",1,0)</f>
        <v>1</v>
      </c>
    </row>
    <row r="1278" spans="1:18" x14ac:dyDescent="0.25">
      <c r="A1278" t="s">
        <v>1298</v>
      </c>
      <c r="B1278" s="1">
        <v>45795</v>
      </c>
      <c r="C1278" t="s">
        <v>19</v>
      </c>
      <c r="D1278">
        <v>189</v>
      </c>
      <c r="E1278" t="s">
        <v>14</v>
      </c>
      <c r="F1278">
        <v>5</v>
      </c>
      <c r="G1278" t="s">
        <v>15</v>
      </c>
      <c r="H1278">
        <v>0</v>
      </c>
      <c r="I1278">
        <v>41</v>
      </c>
      <c r="J1278">
        <v>0</v>
      </c>
      <c r="K1278" t="s">
        <v>17</v>
      </c>
      <c r="L1278" t="s">
        <v>17</v>
      </c>
      <c r="M1278">
        <f>IF(Table1[[#This Row],[ألغى الاشتراك]]="نعم",1,0)</f>
        <v>0</v>
      </c>
      <c r="N1278">
        <f>IF(Table1[[#This Row],[وسيلة الدفع]]="بطاقة",1,0)</f>
        <v>1</v>
      </c>
      <c r="O1278">
        <f>IF(Table1[[#This Row],[وسيلة الدفع]]="محفظة",1,0)</f>
        <v>0</v>
      </c>
      <c r="P1278">
        <f>IF(Table1[[#This Row],[وسيلة الدفع]]="تحويل",1,0)</f>
        <v>0</v>
      </c>
      <c r="Q1278">
        <f>IF(Table1[[#This Row],[حضر التهيئة]]="نعم",1,0)</f>
        <v>0</v>
      </c>
      <c r="R1278">
        <f>IF(Table1[[#This Row],[دورة الفوترة]]="شهري",1,0)</f>
        <v>1</v>
      </c>
    </row>
    <row r="1279" spans="1:18" x14ac:dyDescent="0.25">
      <c r="A1279" t="s">
        <v>1299</v>
      </c>
      <c r="B1279" s="1">
        <v>45329</v>
      </c>
      <c r="C1279" t="s">
        <v>19</v>
      </c>
      <c r="D1279">
        <v>189</v>
      </c>
      <c r="E1279" t="s">
        <v>14</v>
      </c>
      <c r="F1279">
        <v>30</v>
      </c>
      <c r="G1279" t="s">
        <v>15</v>
      </c>
      <c r="H1279">
        <v>8</v>
      </c>
      <c r="I1279">
        <v>38</v>
      </c>
      <c r="J1279">
        <v>0</v>
      </c>
      <c r="K1279" t="s">
        <v>17</v>
      </c>
      <c r="L1279" t="s">
        <v>17</v>
      </c>
      <c r="M1279">
        <f>IF(Table1[[#This Row],[ألغى الاشتراك]]="نعم",1,0)</f>
        <v>0</v>
      </c>
      <c r="N1279">
        <f>IF(Table1[[#This Row],[وسيلة الدفع]]="بطاقة",1,0)</f>
        <v>1</v>
      </c>
      <c r="O1279">
        <f>IF(Table1[[#This Row],[وسيلة الدفع]]="محفظة",1,0)</f>
        <v>0</v>
      </c>
      <c r="P1279">
        <f>IF(Table1[[#This Row],[وسيلة الدفع]]="تحويل",1,0)</f>
        <v>0</v>
      </c>
      <c r="Q1279">
        <f>IF(Table1[[#This Row],[حضر التهيئة]]="نعم",1,0)</f>
        <v>0</v>
      </c>
      <c r="R1279">
        <f>IF(Table1[[#This Row],[دورة الفوترة]]="شهري",1,0)</f>
        <v>1</v>
      </c>
    </row>
    <row r="1280" spans="1:18" x14ac:dyDescent="0.25">
      <c r="A1280" t="s">
        <v>1300</v>
      </c>
      <c r="B1280" s="1">
        <v>45866</v>
      </c>
      <c r="C1280" t="s">
        <v>28</v>
      </c>
      <c r="D1280">
        <v>39</v>
      </c>
      <c r="E1280" t="s">
        <v>20</v>
      </c>
      <c r="F1280">
        <v>17</v>
      </c>
      <c r="G1280" t="s">
        <v>23</v>
      </c>
      <c r="H1280">
        <v>7</v>
      </c>
      <c r="I1280">
        <v>33</v>
      </c>
      <c r="J1280">
        <v>0</v>
      </c>
      <c r="K1280" t="s">
        <v>17</v>
      </c>
      <c r="L1280" t="s">
        <v>16</v>
      </c>
      <c r="M1280">
        <f>IF(Table1[[#This Row],[ألغى الاشتراك]]="نعم",1,0)</f>
        <v>1</v>
      </c>
      <c r="N1280">
        <f>IF(Table1[[#This Row],[وسيلة الدفع]]="بطاقة",1,0)</f>
        <v>0</v>
      </c>
      <c r="O1280">
        <f>IF(Table1[[#This Row],[وسيلة الدفع]]="محفظة",1,0)</f>
        <v>0</v>
      </c>
      <c r="P1280">
        <f>IF(Table1[[#This Row],[وسيلة الدفع]]="تحويل",1,0)</f>
        <v>1</v>
      </c>
      <c r="Q1280">
        <f>IF(Table1[[#This Row],[حضر التهيئة]]="نعم",1,0)</f>
        <v>0</v>
      </c>
      <c r="R1280">
        <f>IF(Table1[[#This Row],[دورة الفوترة]]="شهري",1,0)</f>
        <v>0</v>
      </c>
    </row>
    <row r="1281" spans="1:18" x14ac:dyDescent="0.25">
      <c r="A1281" t="s">
        <v>1301</v>
      </c>
      <c r="B1281" s="1">
        <v>45395</v>
      </c>
      <c r="C1281" t="s">
        <v>13</v>
      </c>
      <c r="D1281">
        <v>89</v>
      </c>
      <c r="E1281" t="s">
        <v>14</v>
      </c>
      <c r="F1281">
        <v>8</v>
      </c>
      <c r="G1281" t="s">
        <v>23</v>
      </c>
      <c r="H1281">
        <v>1</v>
      </c>
      <c r="I1281">
        <v>34</v>
      </c>
      <c r="J1281">
        <v>0</v>
      </c>
      <c r="K1281" t="s">
        <v>17</v>
      </c>
      <c r="L1281" t="s">
        <v>17</v>
      </c>
      <c r="M1281">
        <f>IF(Table1[[#This Row],[ألغى الاشتراك]]="نعم",1,0)</f>
        <v>0</v>
      </c>
      <c r="N1281">
        <f>IF(Table1[[#This Row],[وسيلة الدفع]]="بطاقة",1,0)</f>
        <v>0</v>
      </c>
      <c r="O1281">
        <f>IF(Table1[[#This Row],[وسيلة الدفع]]="محفظة",1,0)</f>
        <v>0</v>
      </c>
      <c r="P1281">
        <f>IF(Table1[[#This Row],[وسيلة الدفع]]="تحويل",1,0)</f>
        <v>1</v>
      </c>
      <c r="Q1281">
        <f>IF(Table1[[#This Row],[حضر التهيئة]]="نعم",1,0)</f>
        <v>0</v>
      </c>
      <c r="R1281">
        <f>IF(Table1[[#This Row],[دورة الفوترة]]="شهري",1,0)</f>
        <v>1</v>
      </c>
    </row>
    <row r="1282" spans="1:18" x14ac:dyDescent="0.25">
      <c r="A1282" t="s">
        <v>1302</v>
      </c>
      <c r="B1282" s="1">
        <v>45803</v>
      </c>
      <c r="C1282" t="s">
        <v>28</v>
      </c>
      <c r="D1282">
        <v>39</v>
      </c>
      <c r="E1282" t="s">
        <v>14</v>
      </c>
      <c r="F1282">
        <v>23</v>
      </c>
      <c r="G1282" t="s">
        <v>23</v>
      </c>
      <c r="H1282">
        <v>0</v>
      </c>
      <c r="I1282">
        <v>25</v>
      </c>
      <c r="J1282">
        <v>0</v>
      </c>
      <c r="K1282" t="s">
        <v>17</v>
      </c>
      <c r="L1282" t="s">
        <v>17</v>
      </c>
      <c r="M1282">
        <f>IF(Table1[[#This Row],[ألغى الاشتراك]]="نعم",1,0)</f>
        <v>0</v>
      </c>
      <c r="N1282">
        <f>IF(Table1[[#This Row],[وسيلة الدفع]]="بطاقة",1,0)</f>
        <v>0</v>
      </c>
      <c r="O1282">
        <f>IF(Table1[[#This Row],[وسيلة الدفع]]="محفظة",1,0)</f>
        <v>0</v>
      </c>
      <c r="P1282">
        <f>IF(Table1[[#This Row],[وسيلة الدفع]]="تحويل",1,0)</f>
        <v>1</v>
      </c>
      <c r="Q1282">
        <f>IF(Table1[[#This Row],[حضر التهيئة]]="نعم",1,0)</f>
        <v>0</v>
      </c>
      <c r="R1282">
        <f>IF(Table1[[#This Row],[دورة الفوترة]]="شهري",1,0)</f>
        <v>1</v>
      </c>
    </row>
    <row r="1283" spans="1:18" x14ac:dyDescent="0.25">
      <c r="A1283" t="s">
        <v>1303</v>
      </c>
      <c r="B1283" s="1">
        <v>45846</v>
      </c>
      <c r="C1283" t="s">
        <v>19</v>
      </c>
      <c r="D1283">
        <v>189</v>
      </c>
      <c r="E1283" t="s">
        <v>14</v>
      </c>
      <c r="F1283">
        <v>18</v>
      </c>
      <c r="G1283" t="s">
        <v>23</v>
      </c>
      <c r="H1283">
        <v>0</v>
      </c>
      <c r="I1283">
        <v>24</v>
      </c>
      <c r="J1283">
        <v>15</v>
      </c>
      <c r="K1283" t="s">
        <v>17</v>
      </c>
      <c r="L1283" t="s">
        <v>17</v>
      </c>
      <c r="M1283">
        <f>IF(Table1[[#This Row],[ألغى الاشتراك]]="نعم",1,0)</f>
        <v>0</v>
      </c>
      <c r="N1283">
        <f>IF(Table1[[#This Row],[وسيلة الدفع]]="بطاقة",1,0)</f>
        <v>0</v>
      </c>
      <c r="O1283">
        <f>IF(Table1[[#This Row],[وسيلة الدفع]]="محفظة",1,0)</f>
        <v>0</v>
      </c>
      <c r="P1283">
        <f>IF(Table1[[#This Row],[وسيلة الدفع]]="تحويل",1,0)</f>
        <v>1</v>
      </c>
      <c r="Q1283">
        <f>IF(Table1[[#This Row],[حضر التهيئة]]="نعم",1,0)</f>
        <v>0</v>
      </c>
      <c r="R1283">
        <f>IF(Table1[[#This Row],[دورة الفوترة]]="شهري",1,0)</f>
        <v>1</v>
      </c>
    </row>
    <row r="1284" spans="1:18" x14ac:dyDescent="0.25">
      <c r="A1284" t="s">
        <v>1304</v>
      </c>
      <c r="B1284" s="1">
        <v>45627</v>
      </c>
      <c r="C1284" t="s">
        <v>28</v>
      </c>
      <c r="D1284">
        <v>39</v>
      </c>
      <c r="E1284" t="s">
        <v>14</v>
      </c>
      <c r="F1284">
        <v>4</v>
      </c>
      <c r="G1284" t="s">
        <v>15</v>
      </c>
      <c r="H1284">
        <v>3</v>
      </c>
      <c r="I1284">
        <v>34</v>
      </c>
      <c r="J1284">
        <v>0</v>
      </c>
      <c r="K1284" t="s">
        <v>16</v>
      </c>
      <c r="L1284" t="s">
        <v>17</v>
      </c>
      <c r="M1284">
        <f>IF(Table1[[#This Row],[ألغى الاشتراك]]="نعم",1,0)</f>
        <v>0</v>
      </c>
      <c r="N1284">
        <f>IF(Table1[[#This Row],[وسيلة الدفع]]="بطاقة",1,0)</f>
        <v>1</v>
      </c>
      <c r="O1284">
        <f>IF(Table1[[#This Row],[وسيلة الدفع]]="محفظة",1,0)</f>
        <v>0</v>
      </c>
      <c r="P1284">
        <f>IF(Table1[[#This Row],[وسيلة الدفع]]="تحويل",1,0)</f>
        <v>0</v>
      </c>
      <c r="Q1284">
        <f>IF(Table1[[#This Row],[حضر التهيئة]]="نعم",1,0)</f>
        <v>1</v>
      </c>
      <c r="R1284">
        <f>IF(Table1[[#This Row],[دورة الفوترة]]="شهري",1,0)</f>
        <v>1</v>
      </c>
    </row>
    <row r="1285" spans="1:18" x14ac:dyDescent="0.25">
      <c r="A1285" t="s">
        <v>1305</v>
      </c>
      <c r="B1285" s="1">
        <v>45799</v>
      </c>
      <c r="C1285" t="s">
        <v>13</v>
      </c>
      <c r="D1285">
        <v>89</v>
      </c>
      <c r="E1285" t="s">
        <v>14</v>
      </c>
      <c r="F1285">
        <v>9</v>
      </c>
      <c r="G1285" t="s">
        <v>21</v>
      </c>
      <c r="H1285">
        <v>0</v>
      </c>
      <c r="I1285">
        <v>11</v>
      </c>
      <c r="J1285">
        <v>0</v>
      </c>
      <c r="K1285" t="s">
        <v>17</v>
      </c>
      <c r="L1285" t="s">
        <v>17</v>
      </c>
      <c r="M1285">
        <f>IF(Table1[[#This Row],[ألغى الاشتراك]]="نعم",1,0)</f>
        <v>0</v>
      </c>
      <c r="N1285">
        <f>IF(Table1[[#This Row],[وسيلة الدفع]]="بطاقة",1,0)</f>
        <v>0</v>
      </c>
      <c r="O1285">
        <f>IF(Table1[[#This Row],[وسيلة الدفع]]="محفظة",1,0)</f>
        <v>1</v>
      </c>
      <c r="P1285">
        <f>IF(Table1[[#This Row],[وسيلة الدفع]]="تحويل",1,0)</f>
        <v>0</v>
      </c>
      <c r="Q1285">
        <f>IF(Table1[[#This Row],[حضر التهيئة]]="نعم",1,0)</f>
        <v>0</v>
      </c>
      <c r="R1285">
        <f>IF(Table1[[#This Row],[دورة الفوترة]]="شهري",1,0)</f>
        <v>1</v>
      </c>
    </row>
    <row r="1286" spans="1:18" x14ac:dyDescent="0.25">
      <c r="A1286" t="s">
        <v>1306</v>
      </c>
      <c r="B1286" s="1">
        <v>45337</v>
      </c>
      <c r="C1286" t="s">
        <v>28</v>
      </c>
      <c r="D1286">
        <v>39</v>
      </c>
      <c r="E1286" t="s">
        <v>14</v>
      </c>
      <c r="F1286">
        <v>26</v>
      </c>
      <c r="G1286" t="s">
        <v>21</v>
      </c>
      <c r="H1286">
        <v>1</v>
      </c>
      <c r="I1286">
        <v>50</v>
      </c>
      <c r="J1286">
        <v>0</v>
      </c>
      <c r="K1286" t="s">
        <v>17</v>
      </c>
      <c r="L1286" t="s">
        <v>17</v>
      </c>
      <c r="M1286">
        <f>IF(Table1[[#This Row],[ألغى الاشتراك]]="نعم",1,0)</f>
        <v>0</v>
      </c>
      <c r="N1286">
        <f>IF(Table1[[#This Row],[وسيلة الدفع]]="بطاقة",1,0)</f>
        <v>0</v>
      </c>
      <c r="O1286">
        <f>IF(Table1[[#This Row],[وسيلة الدفع]]="محفظة",1,0)</f>
        <v>1</v>
      </c>
      <c r="P1286">
        <f>IF(Table1[[#This Row],[وسيلة الدفع]]="تحويل",1,0)</f>
        <v>0</v>
      </c>
      <c r="Q1286">
        <f>IF(Table1[[#This Row],[حضر التهيئة]]="نعم",1,0)</f>
        <v>0</v>
      </c>
      <c r="R1286">
        <f>IF(Table1[[#This Row],[دورة الفوترة]]="شهري",1,0)</f>
        <v>1</v>
      </c>
    </row>
    <row r="1287" spans="1:18" x14ac:dyDescent="0.25">
      <c r="A1287" t="s">
        <v>1307</v>
      </c>
      <c r="B1287" s="1">
        <v>45973</v>
      </c>
      <c r="C1287" t="s">
        <v>13</v>
      </c>
      <c r="D1287">
        <v>89</v>
      </c>
      <c r="E1287" t="s">
        <v>14</v>
      </c>
      <c r="F1287">
        <v>1</v>
      </c>
      <c r="G1287" t="s">
        <v>21</v>
      </c>
      <c r="H1287">
        <v>4</v>
      </c>
      <c r="I1287">
        <v>9</v>
      </c>
      <c r="J1287">
        <v>0</v>
      </c>
      <c r="K1287" t="s">
        <v>17</v>
      </c>
      <c r="L1287" t="s">
        <v>16</v>
      </c>
      <c r="M1287">
        <f>IF(Table1[[#This Row],[ألغى الاشتراك]]="نعم",1,0)</f>
        <v>1</v>
      </c>
      <c r="N1287">
        <f>IF(Table1[[#This Row],[وسيلة الدفع]]="بطاقة",1,0)</f>
        <v>0</v>
      </c>
      <c r="O1287">
        <f>IF(Table1[[#This Row],[وسيلة الدفع]]="محفظة",1,0)</f>
        <v>1</v>
      </c>
      <c r="P1287">
        <f>IF(Table1[[#This Row],[وسيلة الدفع]]="تحويل",1,0)</f>
        <v>0</v>
      </c>
      <c r="Q1287">
        <f>IF(Table1[[#This Row],[حضر التهيئة]]="نعم",1,0)</f>
        <v>0</v>
      </c>
      <c r="R1287">
        <f>IF(Table1[[#This Row],[دورة الفوترة]]="شهري",1,0)</f>
        <v>1</v>
      </c>
    </row>
    <row r="1288" spans="1:18" x14ac:dyDescent="0.25">
      <c r="A1288" t="s">
        <v>1308</v>
      </c>
      <c r="B1288" s="1">
        <v>45783</v>
      </c>
      <c r="C1288" t="s">
        <v>28</v>
      </c>
      <c r="D1288">
        <v>39</v>
      </c>
      <c r="E1288" t="s">
        <v>14</v>
      </c>
      <c r="F1288">
        <v>10</v>
      </c>
      <c r="G1288" t="s">
        <v>21</v>
      </c>
      <c r="H1288">
        <v>2</v>
      </c>
      <c r="I1288">
        <v>24</v>
      </c>
      <c r="J1288">
        <v>5</v>
      </c>
      <c r="K1288" t="s">
        <v>16</v>
      </c>
      <c r="L1288" t="s">
        <v>17</v>
      </c>
      <c r="M1288">
        <f>IF(Table1[[#This Row],[ألغى الاشتراك]]="نعم",1,0)</f>
        <v>0</v>
      </c>
      <c r="N1288">
        <f>IF(Table1[[#This Row],[وسيلة الدفع]]="بطاقة",1,0)</f>
        <v>0</v>
      </c>
      <c r="O1288">
        <f>IF(Table1[[#This Row],[وسيلة الدفع]]="محفظة",1,0)</f>
        <v>1</v>
      </c>
      <c r="P1288">
        <f>IF(Table1[[#This Row],[وسيلة الدفع]]="تحويل",1,0)</f>
        <v>0</v>
      </c>
      <c r="Q1288">
        <f>IF(Table1[[#This Row],[حضر التهيئة]]="نعم",1,0)</f>
        <v>1</v>
      </c>
      <c r="R1288">
        <f>IF(Table1[[#This Row],[دورة الفوترة]]="شهري",1,0)</f>
        <v>1</v>
      </c>
    </row>
    <row r="1289" spans="1:18" x14ac:dyDescent="0.25">
      <c r="A1289" t="s">
        <v>1309</v>
      </c>
      <c r="B1289" s="1">
        <v>45454</v>
      </c>
      <c r="C1289" t="s">
        <v>13</v>
      </c>
      <c r="D1289">
        <v>89</v>
      </c>
      <c r="E1289" t="s">
        <v>14</v>
      </c>
      <c r="F1289">
        <v>2</v>
      </c>
      <c r="G1289" t="s">
        <v>15</v>
      </c>
      <c r="H1289">
        <v>10</v>
      </c>
      <c r="I1289">
        <v>28</v>
      </c>
      <c r="J1289">
        <v>0</v>
      </c>
      <c r="K1289" t="s">
        <v>16</v>
      </c>
      <c r="L1289" t="s">
        <v>17</v>
      </c>
      <c r="M1289">
        <f>IF(Table1[[#This Row],[ألغى الاشتراك]]="نعم",1,0)</f>
        <v>0</v>
      </c>
      <c r="N1289">
        <f>IF(Table1[[#This Row],[وسيلة الدفع]]="بطاقة",1,0)</f>
        <v>1</v>
      </c>
      <c r="O1289">
        <f>IF(Table1[[#This Row],[وسيلة الدفع]]="محفظة",1,0)</f>
        <v>0</v>
      </c>
      <c r="P1289">
        <f>IF(Table1[[#This Row],[وسيلة الدفع]]="تحويل",1,0)</f>
        <v>0</v>
      </c>
      <c r="Q1289">
        <f>IF(Table1[[#This Row],[حضر التهيئة]]="نعم",1,0)</f>
        <v>1</v>
      </c>
      <c r="R1289">
        <f>IF(Table1[[#This Row],[دورة الفوترة]]="شهري",1,0)</f>
        <v>1</v>
      </c>
    </row>
    <row r="1290" spans="1:18" x14ac:dyDescent="0.25">
      <c r="A1290" t="s">
        <v>1310</v>
      </c>
      <c r="B1290" s="1">
        <v>45854</v>
      </c>
      <c r="C1290" t="s">
        <v>13</v>
      </c>
      <c r="D1290">
        <v>89</v>
      </c>
      <c r="E1290" t="s">
        <v>20</v>
      </c>
      <c r="F1290">
        <v>3</v>
      </c>
      <c r="G1290" t="s">
        <v>23</v>
      </c>
      <c r="H1290">
        <v>2</v>
      </c>
      <c r="I1290">
        <v>5</v>
      </c>
      <c r="J1290">
        <v>0</v>
      </c>
      <c r="K1290" t="s">
        <v>17</v>
      </c>
      <c r="L1290" t="s">
        <v>17</v>
      </c>
      <c r="M1290">
        <f>IF(Table1[[#This Row],[ألغى الاشتراك]]="نعم",1,0)</f>
        <v>0</v>
      </c>
      <c r="N1290">
        <f>IF(Table1[[#This Row],[وسيلة الدفع]]="بطاقة",1,0)</f>
        <v>0</v>
      </c>
      <c r="O1290">
        <f>IF(Table1[[#This Row],[وسيلة الدفع]]="محفظة",1,0)</f>
        <v>0</v>
      </c>
      <c r="P1290">
        <f>IF(Table1[[#This Row],[وسيلة الدفع]]="تحويل",1,0)</f>
        <v>1</v>
      </c>
      <c r="Q1290">
        <f>IF(Table1[[#This Row],[حضر التهيئة]]="نعم",1,0)</f>
        <v>0</v>
      </c>
      <c r="R1290">
        <f>IF(Table1[[#This Row],[دورة الفوترة]]="شهري",1,0)</f>
        <v>0</v>
      </c>
    </row>
    <row r="1291" spans="1:18" x14ac:dyDescent="0.25">
      <c r="A1291" t="s">
        <v>1311</v>
      </c>
      <c r="B1291" s="1">
        <v>45395</v>
      </c>
      <c r="C1291" t="s">
        <v>28</v>
      </c>
      <c r="D1291">
        <v>39</v>
      </c>
      <c r="E1291" t="s">
        <v>14</v>
      </c>
      <c r="F1291">
        <v>18</v>
      </c>
      <c r="G1291" t="s">
        <v>23</v>
      </c>
      <c r="H1291">
        <v>1</v>
      </c>
      <c r="I1291">
        <v>12</v>
      </c>
      <c r="J1291">
        <v>0</v>
      </c>
      <c r="K1291" t="s">
        <v>16</v>
      </c>
      <c r="L1291" t="s">
        <v>17</v>
      </c>
      <c r="M1291">
        <f>IF(Table1[[#This Row],[ألغى الاشتراك]]="نعم",1,0)</f>
        <v>0</v>
      </c>
      <c r="N1291">
        <f>IF(Table1[[#This Row],[وسيلة الدفع]]="بطاقة",1,0)</f>
        <v>0</v>
      </c>
      <c r="O1291">
        <f>IF(Table1[[#This Row],[وسيلة الدفع]]="محفظة",1,0)</f>
        <v>0</v>
      </c>
      <c r="P1291">
        <f>IF(Table1[[#This Row],[وسيلة الدفع]]="تحويل",1,0)</f>
        <v>1</v>
      </c>
      <c r="Q1291">
        <f>IF(Table1[[#This Row],[حضر التهيئة]]="نعم",1,0)</f>
        <v>1</v>
      </c>
      <c r="R1291">
        <f>IF(Table1[[#This Row],[دورة الفوترة]]="شهري",1,0)</f>
        <v>1</v>
      </c>
    </row>
    <row r="1292" spans="1:18" x14ac:dyDescent="0.25">
      <c r="A1292" t="s">
        <v>1312</v>
      </c>
      <c r="B1292" s="1">
        <v>45349</v>
      </c>
      <c r="C1292" t="s">
        <v>28</v>
      </c>
      <c r="D1292">
        <v>39</v>
      </c>
      <c r="E1292" t="s">
        <v>14</v>
      </c>
      <c r="F1292">
        <v>13</v>
      </c>
      <c r="G1292" t="s">
        <v>15</v>
      </c>
      <c r="H1292">
        <v>11</v>
      </c>
      <c r="I1292">
        <v>23</v>
      </c>
      <c r="J1292">
        <v>10</v>
      </c>
      <c r="K1292" t="s">
        <v>16</v>
      </c>
      <c r="L1292" t="s">
        <v>17</v>
      </c>
      <c r="M1292">
        <f>IF(Table1[[#This Row],[ألغى الاشتراك]]="نعم",1,0)</f>
        <v>0</v>
      </c>
      <c r="N1292">
        <f>IF(Table1[[#This Row],[وسيلة الدفع]]="بطاقة",1,0)</f>
        <v>1</v>
      </c>
      <c r="O1292">
        <f>IF(Table1[[#This Row],[وسيلة الدفع]]="محفظة",1,0)</f>
        <v>0</v>
      </c>
      <c r="P1292">
        <f>IF(Table1[[#This Row],[وسيلة الدفع]]="تحويل",1,0)</f>
        <v>0</v>
      </c>
      <c r="Q1292">
        <f>IF(Table1[[#This Row],[حضر التهيئة]]="نعم",1,0)</f>
        <v>1</v>
      </c>
      <c r="R1292">
        <f>IF(Table1[[#This Row],[دورة الفوترة]]="شهري",1,0)</f>
        <v>1</v>
      </c>
    </row>
    <row r="1293" spans="1:18" x14ac:dyDescent="0.25">
      <c r="A1293" t="s">
        <v>1313</v>
      </c>
      <c r="B1293" s="1">
        <v>45740</v>
      </c>
      <c r="C1293" t="s">
        <v>19</v>
      </c>
      <c r="D1293">
        <v>189</v>
      </c>
      <c r="E1293" t="s">
        <v>20</v>
      </c>
      <c r="F1293">
        <v>21</v>
      </c>
      <c r="G1293" t="s">
        <v>15</v>
      </c>
      <c r="H1293">
        <v>2</v>
      </c>
      <c r="I1293">
        <v>51</v>
      </c>
      <c r="J1293">
        <v>0</v>
      </c>
      <c r="K1293" t="s">
        <v>17</v>
      </c>
      <c r="L1293" t="s">
        <v>17</v>
      </c>
      <c r="M1293">
        <f>IF(Table1[[#This Row],[ألغى الاشتراك]]="نعم",1,0)</f>
        <v>0</v>
      </c>
      <c r="N1293">
        <f>IF(Table1[[#This Row],[وسيلة الدفع]]="بطاقة",1,0)</f>
        <v>1</v>
      </c>
      <c r="O1293">
        <f>IF(Table1[[#This Row],[وسيلة الدفع]]="محفظة",1,0)</f>
        <v>0</v>
      </c>
      <c r="P1293">
        <f>IF(Table1[[#This Row],[وسيلة الدفع]]="تحويل",1,0)</f>
        <v>0</v>
      </c>
      <c r="Q1293">
        <f>IF(Table1[[#This Row],[حضر التهيئة]]="نعم",1,0)</f>
        <v>0</v>
      </c>
      <c r="R1293">
        <f>IF(Table1[[#This Row],[دورة الفوترة]]="شهري",1,0)</f>
        <v>0</v>
      </c>
    </row>
    <row r="1294" spans="1:18" x14ac:dyDescent="0.25">
      <c r="A1294" t="s">
        <v>1314</v>
      </c>
      <c r="B1294" s="1">
        <v>45647</v>
      </c>
      <c r="C1294" t="s">
        <v>19</v>
      </c>
      <c r="D1294">
        <v>189</v>
      </c>
      <c r="E1294" t="s">
        <v>14</v>
      </c>
      <c r="F1294">
        <v>24</v>
      </c>
      <c r="G1294" t="s">
        <v>23</v>
      </c>
      <c r="H1294">
        <v>1</v>
      </c>
      <c r="I1294">
        <v>54</v>
      </c>
      <c r="J1294">
        <v>0</v>
      </c>
      <c r="K1294" t="s">
        <v>16</v>
      </c>
      <c r="L1294" t="s">
        <v>17</v>
      </c>
      <c r="M1294">
        <f>IF(Table1[[#This Row],[ألغى الاشتراك]]="نعم",1,0)</f>
        <v>0</v>
      </c>
      <c r="N1294">
        <f>IF(Table1[[#This Row],[وسيلة الدفع]]="بطاقة",1,0)</f>
        <v>0</v>
      </c>
      <c r="O1294">
        <f>IF(Table1[[#This Row],[وسيلة الدفع]]="محفظة",1,0)</f>
        <v>0</v>
      </c>
      <c r="P1294">
        <f>IF(Table1[[#This Row],[وسيلة الدفع]]="تحويل",1,0)</f>
        <v>1</v>
      </c>
      <c r="Q1294">
        <f>IF(Table1[[#This Row],[حضر التهيئة]]="نعم",1,0)</f>
        <v>1</v>
      </c>
      <c r="R1294">
        <f>IF(Table1[[#This Row],[دورة الفوترة]]="شهري",1,0)</f>
        <v>1</v>
      </c>
    </row>
    <row r="1295" spans="1:18" x14ac:dyDescent="0.25">
      <c r="A1295" t="s">
        <v>1315</v>
      </c>
      <c r="B1295" s="1">
        <v>45914</v>
      </c>
      <c r="C1295" t="s">
        <v>13</v>
      </c>
      <c r="D1295">
        <v>89</v>
      </c>
      <c r="E1295" t="s">
        <v>20</v>
      </c>
      <c r="F1295">
        <v>11</v>
      </c>
      <c r="G1295" t="s">
        <v>23</v>
      </c>
      <c r="H1295">
        <v>3</v>
      </c>
      <c r="I1295">
        <v>17</v>
      </c>
      <c r="J1295">
        <v>0</v>
      </c>
      <c r="K1295" t="s">
        <v>16</v>
      </c>
      <c r="L1295" t="s">
        <v>17</v>
      </c>
      <c r="M1295">
        <f>IF(Table1[[#This Row],[ألغى الاشتراك]]="نعم",1,0)</f>
        <v>0</v>
      </c>
      <c r="N1295">
        <f>IF(Table1[[#This Row],[وسيلة الدفع]]="بطاقة",1,0)</f>
        <v>0</v>
      </c>
      <c r="O1295">
        <f>IF(Table1[[#This Row],[وسيلة الدفع]]="محفظة",1,0)</f>
        <v>0</v>
      </c>
      <c r="P1295">
        <f>IF(Table1[[#This Row],[وسيلة الدفع]]="تحويل",1,0)</f>
        <v>1</v>
      </c>
      <c r="Q1295">
        <f>IF(Table1[[#This Row],[حضر التهيئة]]="نعم",1,0)</f>
        <v>1</v>
      </c>
      <c r="R1295">
        <f>IF(Table1[[#This Row],[دورة الفوترة]]="شهري",1,0)</f>
        <v>0</v>
      </c>
    </row>
    <row r="1296" spans="1:18" x14ac:dyDescent="0.25">
      <c r="A1296" t="s">
        <v>1316</v>
      </c>
      <c r="B1296" s="1">
        <v>45584</v>
      </c>
      <c r="C1296" t="s">
        <v>28</v>
      </c>
      <c r="D1296">
        <v>39</v>
      </c>
      <c r="E1296" t="s">
        <v>14</v>
      </c>
      <c r="F1296">
        <v>16</v>
      </c>
      <c r="G1296" t="s">
        <v>21</v>
      </c>
      <c r="H1296">
        <v>8</v>
      </c>
      <c r="I1296">
        <v>26</v>
      </c>
      <c r="J1296">
        <v>0</v>
      </c>
      <c r="K1296" t="s">
        <v>17</v>
      </c>
      <c r="L1296" t="s">
        <v>17</v>
      </c>
      <c r="M1296">
        <f>IF(Table1[[#This Row],[ألغى الاشتراك]]="نعم",1,0)</f>
        <v>0</v>
      </c>
      <c r="N1296">
        <f>IF(Table1[[#This Row],[وسيلة الدفع]]="بطاقة",1,0)</f>
        <v>0</v>
      </c>
      <c r="O1296">
        <f>IF(Table1[[#This Row],[وسيلة الدفع]]="محفظة",1,0)</f>
        <v>1</v>
      </c>
      <c r="P1296">
        <f>IF(Table1[[#This Row],[وسيلة الدفع]]="تحويل",1,0)</f>
        <v>0</v>
      </c>
      <c r="Q1296">
        <f>IF(Table1[[#This Row],[حضر التهيئة]]="نعم",1,0)</f>
        <v>0</v>
      </c>
      <c r="R1296">
        <f>IF(Table1[[#This Row],[دورة الفوترة]]="شهري",1,0)</f>
        <v>1</v>
      </c>
    </row>
    <row r="1297" spans="1:18" x14ac:dyDescent="0.25">
      <c r="A1297" t="s">
        <v>1317</v>
      </c>
      <c r="B1297" s="1">
        <v>45509</v>
      </c>
      <c r="C1297" t="s">
        <v>19</v>
      </c>
      <c r="D1297">
        <v>189</v>
      </c>
      <c r="E1297" t="s">
        <v>14</v>
      </c>
      <c r="F1297">
        <v>1</v>
      </c>
      <c r="G1297" t="s">
        <v>23</v>
      </c>
      <c r="H1297">
        <v>1</v>
      </c>
      <c r="I1297">
        <v>33</v>
      </c>
      <c r="J1297">
        <v>25</v>
      </c>
      <c r="K1297" t="s">
        <v>16</v>
      </c>
      <c r="L1297" t="s">
        <v>17</v>
      </c>
      <c r="M1297">
        <f>IF(Table1[[#This Row],[ألغى الاشتراك]]="نعم",1,0)</f>
        <v>0</v>
      </c>
      <c r="N1297">
        <f>IF(Table1[[#This Row],[وسيلة الدفع]]="بطاقة",1,0)</f>
        <v>0</v>
      </c>
      <c r="O1297">
        <f>IF(Table1[[#This Row],[وسيلة الدفع]]="محفظة",1,0)</f>
        <v>0</v>
      </c>
      <c r="P1297">
        <f>IF(Table1[[#This Row],[وسيلة الدفع]]="تحويل",1,0)</f>
        <v>1</v>
      </c>
      <c r="Q1297">
        <f>IF(Table1[[#This Row],[حضر التهيئة]]="نعم",1,0)</f>
        <v>1</v>
      </c>
      <c r="R1297">
        <f>IF(Table1[[#This Row],[دورة الفوترة]]="شهري",1,0)</f>
        <v>1</v>
      </c>
    </row>
    <row r="1298" spans="1:18" x14ac:dyDescent="0.25">
      <c r="A1298" t="s">
        <v>1318</v>
      </c>
      <c r="B1298" s="1">
        <v>45918</v>
      </c>
      <c r="C1298" t="s">
        <v>13</v>
      </c>
      <c r="D1298">
        <v>89</v>
      </c>
      <c r="E1298" t="s">
        <v>14</v>
      </c>
      <c r="F1298">
        <v>5</v>
      </c>
      <c r="G1298" t="s">
        <v>23</v>
      </c>
      <c r="H1298">
        <v>2</v>
      </c>
      <c r="I1298">
        <v>35</v>
      </c>
      <c r="J1298">
        <v>0</v>
      </c>
      <c r="K1298" t="s">
        <v>16</v>
      </c>
      <c r="L1298" t="s">
        <v>17</v>
      </c>
      <c r="M1298">
        <f>IF(Table1[[#This Row],[ألغى الاشتراك]]="نعم",1,0)</f>
        <v>0</v>
      </c>
      <c r="N1298">
        <f>IF(Table1[[#This Row],[وسيلة الدفع]]="بطاقة",1,0)</f>
        <v>0</v>
      </c>
      <c r="O1298">
        <f>IF(Table1[[#This Row],[وسيلة الدفع]]="محفظة",1,0)</f>
        <v>0</v>
      </c>
      <c r="P1298">
        <f>IF(Table1[[#This Row],[وسيلة الدفع]]="تحويل",1,0)</f>
        <v>1</v>
      </c>
      <c r="Q1298">
        <f>IF(Table1[[#This Row],[حضر التهيئة]]="نعم",1,0)</f>
        <v>1</v>
      </c>
      <c r="R1298">
        <f>IF(Table1[[#This Row],[دورة الفوترة]]="شهري",1,0)</f>
        <v>1</v>
      </c>
    </row>
    <row r="1299" spans="1:18" x14ac:dyDescent="0.25">
      <c r="A1299" t="s">
        <v>1319</v>
      </c>
      <c r="B1299" s="1">
        <v>45337</v>
      </c>
      <c r="C1299" t="s">
        <v>13</v>
      </c>
      <c r="D1299">
        <v>89</v>
      </c>
      <c r="E1299" t="s">
        <v>20</v>
      </c>
      <c r="F1299">
        <v>14</v>
      </c>
      <c r="G1299" t="s">
        <v>23</v>
      </c>
      <c r="H1299">
        <v>2</v>
      </c>
      <c r="I1299">
        <v>8</v>
      </c>
      <c r="J1299">
        <v>0</v>
      </c>
      <c r="K1299" t="s">
        <v>17</v>
      </c>
      <c r="L1299" t="s">
        <v>17</v>
      </c>
      <c r="M1299">
        <f>IF(Table1[[#This Row],[ألغى الاشتراك]]="نعم",1,0)</f>
        <v>0</v>
      </c>
      <c r="N1299">
        <f>IF(Table1[[#This Row],[وسيلة الدفع]]="بطاقة",1,0)</f>
        <v>0</v>
      </c>
      <c r="O1299">
        <f>IF(Table1[[#This Row],[وسيلة الدفع]]="محفظة",1,0)</f>
        <v>0</v>
      </c>
      <c r="P1299">
        <f>IF(Table1[[#This Row],[وسيلة الدفع]]="تحويل",1,0)</f>
        <v>1</v>
      </c>
      <c r="Q1299">
        <f>IF(Table1[[#This Row],[حضر التهيئة]]="نعم",1,0)</f>
        <v>0</v>
      </c>
      <c r="R1299">
        <f>IF(Table1[[#This Row],[دورة الفوترة]]="شهري",1,0)</f>
        <v>0</v>
      </c>
    </row>
    <row r="1300" spans="1:18" x14ac:dyDescent="0.25">
      <c r="A1300" t="s">
        <v>1320</v>
      </c>
      <c r="B1300" s="1">
        <v>45965</v>
      </c>
      <c r="C1300" t="s">
        <v>13</v>
      </c>
      <c r="D1300">
        <v>89</v>
      </c>
      <c r="E1300" t="s">
        <v>14</v>
      </c>
      <c r="F1300">
        <v>19</v>
      </c>
      <c r="G1300" t="s">
        <v>15</v>
      </c>
      <c r="H1300">
        <v>1</v>
      </c>
      <c r="I1300">
        <v>29</v>
      </c>
      <c r="J1300">
        <v>0</v>
      </c>
      <c r="K1300" t="s">
        <v>16</v>
      </c>
      <c r="L1300" t="s">
        <v>17</v>
      </c>
      <c r="M1300">
        <f>IF(Table1[[#This Row],[ألغى الاشتراك]]="نعم",1,0)</f>
        <v>0</v>
      </c>
      <c r="N1300">
        <f>IF(Table1[[#This Row],[وسيلة الدفع]]="بطاقة",1,0)</f>
        <v>1</v>
      </c>
      <c r="O1300">
        <f>IF(Table1[[#This Row],[وسيلة الدفع]]="محفظة",1,0)</f>
        <v>0</v>
      </c>
      <c r="P1300">
        <f>IF(Table1[[#This Row],[وسيلة الدفع]]="تحويل",1,0)</f>
        <v>0</v>
      </c>
      <c r="Q1300">
        <f>IF(Table1[[#This Row],[حضر التهيئة]]="نعم",1,0)</f>
        <v>1</v>
      </c>
      <c r="R1300">
        <f>IF(Table1[[#This Row],[دورة الفوترة]]="شهري",1,0)</f>
        <v>1</v>
      </c>
    </row>
    <row r="1301" spans="1:18" x14ac:dyDescent="0.25">
      <c r="A1301" t="s">
        <v>1321</v>
      </c>
      <c r="B1301" s="1">
        <v>45395</v>
      </c>
      <c r="C1301" t="s">
        <v>13</v>
      </c>
      <c r="D1301">
        <v>89</v>
      </c>
      <c r="E1301" t="s">
        <v>14</v>
      </c>
      <c r="F1301">
        <v>24</v>
      </c>
      <c r="G1301" t="s">
        <v>15</v>
      </c>
      <c r="H1301">
        <v>2</v>
      </c>
      <c r="I1301">
        <v>36</v>
      </c>
      <c r="J1301">
        <v>0</v>
      </c>
      <c r="K1301" t="s">
        <v>16</v>
      </c>
      <c r="L1301" t="s">
        <v>17</v>
      </c>
      <c r="M1301">
        <f>IF(Table1[[#This Row],[ألغى الاشتراك]]="نعم",1,0)</f>
        <v>0</v>
      </c>
      <c r="N1301">
        <f>IF(Table1[[#This Row],[وسيلة الدفع]]="بطاقة",1,0)</f>
        <v>1</v>
      </c>
      <c r="O1301">
        <f>IF(Table1[[#This Row],[وسيلة الدفع]]="محفظة",1,0)</f>
        <v>0</v>
      </c>
      <c r="P1301">
        <f>IF(Table1[[#This Row],[وسيلة الدفع]]="تحويل",1,0)</f>
        <v>0</v>
      </c>
      <c r="Q1301">
        <f>IF(Table1[[#This Row],[حضر التهيئة]]="نعم",1,0)</f>
        <v>1</v>
      </c>
      <c r="R1301">
        <f>IF(Table1[[#This Row],[دورة الفوترة]]="شهري",1,0)</f>
        <v>1</v>
      </c>
    </row>
    <row r="1302" spans="1:18" x14ac:dyDescent="0.25">
      <c r="A1302" t="s">
        <v>1322</v>
      </c>
      <c r="B1302" s="1">
        <v>45787</v>
      </c>
      <c r="C1302" t="s">
        <v>13</v>
      </c>
      <c r="D1302">
        <v>89</v>
      </c>
      <c r="E1302" t="s">
        <v>20</v>
      </c>
      <c r="F1302">
        <v>17</v>
      </c>
      <c r="G1302" t="s">
        <v>21</v>
      </c>
      <c r="H1302">
        <v>2</v>
      </c>
      <c r="I1302">
        <v>11</v>
      </c>
      <c r="J1302">
        <v>0</v>
      </c>
      <c r="K1302" t="s">
        <v>16</v>
      </c>
      <c r="L1302" t="s">
        <v>17</v>
      </c>
      <c r="M1302">
        <f>IF(Table1[[#This Row],[ألغى الاشتراك]]="نعم",1,0)</f>
        <v>0</v>
      </c>
      <c r="N1302">
        <f>IF(Table1[[#This Row],[وسيلة الدفع]]="بطاقة",1,0)</f>
        <v>0</v>
      </c>
      <c r="O1302">
        <f>IF(Table1[[#This Row],[وسيلة الدفع]]="محفظة",1,0)</f>
        <v>1</v>
      </c>
      <c r="P1302">
        <f>IF(Table1[[#This Row],[وسيلة الدفع]]="تحويل",1,0)</f>
        <v>0</v>
      </c>
      <c r="Q1302">
        <f>IF(Table1[[#This Row],[حضر التهيئة]]="نعم",1,0)</f>
        <v>1</v>
      </c>
      <c r="R1302">
        <f>IF(Table1[[#This Row],[دورة الفوترة]]="شهري",1,0)</f>
        <v>0</v>
      </c>
    </row>
    <row r="1303" spans="1:18" x14ac:dyDescent="0.25">
      <c r="A1303" t="s">
        <v>1323</v>
      </c>
      <c r="B1303" s="1">
        <v>45345</v>
      </c>
      <c r="C1303" t="s">
        <v>13</v>
      </c>
      <c r="D1303">
        <v>89</v>
      </c>
      <c r="E1303" t="s">
        <v>20</v>
      </c>
      <c r="F1303">
        <v>6</v>
      </c>
      <c r="G1303" t="s">
        <v>21</v>
      </c>
      <c r="H1303">
        <v>2</v>
      </c>
      <c r="I1303">
        <v>16</v>
      </c>
      <c r="J1303">
        <v>0</v>
      </c>
      <c r="K1303" t="s">
        <v>17</v>
      </c>
      <c r="L1303" t="s">
        <v>17</v>
      </c>
      <c r="M1303">
        <f>IF(Table1[[#This Row],[ألغى الاشتراك]]="نعم",1,0)</f>
        <v>0</v>
      </c>
      <c r="N1303">
        <f>IF(Table1[[#This Row],[وسيلة الدفع]]="بطاقة",1,0)</f>
        <v>0</v>
      </c>
      <c r="O1303">
        <f>IF(Table1[[#This Row],[وسيلة الدفع]]="محفظة",1,0)</f>
        <v>1</v>
      </c>
      <c r="P1303">
        <f>IF(Table1[[#This Row],[وسيلة الدفع]]="تحويل",1,0)</f>
        <v>0</v>
      </c>
      <c r="Q1303">
        <f>IF(Table1[[#This Row],[حضر التهيئة]]="نعم",1,0)</f>
        <v>0</v>
      </c>
      <c r="R1303">
        <f>IF(Table1[[#This Row],[دورة الفوترة]]="شهري",1,0)</f>
        <v>0</v>
      </c>
    </row>
    <row r="1304" spans="1:18" x14ac:dyDescent="0.25">
      <c r="A1304" t="s">
        <v>1324</v>
      </c>
      <c r="B1304" s="1">
        <v>45981</v>
      </c>
      <c r="C1304" t="s">
        <v>28</v>
      </c>
      <c r="D1304">
        <v>39</v>
      </c>
      <c r="E1304" t="s">
        <v>20</v>
      </c>
      <c r="F1304">
        <v>21</v>
      </c>
      <c r="G1304" t="s">
        <v>15</v>
      </c>
      <c r="H1304">
        <v>1</v>
      </c>
      <c r="I1304">
        <v>15</v>
      </c>
      <c r="J1304">
        <v>0</v>
      </c>
      <c r="K1304" t="s">
        <v>16</v>
      </c>
      <c r="L1304" t="s">
        <v>17</v>
      </c>
      <c r="M1304">
        <f>IF(Table1[[#This Row],[ألغى الاشتراك]]="نعم",1,0)</f>
        <v>0</v>
      </c>
      <c r="N1304">
        <f>IF(Table1[[#This Row],[وسيلة الدفع]]="بطاقة",1,0)</f>
        <v>1</v>
      </c>
      <c r="O1304">
        <f>IF(Table1[[#This Row],[وسيلة الدفع]]="محفظة",1,0)</f>
        <v>0</v>
      </c>
      <c r="P1304">
        <f>IF(Table1[[#This Row],[وسيلة الدفع]]="تحويل",1,0)</f>
        <v>0</v>
      </c>
      <c r="Q1304">
        <f>IF(Table1[[#This Row],[حضر التهيئة]]="نعم",1,0)</f>
        <v>1</v>
      </c>
      <c r="R1304">
        <f>IF(Table1[[#This Row],[دورة الفوترة]]="شهري",1,0)</f>
        <v>0</v>
      </c>
    </row>
    <row r="1305" spans="1:18" x14ac:dyDescent="0.25">
      <c r="A1305" t="s">
        <v>1325</v>
      </c>
      <c r="B1305" s="1">
        <v>45525</v>
      </c>
      <c r="C1305" t="s">
        <v>13</v>
      </c>
      <c r="D1305">
        <v>89</v>
      </c>
      <c r="E1305" t="s">
        <v>14</v>
      </c>
      <c r="F1305">
        <v>18</v>
      </c>
      <c r="G1305" t="s">
        <v>15</v>
      </c>
      <c r="H1305">
        <v>2</v>
      </c>
      <c r="I1305">
        <v>12</v>
      </c>
      <c r="J1305">
        <v>0</v>
      </c>
      <c r="K1305" t="s">
        <v>17</v>
      </c>
      <c r="L1305" t="s">
        <v>17</v>
      </c>
      <c r="M1305">
        <f>IF(Table1[[#This Row],[ألغى الاشتراك]]="نعم",1,0)</f>
        <v>0</v>
      </c>
      <c r="N1305">
        <f>IF(Table1[[#This Row],[وسيلة الدفع]]="بطاقة",1,0)</f>
        <v>1</v>
      </c>
      <c r="O1305">
        <f>IF(Table1[[#This Row],[وسيلة الدفع]]="محفظة",1,0)</f>
        <v>0</v>
      </c>
      <c r="P1305">
        <f>IF(Table1[[#This Row],[وسيلة الدفع]]="تحويل",1,0)</f>
        <v>0</v>
      </c>
      <c r="Q1305">
        <f>IF(Table1[[#This Row],[حضر التهيئة]]="نعم",1,0)</f>
        <v>0</v>
      </c>
      <c r="R1305">
        <f>IF(Table1[[#This Row],[دورة الفوترة]]="شهري",1,0)</f>
        <v>1</v>
      </c>
    </row>
    <row r="1306" spans="1:18" x14ac:dyDescent="0.25">
      <c r="A1306" t="s">
        <v>1326</v>
      </c>
      <c r="B1306" s="1">
        <v>45576</v>
      </c>
      <c r="C1306" t="s">
        <v>13</v>
      </c>
      <c r="D1306">
        <v>89</v>
      </c>
      <c r="E1306" t="s">
        <v>14</v>
      </c>
      <c r="F1306">
        <v>23</v>
      </c>
      <c r="G1306" t="s">
        <v>15</v>
      </c>
      <c r="H1306">
        <v>1</v>
      </c>
      <c r="I1306">
        <v>9</v>
      </c>
      <c r="J1306">
        <v>10</v>
      </c>
      <c r="K1306" t="s">
        <v>16</v>
      </c>
      <c r="L1306" t="s">
        <v>17</v>
      </c>
      <c r="M1306">
        <f>IF(Table1[[#This Row],[ألغى الاشتراك]]="نعم",1,0)</f>
        <v>0</v>
      </c>
      <c r="N1306">
        <f>IF(Table1[[#This Row],[وسيلة الدفع]]="بطاقة",1,0)</f>
        <v>1</v>
      </c>
      <c r="O1306">
        <f>IF(Table1[[#This Row],[وسيلة الدفع]]="محفظة",1,0)</f>
        <v>0</v>
      </c>
      <c r="P1306">
        <f>IF(Table1[[#This Row],[وسيلة الدفع]]="تحويل",1,0)</f>
        <v>0</v>
      </c>
      <c r="Q1306">
        <f>IF(Table1[[#This Row],[حضر التهيئة]]="نعم",1,0)</f>
        <v>1</v>
      </c>
      <c r="R1306">
        <f>IF(Table1[[#This Row],[دورة الفوترة]]="شهري",1,0)</f>
        <v>1</v>
      </c>
    </row>
    <row r="1307" spans="1:18" x14ac:dyDescent="0.25">
      <c r="A1307" t="s">
        <v>1327</v>
      </c>
      <c r="B1307" s="1">
        <v>45529</v>
      </c>
      <c r="C1307" t="s">
        <v>19</v>
      </c>
      <c r="D1307">
        <v>189</v>
      </c>
      <c r="E1307" t="s">
        <v>20</v>
      </c>
      <c r="F1307">
        <v>17</v>
      </c>
      <c r="G1307" t="s">
        <v>21</v>
      </c>
      <c r="H1307">
        <v>2</v>
      </c>
      <c r="I1307">
        <v>37</v>
      </c>
      <c r="J1307">
        <v>25</v>
      </c>
      <c r="K1307" t="s">
        <v>17</v>
      </c>
      <c r="L1307" t="s">
        <v>17</v>
      </c>
      <c r="M1307">
        <f>IF(Table1[[#This Row],[ألغى الاشتراك]]="نعم",1,0)</f>
        <v>0</v>
      </c>
      <c r="N1307">
        <f>IF(Table1[[#This Row],[وسيلة الدفع]]="بطاقة",1,0)</f>
        <v>0</v>
      </c>
      <c r="O1307">
        <f>IF(Table1[[#This Row],[وسيلة الدفع]]="محفظة",1,0)</f>
        <v>1</v>
      </c>
      <c r="P1307">
        <f>IF(Table1[[#This Row],[وسيلة الدفع]]="تحويل",1,0)</f>
        <v>0</v>
      </c>
      <c r="Q1307">
        <f>IF(Table1[[#This Row],[حضر التهيئة]]="نعم",1,0)</f>
        <v>0</v>
      </c>
      <c r="R1307">
        <f>IF(Table1[[#This Row],[دورة الفوترة]]="شهري",1,0)</f>
        <v>0</v>
      </c>
    </row>
    <row r="1308" spans="1:18" x14ac:dyDescent="0.25">
      <c r="A1308" t="s">
        <v>1328</v>
      </c>
      <c r="B1308" s="1">
        <v>45922</v>
      </c>
      <c r="C1308" t="s">
        <v>19</v>
      </c>
      <c r="D1308">
        <v>189</v>
      </c>
      <c r="E1308" t="s">
        <v>14</v>
      </c>
      <c r="F1308">
        <v>21</v>
      </c>
      <c r="G1308" t="s">
        <v>21</v>
      </c>
      <c r="H1308">
        <v>1</v>
      </c>
      <c r="I1308">
        <v>7</v>
      </c>
      <c r="J1308">
        <v>0</v>
      </c>
      <c r="K1308" t="s">
        <v>17</v>
      </c>
      <c r="L1308" t="s">
        <v>17</v>
      </c>
      <c r="M1308">
        <f>IF(Table1[[#This Row],[ألغى الاشتراك]]="نعم",1,0)</f>
        <v>0</v>
      </c>
      <c r="N1308">
        <f>IF(Table1[[#This Row],[وسيلة الدفع]]="بطاقة",1,0)</f>
        <v>0</v>
      </c>
      <c r="O1308">
        <f>IF(Table1[[#This Row],[وسيلة الدفع]]="محفظة",1,0)</f>
        <v>1</v>
      </c>
      <c r="P1308">
        <f>IF(Table1[[#This Row],[وسيلة الدفع]]="تحويل",1,0)</f>
        <v>0</v>
      </c>
      <c r="Q1308">
        <f>IF(Table1[[#This Row],[حضر التهيئة]]="نعم",1,0)</f>
        <v>0</v>
      </c>
      <c r="R1308">
        <f>IF(Table1[[#This Row],[دورة الفوترة]]="شهري",1,0)</f>
        <v>1</v>
      </c>
    </row>
    <row r="1309" spans="1:18" x14ac:dyDescent="0.25">
      <c r="A1309" t="s">
        <v>1329</v>
      </c>
      <c r="B1309" s="1">
        <v>45846</v>
      </c>
      <c r="C1309" t="s">
        <v>19</v>
      </c>
      <c r="D1309">
        <v>189</v>
      </c>
      <c r="E1309" t="s">
        <v>14</v>
      </c>
      <c r="F1309">
        <v>20</v>
      </c>
      <c r="G1309" t="s">
        <v>15</v>
      </c>
      <c r="H1309">
        <v>10</v>
      </c>
      <c r="I1309">
        <v>48</v>
      </c>
      <c r="J1309">
        <v>15</v>
      </c>
      <c r="K1309" t="s">
        <v>17</v>
      </c>
      <c r="L1309" t="s">
        <v>16</v>
      </c>
      <c r="M1309">
        <f>IF(Table1[[#This Row],[ألغى الاشتراك]]="نعم",1,0)</f>
        <v>1</v>
      </c>
      <c r="N1309">
        <f>IF(Table1[[#This Row],[وسيلة الدفع]]="بطاقة",1,0)</f>
        <v>1</v>
      </c>
      <c r="O1309">
        <f>IF(Table1[[#This Row],[وسيلة الدفع]]="محفظة",1,0)</f>
        <v>0</v>
      </c>
      <c r="P1309">
        <f>IF(Table1[[#This Row],[وسيلة الدفع]]="تحويل",1,0)</f>
        <v>0</v>
      </c>
      <c r="Q1309">
        <f>IF(Table1[[#This Row],[حضر التهيئة]]="نعم",1,0)</f>
        <v>0</v>
      </c>
      <c r="R1309">
        <f>IF(Table1[[#This Row],[دورة الفوترة]]="شهري",1,0)</f>
        <v>1</v>
      </c>
    </row>
    <row r="1310" spans="1:18" x14ac:dyDescent="0.25">
      <c r="A1310" t="s">
        <v>1330</v>
      </c>
      <c r="B1310" s="1">
        <v>45639</v>
      </c>
      <c r="C1310" t="s">
        <v>19</v>
      </c>
      <c r="D1310">
        <v>189</v>
      </c>
      <c r="E1310" t="s">
        <v>20</v>
      </c>
      <c r="F1310">
        <v>12</v>
      </c>
      <c r="G1310" t="s">
        <v>15</v>
      </c>
      <c r="H1310">
        <v>2</v>
      </c>
      <c r="I1310">
        <v>30</v>
      </c>
      <c r="J1310">
        <v>0</v>
      </c>
      <c r="K1310" t="s">
        <v>17</v>
      </c>
      <c r="L1310" t="s">
        <v>17</v>
      </c>
      <c r="M1310">
        <f>IF(Table1[[#This Row],[ألغى الاشتراك]]="نعم",1,0)</f>
        <v>0</v>
      </c>
      <c r="N1310">
        <f>IF(Table1[[#This Row],[وسيلة الدفع]]="بطاقة",1,0)</f>
        <v>1</v>
      </c>
      <c r="O1310">
        <f>IF(Table1[[#This Row],[وسيلة الدفع]]="محفظة",1,0)</f>
        <v>0</v>
      </c>
      <c r="P1310">
        <f>IF(Table1[[#This Row],[وسيلة الدفع]]="تحويل",1,0)</f>
        <v>0</v>
      </c>
      <c r="Q1310">
        <f>IF(Table1[[#This Row],[حضر التهيئة]]="نعم",1,0)</f>
        <v>0</v>
      </c>
      <c r="R1310">
        <f>IF(Table1[[#This Row],[دورة الفوترة]]="شهري",1,0)</f>
        <v>0</v>
      </c>
    </row>
    <row r="1311" spans="1:18" x14ac:dyDescent="0.25">
      <c r="A1311" t="s">
        <v>1331</v>
      </c>
      <c r="B1311" s="1">
        <v>45914</v>
      </c>
      <c r="C1311" t="s">
        <v>28</v>
      </c>
      <c r="D1311">
        <v>39</v>
      </c>
      <c r="E1311" t="s">
        <v>20</v>
      </c>
      <c r="F1311">
        <v>11</v>
      </c>
      <c r="G1311" t="s">
        <v>23</v>
      </c>
      <c r="H1311">
        <v>1</v>
      </c>
      <c r="I1311">
        <v>29</v>
      </c>
      <c r="J1311">
        <v>0</v>
      </c>
      <c r="K1311" t="s">
        <v>17</v>
      </c>
      <c r="L1311" t="s">
        <v>17</v>
      </c>
      <c r="M1311">
        <f>IF(Table1[[#This Row],[ألغى الاشتراك]]="نعم",1,0)</f>
        <v>0</v>
      </c>
      <c r="N1311">
        <f>IF(Table1[[#This Row],[وسيلة الدفع]]="بطاقة",1,0)</f>
        <v>0</v>
      </c>
      <c r="O1311">
        <f>IF(Table1[[#This Row],[وسيلة الدفع]]="محفظة",1,0)</f>
        <v>0</v>
      </c>
      <c r="P1311">
        <f>IF(Table1[[#This Row],[وسيلة الدفع]]="تحويل",1,0)</f>
        <v>1</v>
      </c>
      <c r="Q1311">
        <f>IF(Table1[[#This Row],[حضر التهيئة]]="نعم",1,0)</f>
        <v>0</v>
      </c>
      <c r="R1311">
        <f>IF(Table1[[#This Row],[دورة الفوترة]]="شهري",1,0)</f>
        <v>0</v>
      </c>
    </row>
    <row r="1312" spans="1:18" x14ac:dyDescent="0.25">
      <c r="A1312" t="s">
        <v>1332</v>
      </c>
      <c r="B1312" s="1">
        <v>45466</v>
      </c>
      <c r="C1312" t="s">
        <v>28</v>
      </c>
      <c r="D1312">
        <v>39</v>
      </c>
      <c r="E1312" t="s">
        <v>14</v>
      </c>
      <c r="F1312">
        <v>2</v>
      </c>
      <c r="G1312" t="s">
        <v>15</v>
      </c>
      <c r="H1312">
        <v>2</v>
      </c>
      <c r="I1312">
        <v>12</v>
      </c>
      <c r="J1312">
        <v>0</v>
      </c>
      <c r="K1312" t="s">
        <v>17</v>
      </c>
      <c r="L1312" t="s">
        <v>17</v>
      </c>
      <c r="M1312">
        <f>IF(Table1[[#This Row],[ألغى الاشتراك]]="نعم",1,0)</f>
        <v>0</v>
      </c>
      <c r="N1312">
        <f>IF(Table1[[#This Row],[وسيلة الدفع]]="بطاقة",1,0)</f>
        <v>1</v>
      </c>
      <c r="O1312">
        <f>IF(Table1[[#This Row],[وسيلة الدفع]]="محفظة",1,0)</f>
        <v>0</v>
      </c>
      <c r="P1312">
        <f>IF(Table1[[#This Row],[وسيلة الدفع]]="تحويل",1,0)</f>
        <v>0</v>
      </c>
      <c r="Q1312">
        <f>IF(Table1[[#This Row],[حضر التهيئة]]="نعم",1,0)</f>
        <v>0</v>
      </c>
      <c r="R1312">
        <f>IF(Table1[[#This Row],[دورة الفوترة]]="شهري",1,0)</f>
        <v>1</v>
      </c>
    </row>
    <row r="1313" spans="1:18" x14ac:dyDescent="0.25">
      <c r="A1313" t="s">
        <v>1333</v>
      </c>
      <c r="B1313" s="1">
        <v>45989</v>
      </c>
      <c r="C1313" t="s">
        <v>28</v>
      </c>
      <c r="D1313">
        <v>39</v>
      </c>
      <c r="E1313" t="s">
        <v>14</v>
      </c>
      <c r="F1313">
        <v>5</v>
      </c>
      <c r="G1313" t="s">
        <v>23</v>
      </c>
      <c r="H1313">
        <v>1</v>
      </c>
      <c r="I1313">
        <v>19</v>
      </c>
      <c r="J1313">
        <v>0</v>
      </c>
      <c r="K1313" t="s">
        <v>17</v>
      </c>
      <c r="L1313" t="s">
        <v>17</v>
      </c>
      <c r="M1313">
        <f>IF(Table1[[#This Row],[ألغى الاشتراك]]="نعم",1,0)</f>
        <v>0</v>
      </c>
      <c r="N1313">
        <f>IF(Table1[[#This Row],[وسيلة الدفع]]="بطاقة",1,0)</f>
        <v>0</v>
      </c>
      <c r="O1313">
        <f>IF(Table1[[#This Row],[وسيلة الدفع]]="محفظة",1,0)</f>
        <v>0</v>
      </c>
      <c r="P1313">
        <f>IF(Table1[[#This Row],[وسيلة الدفع]]="تحويل",1,0)</f>
        <v>1</v>
      </c>
      <c r="Q1313">
        <f>IF(Table1[[#This Row],[حضر التهيئة]]="نعم",1,0)</f>
        <v>0</v>
      </c>
      <c r="R1313">
        <f>IF(Table1[[#This Row],[دورة الفوترة]]="شهري",1,0)</f>
        <v>1</v>
      </c>
    </row>
    <row r="1314" spans="1:18" x14ac:dyDescent="0.25">
      <c r="A1314" t="s">
        <v>1334</v>
      </c>
      <c r="B1314" s="1">
        <v>45403</v>
      </c>
      <c r="C1314" t="s">
        <v>28</v>
      </c>
      <c r="D1314">
        <v>39</v>
      </c>
      <c r="E1314" t="s">
        <v>20</v>
      </c>
      <c r="F1314">
        <v>20</v>
      </c>
      <c r="G1314" t="s">
        <v>15</v>
      </c>
      <c r="H1314">
        <v>1</v>
      </c>
      <c r="I1314">
        <v>14</v>
      </c>
      <c r="J1314">
        <v>0</v>
      </c>
      <c r="K1314" t="s">
        <v>16</v>
      </c>
      <c r="L1314" t="s">
        <v>17</v>
      </c>
      <c r="M1314">
        <f>IF(Table1[[#This Row],[ألغى الاشتراك]]="نعم",1,0)</f>
        <v>0</v>
      </c>
      <c r="N1314">
        <f>IF(Table1[[#This Row],[وسيلة الدفع]]="بطاقة",1,0)</f>
        <v>1</v>
      </c>
      <c r="O1314">
        <f>IF(Table1[[#This Row],[وسيلة الدفع]]="محفظة",1,0)</f>
        <v>0</v>
      </c>
      <c r="P1314">
        <f>IF(Table1[[#This Row],[وسيلة الدفع]]="تحويل",1,0)</f>
        <v>0</v>
      </c>
      <c r="Q1314">
        <f>IF(Table1[[#This Row],[حضر التهيئة]]="نعم",1,0)</f>
        <v>1</v>
      </c>
      <c r="R1314">
        <f>IF(Table1[[#This Row],[دورة الفوترة]]="شهري",1,0)</f>
        <v>0</v>
      </c>
    </row>
    <row r="1315" spans="1:18" x14ac:dyDescent="0.25">
      <c r="A1315" t="s">
        <v>1335</v>
      </c>
      <c r="B1315" s="1">
        <v>45679</v>
      </c>
      <c r="C1315" t="s">
        <v>13</v>
      </c>
      <c r="D1315">
        <v>89</v>
      </c>
      <c r="E1315" t="s">
        <v>20</v>
      </c>
      <c r="F1315">
        <v>27</v>
      </c>
      <c r="G1315" t="s">
        <v>15</v>
      </c>
      <c r="H1315">
        <v>6</v>
      </c>
      <c r="I1315">
        <v>9</v>
      </c>
      <c r="J1315">
        <v>0</v>
      </c>
      <c r="K1315" t="s">
        <v>16</v>
      </c>
      <c r="L1315" t="s">
        <v>16</v>
      </c>
      <c r="M1315">
        <f>IF(Table1[[#This Row],[ألغى الاشتراك]]="نعم",1,0)</f>
        <v>1</v>
      </c>
      <c r="N1315">
        <f>IF(Table1[[#This Row],[وسيلة الدفع]]="بطاقة",1,0)</f>
        <v>1</v>
      </c>
      <c r="O1315">
        <f>IF(Table1[[#This Row],[وسيلة الدفع]]="محفظة",1,0)</f>
        <v>0</v>
      </c>
      <c r="P1315">
        <f>IF(Table1[[#This Row],[وسيلة الدفع]]="تحويل",1,0)</f>
        <v>0</v>
      </c>
      <c r="Q1315">
        <f>IF(Table1[[#This Row],[حضر التهيئة]]="نعم",1,0)</f>
        <v>1</v>
      </c>
      <c r="R1315">
        <f>IF(Table1[[#This Row],[دورة الفوترة]]="شهري",1,0)</f>
        <v>0</v>
      </c>
    </row>
    <row r="1316" spans="1:18" x14ac:dyDescent="0.25">
      <c r="A1316" t="s">
        <v>1336</v>
      </c>
      <c r="B1316" s="1">
        <v>45446</v>
      </c>
      <c r="C1316" t="s">
        <v>19</v>
      </c>
      <c r="D1316">
        <v>189</v>
      </c>
      <c r="E1316" t="s">
        <v>20</v>
      </c>
      <c r="F1316">
        <v>18</v>
      </c>
      <c r="G1316" t="s">
        <v>21</v>
      </c>
      <c r="H1316">
        <v>2</v>
      </c>
      <c r="I1316">
        <v>36</v>
      </c>
      <c r="J1316">
        <v>0</v>
      </c>
      <c r="K1316" t="s">
        <v>16</v>
      </c>
      <c r="L1316" t="s">
        <v>17</v>
      </c>
      <c r="M1316">
        <f>IF(Table1[[#This Row],[ألغى الاشتراك]]="نعم",1,0)</f>
        <v>0</v>
      </c>
      <c r="N1316">
        <f>IF(Table1[[#This Row],[وسيلة الدفع]]="بطاقة",1,0)</f>
        <v>0</v>
      </c>
      <c r="O1316">
        <f>IF(Table1[[#This Row],[وسيلة الدفع]]="محفظة",1,0)</f>
        <v>1</v>
      </c>
      <c r="P1316">
        <f>IF(Table1[[#This Row],[وسيلة الدفع]]="تحويل",1,0)</f>
        <v>0</v>
      </c>
      <c r="Q1316">
        <f>IF(Table1[[#This Row],[حضر التهيئة]]="نعم",1,0)</f>
        <v>1</v>
      </c>
      <c r="R1316">
        <f>IF(Table1[[#This Row],[دورة الفوترة]]="شهري",1,0)</f>
        <v>0</v>
      </c>
    </row>
    <row r="1317" spans="1:18" x14ac:dyDescent="0.25">
      <c r="A1317" t="s">
        <v>1337</v>
      </c>
      <c r="B1317" s="1">
        <v>45387</v>
      </c>
      <c r="C1317" t="s">
        <v>28</v>
      </c>
      <c r="D1317">
        <v>39</v>
      </c>
      <c r="E1317" t="s">
        <v>20</v>
      </c>
      <c r="F1317">
        <v>19</v>
      </c>
      <c r="G1317" t="s">
        <v>21</v>
      </c>
      <c r="H1317">
        <v>10</v>
      </c>
      <c r="I1317">
        <v>49</v>
      </c>
      <c r="J1317">
        <v>25</v>
      </c>
      <c r="K1317" t="s">
        <v>17</v>
      </c>
      <c r="L1317" t="s">
        <v>17</v>
      </c>
      <c r="M1317">
        <f>IF(Table1[[#This Row],[ألغى الاشتراك]]="نعم",1,0)</f>
        <v>0</v>
      </c>
      <c r="N1317">
        <f>IF(Table1[[#This Row],[وسيلة الدفع]]="بطاقة",1,0)</f>
        <v>0</v>
      </c>
      <c r="O1317">
        <f>IF(Table1[[#This Row],[وسيلة الدفع]]="محفظة",1,0)</f>
        <v>1</v>
      </c>
      <c r="P1317">
        <f>IF(Table1[[#This Row],[وسيلة الدفع]]="تحويل",1,0)</f>
        <v>0</v>
      </c>
      <c r="Q1317">
        <f>IF(Table1[[#This Row],[حضر التهيئة]]="نعم",1,0)</f>
        <v>0</v>
      </c>
      <c r="R1317">
        <f>IF(Table1[[#This Row],[دورة الفوترة]]="شهري",1,0)</f>
        <v>0</v>
      </c>
    </row>
    <row r="1318" spans="1:18" x14ac:dyDescent="0.25">
      <c r="A1318" t="s">
        <v>1338</v>
      </c>
      <c r="B1318" s="1">
        <v>45458</v>
      </c>
      <c r="C1318" t="s">
        <v>19</v>
      </c>
      <c r="D1318">
        <v>189</v>
      </c>
      <c r="E1318" t="s">
        <v>14</v>
      </c>
      <c r="F1318">
        <v>27</v>
      </c>
      <c r="G1318" t="s">
        <v>15</v>
      </c>
      <c r="H1318">
        <v>3</v>
      </c>
      <c r="I1318">
        <v>29</v>
      </c>
      <c r="J1318">
        <v>10</v>
      </c>
      <c r="K1318" t="s">
        <v>16</v>
      </c>
      <c r="L1318" t="s">
        <v>17</v>
      </c>
      <c r="M1318">
        <f>IF(Table1[[#This Row],[ألغى الاشتراك]]="نعم",1,0)</f>
        <v>0</v>
      </c>
      <c r="N1318">
        <f>IF(Table1[[#This Row],[وسيلة الدفع]]="بطاقة",1,0)</f>
        <v>1</v>
      </c>
      <c r="O1318">
        <f>IF(Table1[[#This Row],[وسيلة الدفع]]="محفظة",1,0)</f>
        <v>0</v>
      </c>
      <c r="P1318">
        <f>IF(Table1[[#This Row],[وسيلة الدفع]]="تحويل",1,0)</f>
        <v>0</v>
      </c>
      <c r="Q1318">
        <f>IF(Table1[[#This Row],[حضر التهيئة]]="نعم",1,0)</f>
        <v>1</v>
      </c>
      <c r="R1318">
        <f>IF(Table1[[#This Row],[دورة الفوترة]]="شهري",1,0)</f>
        <v>1</v>
      </c>
    </row>
    <row r="1319" spans="1:18" x14ac:dyDescent="0.25">
      <c r="A1319" t="s">
        <v>1339</v>
      </c>
      <c r="B1319" s="1">
        <v>45525</v>
      </c>
      <c r="C1319" t="s">
        <v>19</v>
      </c>
      <c r="D1319">
        <v>189</v>
      </c>
      <c r="E1319" t="s">
        <v>14</v>
      </c>
      <c r="F1319">
        <v>25</v>
      </c>
      <c r="G1319" t="s">
        <v>23</v>
      </c>
      <c r="H1319">
        <v>2</v>
      </c>
      <c r="I1319">
        <v>43</v>
      </c>
      <c r="J1319">
        <v>25</v>
      </c>
      <c r="K1319" t="s">
        <v>17</v>
      </c>
      <c r="L1319" t="s">
        <v>17</v>
      </c>
      <c r="M1319">
        <f>IF(Table1[[#This Row],[ألغى الاشتراك]]="نعم",1,0)</f>
        <v>0</v>
      </c>
      <c r="N1319">
        <f>IF(Table1[[#This Row],[وسيلة الدفع]]="بطاقة",1,0)</f>
        <v>0</v>
      </c>
      <c r="O1319">
        <f>IF(Table1[[#This Row],[وسيلة الدفع]]="محفظة",1,0)</f>
        <v>0</v>
      </c>
      <c r="P1319">
        <f>IF(Table1[[#This Row],[وسيلة الدفع]]="تحويل",1,0)</f>
        <v>1</v>
      </c>
      <c r="Q1319">
        <f>IF(Table1[[#This Row],[حضر التهيئة]]="نعم",1,0)</f>
        <v>0</v>
      </c>
      <c r="R1319">
        <f>IF(Table1[[#This Row],[دورة الفوترة]]="شهري",1,0)</f>
        <v>1</v>
      </c>
    </row>
    <row r="1320" spans="1:18" x14ac:dyDescent="0.25">
      <c r="A1320" t="s">
        <v>1340</v>
      </c>
      <c r="B1320" s="1">
        <v>45914</v>
      </c>
      <c r="C1320" t="s">
        <v>13</v>
      </c>
      <c r="D1320">
        <v>89</v>
      </c>
      <c r="E1320" t="s">
        <v>20</v>
      </c>
      <c r="F1320">
        <v>1</v>
      </c>
      <c r="G1320" t="s">
        <v>21</v>
      </c>
      <c r="H1320">
        <v>2</v>
      </c>
      <c r="I1320">
        <v>53</v>
      </c>
      <c r="J1320">
        <v>0</v>
      </c>
      <c r="K1320" t="s">
        <v>16</v>
      </c>
      <c r="L1320" t="s">
        <v>17</v>
      </c>
      <c r="M1320">
        <f>IF(Table1[[#This Row],[ألغى الاشتراك]]="نعم",1,0)</f>
        <v>0</v>
      </c>
      <c r="N1320">
        <f>IF(Table1[[#This Row],[وسيلة الدفع]]="بطاقة",1,0)</f>
        <v>0</v>
      </c>
      <c r="O1320">
        <f>IF(Table1[[#This Row],[وسيلة الدفع]]="محفظة",1,0)</f>
        <v>1</v>
      </c>
      <c r="P1320">
        <f>IF(Table1[[#This Row],[وسيلة الدفع]]="تحويل",1,0)</f>
        <v>0</v>
      </c>
      <c r="Q1320">
        <f>IF(Table1[[#This Row],[حضر التهيئة]]="نعم",1,0)</f>
        <v>1</v>
      </c>
      <c r="R1320">
        <f>IF(Table1[[#This Row],[دورة الفوترة]]="شهري",1,0)</f>
        <v>0</v>
      </c>
    </row>
    <row r="1321" spans="1:18" x14ac:dyDescent="0.25">
      <c r="A1321" t="s">
        <v>1341</v>
      </c>
      <c r="B1321" s="1">
        <v>45576</v>
      </c>
      <c r="C1321" t="s">
        <v>28</v>
      </c>
      <c r="D1321">
        <v>39</v>
      </c>
      <c r="E1321" t="s">
        <v>14</v>
      </c>
      <c r="F1321">
        <v>18</v>
      </c>
      <c r="G1321" t="s">
        <v>21</v>
      </c>
      <c r="H1321">
        <v>6</v>
      </c>
      <c r="I1321">
        <v>18</v>
      </c>
      <c r="J1321">
        <v>0</v>
      </c>
      <c r="K1321" t="s">
        <v>16</v>
      </c>
      <c r="L1321" t="s">
        <v>17</v>
      </c>
      <c r="M1321">
        <f>IF(Table1[[#This Row],[ألغى الاشتراك]]="نعم",1,0)</f>
        <v>0</v>
      </c>
      <c r="N1321">
        <f>IF(Table1[[#This Row],[وسيلة الدفع]]="بطاقة",1,0)</f>
        <v>0</v>
      </c>
      <c r="O1321">
        <f>IF(Table1[[#This Row],[وسيلة الدفع]]="محفظة",1,0)</f>
        <v>1</v>
      </c>
      <c r="P1321">
        <f>IF(Table1[[#This Row],[وسيلة الدفع]]="تحويل",1,0)</f>
        <v>0</v>
      </c>
      <c r="Q1321">
        <f>IF(Table1[[#This Row],[حضر التهيئة]]="نعم",1,0)</f>
        <v>1</v>
      </c>
      <c r="R1321">
        <f>IF(Table1[[#This Row],[دورة الفوترة]]="شهري",1,0)</f>
        <v>1</v>
      </c>
    </row>
    <row r="1322" spans="1:18" x14ac:dyDescent="0.25">
      <c r="A1322" t="s">
        <v>1342</v>
      </c>
      <c r="B1322" s="1">
        <v>45866</v>
      </c>
      <c r="C1322" t="s">
        <v>13</v>
      </c>
      <c r="D1322">
        <v>89</v>
      </c>
      <c r="E1322" t="s">
        <v>20</v>
      </c>
      <c r="F1322">
        <v>13</v>
      </c>
      <c r="G1322" t="s">
        <v>15</v>
      </c>
      <c r="H1322">
        <v>6</v>
      </c>
      <c r="I1322">
        <v>5</v>
      </c>
      <c r="J1322">
        <v>0</v>
      </c>
      <c r="K1322" t="s">
        <v>17</v>
      </c>
      <c r="L1322" t="s">
        <v>17</v>
      </c>
      <c r="M1322">
        <f>IF(Table1[[#This Row],[ألغى الاشتراك]]="نعم",1,0)</f>
        <v>0</v>
      </c>
      <c r="N1322">
        <f>IF(Table1[[#This Row],[وسيلة الدفع]]="بطاقة",1,0)</f>
        <v>1</v>
      </c>
      <c r="O1322">
        <f>IF(Table1[[#This Row],[وسيلة الدفع]]="محفظة",1,0)</f>
        <v>0</v>
      </c>
      <c r="P1322">
        <f>IF(Table1[[#This Row],[وسيلة الدفع]]="تحويل",1,0)</f>
        <v>0</v>
      </c>
      <c r="Q1322">
        <f>IF(Table1[[#This Row],[حضر التهيئة]]="نعم",1,0)</f>
        <v>0</v>
      </c>
      <c r="R1322">
        <f>IF(Table1[[#This Row],[دورة الفوترة]]="شهري",1,0)</f>
        <v>0</v>
      </c>
    </row>
    <row r="1323" spans="1:18" x14ac:dyDescent="0.25">
      <c r="A1323" t="s">
        <v>1343</v>
      </c>
      <c r="B1323" s="1">
        <v>45517</v>
      </c>
      <c r="C1323" t="s">
        <v>13</v>
      </c>
      <c r="D1323">
        <v>89</v>
      </c>
      <c r="E1323" t="s">
        <v>20</v>
      </c>
      <c r="F1323">
        <v>20</v>
      </c>
      <c r="G1323" t="s">
        <v>23</v>
      </c>
      <c r="H1323">
        <v>11</v>
      </c>
      <c r="I1323">
        <v>2</v>
      </c>
      <c r="J1323">
        <v>0</v>
      </c>
      <c r="K1323" t="s">
        <v>16</v>
      </c>
      <c r="L1323" t="s">
        <v>17</v>
      </c>
      <c r="M1323">
        <f>IF(Table1[[#This Row],[ألغى الاشتراك]]="نعم",1,0)</f>
        <v>0</v>
      </c>
      <c r="N1323">
        <f>IF(Table1[[#This Row],[وسيلة الدفع]]="بطاقة",1,0)</f>
        <v>0</v>
      </c>
      <c r="O1323">
        <f>IF(Table1[[#This Row],[وسيلة الدفع]]="محفظة",1,0)</f>
        <v>0</v>
      </c>
      <c r="P1323">
        <f>IF(Table1[[#This Row],[وسيلة الدفع]]="تحويل",1,0)</f>
        <v>1</v>
      </c>
      <c r="Q1323">
        <f>IF(Table1[[#This Row],[حضر التهيئة]]="نعم",1,0)</f>
        <v>1</v>
      </c>
      <c r="R1323">
        <f>IF(Table1[[#This Row],[دورة الفوترة]]="شهري",1,0)</f>
        <v>0</v>
      </c>
    </row>
    <row r="1324" spans="1:18" x14ac:dyDescent="0.25">
      <c r="A1324" t="s">
        <v>1344</v>
      </c>
      <c r="B1324" s="1">
        <v>45341</v>
      </c>
      <c r="C1324" t="s">
        <v>13</v>
      </c>
      <c r="D1324">
        <v>89</v>
      </c>
      <c r="E1324" t="s">
        <v>14</v>
      </c>
      <c r="F1324">
        <v>15</v>
      </c>
      <c r="G1324" t="s">
        <v>21</v>
      </c>
      <c r="H1324">
        <v>1</v>
      </c>
      <c r="I1324">
        <v>51</v>
      </c>
      <c r="J1324">
        <v>10</v>
      </c>
      <c r="K1324" t="s">
        <v>16</v>
      </c>
      <c r="L1324" t="s">
        <v>17</v>
      </c>
      <c r="M1324">
        <f>IF(Table1[[#This Row],[ألغى الاشتراك]]="نعم",1,0)</f>
        <v>0</v>
      </c>
      <c r="N1324">
        <f>IF(Table1[[#This Row],[وسيلة الدفع]]="بطاقة",1,0)</f>
        <v>0</v>
      </c>
      <c r="O1324">
        <f>IF(Table1[[#This Row],[وسيلة الدفع]]="محفظة",1,0)</f>
        <v>1</v>
      </c>
      <c r="P1324">
        <f>IF(Table1[[#This Row],[وسيلة الدفع]]="تحويل",1,0)</f>
        <v>0</v>
      </c>
      <c r="Q1324">
        <f>IF(Table1[[#This Row],[حضر التهيئة]]="نعم",1,0)</f>
        <v>1</v>
      </c>
      <c r="R1324">
        <f>IF(Table1[[#This Row],[دورة الفوترة]]="شهري",1,0)</f>
        <v>1</v>
      </c>
    </row>
    <row r="1325" spans="1:18" x14ac:dyDescent="0.25">
      <c r="A1325" t="s">
        <v>1345</v>
      </c>
      <c r="B1325" s="1">
        <v>45635</v>
      </c>
      <c r="C1325" t="s">
        <v>28</v>
      </c>
      <c r="D1325">
        <v>39</v>
      </c>
      <c r="E1325" t="s">
        <v>14</v>
      </c>
      <c r="F1325">
        <v>25</v>
      </c>
      <c r="G1325" t="s">
        <v>15</v>
      </c>
      <c r="H1325">
        <v>2</v>
      </c>
      <c r="I1325">
        <v>35</v>
      </c>
      <c r="J1325">
        <v>25</v>
      </c>
      <c r="K1325" t="s">
        <v>16</v>
      </c>
      <c r="L1325" t="s">
        <v>17</v>
      </c>
      <c r="M1325">
        <f>IF(Table1[[#This Row],[ألغى الاشتراك]]="نعم",1,0)</f>
        <v>0</v>
      </c>
      <c r="N1325">
        <f>IF(Table1[[#This Row],[وسيلة الدفع]]="بطاقة",1,0)</f>
        <v>1</v>
      </c>
      <c r="O1325">
        <f>IF(Table1[[#This Row],[وسيلة الدفع]]="محفظة",1,0)</f>
        <v>0</v>
      </c>
      <c r="P1325">
        <f>IF(Table1[[#This Row],[وسيلة الدفع]]="تحويل",1,0)</f>
        <v>0</v>
      </c>
      <c r="Q1325">
        <f>IF(Table1[[#This Row],[حضر التهيئة]]="نعم",1,0)</f>
        <v>1</v>
      </c>
      <c r="R1325">
        <f>IF(Table1[[#This Row],[دورة الفوترة]]="شهري",1,0)</f>
        <v>1</v>
      </c>
    </row>
    <row r="1326" spans="1:18" x14ac:dyDescent="0.25">
      <c r="A1326" t="s">
        <v>1346</v>
      </c>
      <c r="B1326" s="1">
        <v>45329</v>
      </c>
      <c r="C1326" t="s">
        <v>28</v>
      </c>
      <c r="D1326">
        <v>39</v>
      </c>
      <c r="E1326" t="s">
        <v>20</v>
      </c>
      <c r="F1326">
        <v>15</v>
      </c>
      <c r="G1326" t="s">
        <v>21</v>
      </c>
      <c r="H1326">
        <v>2</v>
      </c>
      <c r="I1326">
        <v>45</v>
      </c>
      <c r="J1326">
        <v>10</v>
      </c>
      <c r="K1326" t="s">
        <v>16</v>
      </c>
      <c r="L1326" t="s">
        <v>17</v>
      </c>
      <c r="M1326">
        <f>IF(Table1[[#This Row],[ألغى الاشتراك]]="نعم",1,0)</f>
        <v>0</v>
      </c>
      <c r="N1326">
        <f>IF(Table1[[#This Row],[وسيلة الدفع]]="بطاقة",1,0)</f>
        <v>0</v>
      </c>
      <c r="O1326">
        <f>IF(Table1[[#This Row],[وسيلة الدفع]]="محفظة",1,0)</f>
        <v>1</v>
      </c>
      <c r="P1326">
        <f>IF(Table1[[#This Row],[وسيلة الدفع]]="تحويل",1,0)</f>
        <v>0</v>
      </c>
      <c r="Q1326">
        <f>IF(Table1[[#This Row],[حضر التهيئة]]="نعم",1,0)</f>
        <v>1</v>
      </c>
      <c r="R1326">
        <f>IF(Table1[[#This Row],[دورة الفوترة]]="شهري",1,0)</f>
        <v>0</v>
      </c>
    </row>
    <row r="1327" spans="1:18" x14ac:dyDescent="0.25">
      <c r="A1327" t="s">
        <v>1347</v>
      </c>
      <c r="B1327" s="1">
        <v>45842</v>
      </c>
      <c r="C1327" t="s">
        <v>19</v>
      </c>
      <c r="D1327">
        <v>189</v>
      </c>
      <c r="E1327" t="s">
        <v>14</v>
      </c>
      <c r="F1327">
        <v>1</v>
      </c>
      <c r="G1327" t="s">
        <v>21</v>
      </c>
      <c r="H1327">
        <v>1</v>
      </c>
      <c r="I1327">
        <v>23</v>
      </c>
      <c r="J1327">
        <v>0</v>
      </c>
      <c r="K1327" t="s">
        <v>16</v>
      </c>
      <c r="L1327" t="s">
        <v>17</v>
      </c>
      <c r="M1327">
        <f>IF(Table1[[#This Row],[ألغى الاشتراك]]="نعم",1,0)</f>
        <v>0</v>
      </c>
      <c r="N1327">
        <f>IF(Table1[[#This Row],[وسيلة الدفع]]="بطاقة",1,0)</f>
        <v>0</v>
      </c>
      <c r="O1327">
        <f>IF(Table1[[#This Row],[وسيلة الدفع]]="محفظة",1,0)</f>
        <v>1</v>
      </c>
      <c r="P1327">
        <f>IF(Table1[[#This Row],[وسيلة الدفع]]="تحويل",1,0)</f>
        <v>0</v>
      </c>
      <c r="Q1327">
        <f>IF(Table1[[#This Row],[حضر التهيئة]]="نعم",1,0)</f>
        <v>1</v>
      </c>
      <c r="R1327">
        <f>IF(Table1[[#This Row],[دورة الفوترة]]="شهري",1,0)</f>
        <v>1</v>
      </c>
    </row>
    <row r="1328" spans="1:18" x14ac:dyDescent="0.25">
      <c r="A1328" t="s">
        <v>1348</v>
      </c>
      <c r="B1328" s="1">
        <v>45647</v>
      </c>
      <c r="C1328" t="s">
        <v>13</v>
      </c>
      <c r="D1328">
        <v>89</v>
      </c>
      <c r="E1328" t="s">
        <v>20</v>
      </c>
      <c r="F1328">
        <v>14</v>
      </c>
      <c r="G1328" t="s">
        <v>21</v>
      </c>
      <c r="H1328">
        <v>6</v>
      </c>
      <c r="I1328">
        <v>32</v>
      </c>
      <c r="J1328">
        <v>0</v>
      </c>
      <c r="K1328" t="s">
        <v>16</v>
      </c>
      <c r="L1328" t="s">
        <v>17</v>
      </c>
      <c r="M1328">
        <f>IF(Table1[[#This Row],[ألغى الاشتراك]]="نعم",1,0)</f>
        <v>0</v>
      </c>
      <c r="N1328">
        <f>IF(Table1[[#This Row],[وسيلة الدفع]]="بطاقة",1,0)</f>
        <v>0</v>
      </c>
      <c r="O1328">
        <f>IF(Table1[[#This Row],[وسيلة الدفع]]="محفظة",1,0)</f>
        <v>1</v>
      </c>
      <c r="P1328">
        <f>IF(Table1[[#This Row],[وسيلة الدفع]]="تحويل",1,0)</f>
        <v>0</v>
      </c>
      <c r="Q1328">
        <f>IF(Table1[[#This Row],[حضر التهيئة]]="نعم",1,0)</f>
        <v>1</v>
      </c>
      <c r="R1328">
        <f>IF(Table1[[#This Row],[دورة الفوترة]]="شهري",1,0)</f>
        <v>0</v>
      </c>
    </row>
    <row r="1329" spans="1:18" x14ac:dyDescent="0.25">
      <c r="A1329" t="s">
        <v>1349</v>
      </c>
      <c r="B1329" s="1">
        <v>45799</v>
      </c>
      <c r="C1329" t="s">
        <v>19</v>
      </c>
      <c r="D1329">
        <v>189</v>
      </c>
      <c r="E1329" t="s">
        <v>14</v>
      </c>
      <c r="F1329">
        <v>11</v>
      </c>
      <c r="G1329" t="s">
        <v>21</v>
      </c>
      <c r="H1329">
        <v>1</v>
      </c>
      <c r="I1329">
        <v>39</v>
      </c>
      <c r="J1329">
        <v>0</v>
      </c>
      <c r="K1329" t="s">
        <v>16</v>
      </c>
      <c r="L1329" t="s">
        <v>17</v>
      </c>
      <c r="M1329">
        <f>IF(Table1[[#This Row],[ألغى الاشتراك]]="نعم",1,0)</f>
        <v>0</v>
      </c>
      <c r="N1329">
        <f>IF(Table1[[#This Row],[وسيلة الدفع]]="بطاقة",1,0)</f>
        <v>0</v>
      </c>
      <c r="O1329">
        <f>IF(Table1[[#This Row],[وسيلة الدفع]]="محفظة",1,0)</f>
        <v>1</v>
      </c>
      <c r="P1329">
        <f>IF(Table1[[#This Row],[وسيلة الدفع]]="تحويل",1,0)</f>
        <v>0</v>
      </c>
      <c r="Q1329">
        <f>IF(Table1[[#This Row],[حضر التهيئة]]="نعم",1,0)</f>
        <v>1</v>
      </c>
      <c r="R1329">
        <f>IF(Table1[[#This Row],[دورة الفوترة]]="شهري",1,0)</f>
        <v>1</v>
      </c>
    </row>
    <row r="1330" spans="1:18" x14ac:dyDescent="0.25">
      <c r="A1330" t="s">
        <v>1350</v>
      </c>
      <c r="B1330" s="1">
        <v>45345</v>
      </c>
      <c r="C1330" t="s">
        <v>13</v>
      </c>
      <c r="D1330">
        <v>89</v>
      </c>
      <c r="E1330" t="s">
        <v>14</v>
      </c>
      <c r="F1330">
        <v>18</v>
      </c>
      <c r="G1330" t="s">
        <v>15</v>
      </c>
      <c r="H1330">
        <v>0</v>
      </c>
      <c r="I1330">
        <v>40</v>
      </c>
      <c r="J1330">
        <v>0</v>
      </c>
      <c r="K1330" t="s">
        <v>16</v>
      </c>
      <c r="L1330" t="s">
        <v>17</v>
      </c>
      <c r="M1330">
        <f>IF(Table1[[#This Row],[ألغى الاشتراك]]="نعم",1,0)</f>
        <v>0</v>
      </c>
      <c r="N1330">
        <f>IF(Table1[[#This Row],[وسيلة الدفع]]="بطاقة",1,0)</f>
        <v>1</v>
      </c>
      <c r="O1330">
        <f>IF(Table1[[#This Row],[وسيلة الدفع]]="محفظة",1,0)</f>
        <v>0</v>
      </c>
      <c r="P1330">
        <f>IF(Table1[[#This Row],[وسيلة الدفع]]="تحويل",1,0)</f>
        <v>0</v>
      </c>
      <c r="Q1330">
        <f>IF(Table1[[#This Row],[حضر التهيئة]]="نعم",1,0)</f>
        <v>1</v>
      </c>
      <c r="R1330">
        <f>IF(Table1[[#This Row],[دورة الفوترة]]="شهري",1,0)</f>
        <v>1</v>
      </c>
    </row>
    <row r="1331" spans="1:18" x14ac:dyDescent="0.25">
      <c r="A1331" t="s">
        <v>1351</v>
      </c>
      <c r="B1331" s="1">
        <v>45647</v>
      </c>
      <c r="C1331" t="s">
        <v>19</v>
      </c>
      <c r="D1331">
        <v>189</v>
      </c>
      <c r="E1331" t="s">
        <v>14</v>
      </c>
      <c r="F1331">
        <v>11</v>
      </c>
      <c r="G1331" t="s">
        <v>15</v>
      </c>
      <c r="H1331">
        <v>2</v>
      </c>
      <c r="I1331">
        <v>37</v>
      </c>
      <c r="J1331">
        <v>25</v>
      </c>
      <c r="K1331" t="s">
        <v>16</v>
      </c>
      <c r="L1331" t="s">
        <v>17</v>
      </c>
      <c r="M1331">
        <f>IF(Table1[[#This Row],[ألغى الاشتراك]]="نعم",1,0)</f>
        <v>0</v>
      </c>
      <c r="N1331">
        <f>IF(Table1[[#This Row],[وسيلة الدفع]]="بطاقة",1,0)</f>
        <v>1</v>
      </c>
      <c r="O1331">
        <f>IF(Table1[[#This Row],[وسيلة الدفع]]="محفظة",1,0)</f>
        <v>0</v>
      </c>
      <c r="P1331">
        <f>IF(Table1[[#This Row],[وسيلة الدفع]]="تحويل",1,0)</f>
        <v>0</v>
      </c>
      <c r="Q1331">
        <f>IF(Table1[[#This Row],[حضر التهيئة]]="نعم",1,0)</f>
        <v>1</v>
      </c>
      <c r="R1331">
        <f>IF(Table1[[#This Row],[دورة الفوترة]]="شهري",1,0)</f>
        <v>1</v>
      </c>
    </row>
    <row r="1332" spans="1:18" x14ac:dyDescent="0.25">
      <c r="A1332" t="s">
        <v>1352</v>
      </c>
      <c r="B1332" s="1">
        <v>45902</v>
      </c>
      <c r="C1332" t="s">
        <v>13</v>
      </c>
      <c r="D1332">
        <v>89</v>
      </c>
      <c r="E1332" t="s">
        <v>14</v>
      </c>
      <c r="F1332">
        <v>27</v>
      </c>
      <c r="G1332" t="s">
        <v>23</v>
      </c>
      <c r="H1332">
        <v>11</v>
      </c>
      <c r="I1332">
        <v>33</v>
      </c>
      <c r="J1332">
        <v>0</v>
      </c>
      <c r="K1332" t="s">
        <v>17</v>
      </c>
      <c r="L1332" t="s">
        <v>17</v>
      </c>
      <c r="M1332">
        <f>IF(Table1[[#This Row],[ألغى الاشتراك]]="نعم",1,0)</f>
        <v>0</v>
      </c>
      <c r="N1332">
        <f>IF(Table1[[#This Row],[وسيلة الدفع]]="بطاقة",1,0)</f>
        <v>0</v>
      </c>
      <c r="O1332">
        <f>IF(Table1[[#This Row],[وسيلة الدفع]]="محفظة",1,0)</f>
        <v>0</v>
      </c>
      <c r="P1332">
        <f>IF(Table1[[#This Row],[وسيلة الدفع]]="تحويل",1,0)</f>
        <v>1</v>
      </c>
      <c r="Q1332">
        <f>IF(Table1[[#This Row],[حضر التهيئة]]="نعم",1,0)</f>
        <v>0</v>
      </c>
      <c r="R1332">
        <f>IF(Table1[[#This Row],[دورة الفوترة]]="شهري",1,0)</f>
        <v>1</v>
      </c>
    </row>
    <row r="1333" spans="1:18" x14ac:dyDescent="0.25">
      <c r="A1333" t="s">
        <v>1353</v>
      </c>
      <c r="B1333" s="1">
        <v>45588</v>
      </c>
      <c r="C1333" t="s">
        <v>13</v>
      </c>
      <c r="D1333">
        <v>89</v>
      </c>
      <c r="E1333" t="s">
        <v>20</v>
      </c>
      <c r="F1333">
        <v>20</v>
      </c>
      <c r="G1333" t="s">
        <v>23</v>
      </c>
      <c r="H1333">
        <v>0</v>
      </c>
      <c r="I1333">
        <v>44</v>
      </c>
      <c r="J1333">
        <v>0</v>
      </c>
      <c r="K1333" t="s">
        <v>16</v>
      </c>
      <c r="L1333" t="s">
        <v>17</v>
      </c>
      <c r="M1333">
        <f>IF(Table1[[#This Row],[ألغى الاشتراك]]="نعم",1,0)</f>
        <v>0</v>
      </c>
      <c r="N1333">
        <f>IF(Table1[[#This Row],[وسيلة الدفع]]="بطاقة",1,0)</f>
        <v>0</v>
      </c>
      <c r="O1333">
        <f>IF(Table1[[#This Row],[وسيلة الدفع]]="محفظة",1,0)</f>
        <v>0</v>
      </c>
      <c r="P1333">
        <f>IF(Table1[[#This Row],[وسيلة الدفع]]="تحويل",1,0)</f>
        <v>1</v>
      </c>
      <c r="Q1333">
        <f>IF(Table1[[#This Row],[حضر التهيئة]]="نعم",1,0)</f>
        <v>1</v>
      </c>
      <c r="R1333">
        <f>IF(Table1[[#This Row],[دورة الفوترة]]="شهري",1,0)</f>
        <v>0</v>
      </c>
    </row>
    <row r="1334" spans="1:18" x14ac:dyDescent="0.25">
      <c r="A1334" t="s">
        <v>1354</v>
      </c>
      <c r="B1334" s="1">
        <v>45647</v>
      </c>
      <c r="C1334" t="s">
        <v>13</v>
      </c>
      <c r="D1334">
        <v>89</v>
      </c>
      <c r="E1334" t="s">
        <v>14</v>
      </c>
      <c r="F1334">
        <v>9</v>
      </c>
      <c r="G1334" t="s">
        <v>15</v>
      </c>
      <c r="H1334">
        <v>2</v>
      </c>
      <c r="I1334">
        <v>3</v>
      </c>
      <c r="J1334">
        <v>25</v>
      </c>
      <c r="K1334" t="s">
        <v>16</v>
      </c>
      <c r="L1334" t="s">
        <v>17</v>
      </c>
      <c r="M1334">
        <f>IF(Table1[[#This Row],[ألغى الاشتراك]]="نعم",1,0)</f>
        <v>0</v>
      </c>
      <c r="N1334">
        <f>IF(Table1[[#This Row],[وسيلة الدفع]]="بطاقة",1,0)</f>
        <v>1</v>
      </c>
      <c r="O1334">
        <f>IF(Table1[[#This Row],[وسيلة الدفع]]="محفظة",1,0)</f>
        <v>0</v>
      </c>
      <c r="P1334">
        <f>IF(Table1[[#This Row],[وسيلة الدفع]]="تحويل",1,0)</f>
        <v>0</v>
      </c>
      <c r="Q1334">
        <f>IF(Table1[[#This Row],[حضر التهيئة]]="نعم",1,0)</f>
        <v>1</v>
      </c>
      <c r="R1334">
        <f>IF(Table1[[#This Row],[دورة الفوترة]]="شهري",1,0)</f>
        <v>1</v>
      </c>
    </row>
    <row r="1335" spans="1:18" x14ac:dyDescent="0.25">
      <c r="A1335" t="s">
        <v>1355</v>
      </c>
      <c r="B1335" s="1">
        <v>45667</v>
      </c>
      <c r="C1335" t="s">
        <v>28</v>
      </c>
      <c r="D1335">
        <v>39</v>
      </c>
      <c r="E1335" t="s">
        <v>14</v>
      </c>
      <c r="F1335">
        <v>7</v>
      </c>
      <c r="G1335" t="s">
        <v>23</v>
      </c>
      <c r="H1335">
        <v>0</v>
      </c>
      <c r="I1335">
        <v>39</v>
      </c>
      <c r="J1335">
        <v>0</v>
      </c>
      <c r="K1335" t="s">
        <v>16</v>
      </c>
      <c r="L1335" t="s">
        <v>17</v>
      </c>
      <c r="M1335">
        <f>IF(Table1[[#This Row],[ألغى الاشتراك]]="نعم",1,0)</f>
        <v>0</v>
      </c>
      <c r="N1335">
        <f>IF(Table1[[#This Row],[وسيلة الدفع]]="بطاقة",1,0)</f>
        <v>0</v>
      </c>
      <c r="O1335">
        <f>IF(Table1[[#This Row],[وسيلة الدفع]]="محفظة",1,0)</f>
        <v>0</v>
      </c>
      <c r="P1335">
        <f>IF(Table1[[#This Row],[وسيلة الدفع]]="تحويل",1,0)</f>
        <v>1</v>
      </c>
      <c r="Q1335">
        <f>IF(Table1[[#This Row],[حضر التهيئة]]="نعم",1,0)</f>
        <v>1</v>
      </c>
      <c r="R1335">
        <f>IF(Table1[[#This Row],[دورة الفوترة]]="شهري",1,0)</f>
        <v>1</v>
      </c>
    </row>
    <row r="1336" spans="1:18" x14ac:dyDescent="0.25">
      <c r="A1336" t="s">
        <v>1356</v>
      </c>
      <c r="B1336" s="1">
        <v>45568</v>
      </c>
      <c r="C1336" t="s">
        <v>28</v>
      </c>
      <c r="D1336">
        <v>39</v>
      </c>
      <c r="E1336" t="s">
        <v>14</v>
      </c>
      <c r="F1336">
        <v>12</v>
      </c>
      <c r="G1336" t="s">
        <v>21</v>
      </c>
      <c r="H1336">
        <v>0</v>
      </c>
      <c r="I1336">
        <v>12</v>
      </c>
      <c r="J1336">
        <v>0</v>
      </c>
      <c r="K1336" t="s">
        <v>16</v>
      </c>
      <c r="L1336" t="s">
        <v>17</v>
      </c>
      <c r="M1336">
        <f>IF(Table1[[#This Row],[ألغى الاشتراك]]="نعم",1,0)</f>
        <v>0</v>
      </c>
      <c r="N1336">
        <f>IF(Table1[[#This Row],[وسيلة الدفع]]="بطاقة",1,0)</f>
        <v>0</v>
      </c>
      <c r="O1336">
        <f>IF(Table1[[#This Row],[وسيلة الدفع]]="محفظة",1,0)</f>
        <v>1</v>
      </c>
      <c r="P1336">
        <f>IF(Table1[[#This Row],[وسيلة الدفع]]="تحويل",1,0)</f>
        <v>0</v>
      </c>
      <c r="Q1336">
        <f>IF(Table1[[#This Row],[حضر التهيئة]]="نعم",1,0)</f>
        <v>1</v>
      </c>
      <c r="R1336">
        <f>IF(Table1[[#This Row],[دورة الفوترة]]="شهري",1,0)</f>
        <v>1</v>
      </c>
    </row>
    <row r="1337" spans="1:18" x14ac:dyDescent="0.25">
      <c r="A1337" t="s">
        <v>1357</v>
      </c>
      <c r="B1337" s="1">
        <v>45842</v>
      </c>
      <c r="C1337" t="s">
        <v>19</v>
      </c>
      <c r="D1337">
        <v>189</v>
      </c>
      <c r="E1337" t="s">
        <v>20</v>
      </c>
      <c r="F1337">
        <v>29</v>
      </c>
      <c r="G1337" t="s">
        <v>21</v>
      </c>
      <c r="H1337">
        <v>2</v>
      </c>
      <c r="I1337">
        <v>33</v>
      </c>
      <c r="J1337">
        <v>0</v>
      </c>
      <c r="K1337" t="s">
        <v>17</v>
      </c>
      <c r="L1337" t="s">
        <v>17</v>
      </c>
      <c r="M1337">
        <f>IF(Table1[[#This Row],[ألغى الاشتراك]]="نعم",1,0)</f>
        <v>0</v>
      </c>
      <c r="N1337">
        <f>IF(Table1[[#This Row],[وسيلة الدفع]]="بطاقة",1,0)</f>
        <v>0</v>
      </c>
      <c r="O1337">
        <f>IF(Table1[[#This Row],[وسيلة الدفع]]="محفظة",1,0)</f>
        <v>1</v>
      </c>
      <c r="P1337">
        <f>IF(Table1[[#This Row],[وسيلة الدفع]]="تحويل",1,0)</f>
        <v>0</v>
      </c>
      <c r="Q1337">
        <f>IF(Table1[[#This Row],[حضر التهيئة]]="نعم",1,0)</f>
        <v>0</v>
      </c>
      <c r="R1337">
        <f>IF(Table1[[#This Row],[دورة الفوترة]]="شهري",1,0)</f>
        <v>0</v>
      </c>
    </row>
    <row r="1338" spans="1:18" x14ac:dyDescent="0.25">
      <c r="A1338" t="s">
        <v>1358</v>
      </c>
      <c r="B1338" s="1">
        <v>45513</v>
      </c>
      <c r="C1338" t="s">
        <v>19</v>
      </c>
      <c r="D1338">
        <v>189</v>
      </c>
      <c r="E1338" t="s">
        <v>20</v>
      </c>
      <c r="F1338">
        <v>22</v>
      </c>
      <c r="G1338" t="s">
        <v>21</v>
      </c>
      <c r="H1338">
        <v>1</v>
      </c>
      <c r="I1338">
        <v>34</v>
      </c>
      <c r="J1338">
        <v>0</v>
      </c>
      <c r="K1338" t="s">
        <v>17</v>
      </c>
      <c r="L1338" t="s">
        <v>17</v>
      </c>
      <c r="M1338">
        <f>IF(Table1[[#This Row],[ألغى الاشتراك]]="نعم",1,0)</f>
        <v>0</v>
      </c>
      <c r="N1338">
        <f>IF(Table1[[#This Row],[وسيلة الدفع]]="بطاقة",1,0)</f>
        <v>0</v>
      </c>
      <c r="O1338">
        <f>IF(Table1[[#This Row],[وسيلة الدفع]]="محفظة",1,0)</f>
        <v>1</v>
      </c>
      <c r="P1338">
        <f>IF(Table1[[#This Row],[وسيلة الدفع]]="تحويل",1,0)</f>
        <v>0</v>
      </c>
      <c r="Q1338">
        <f>IF(Table1[[#This Row],[حضر التهيئة]]="نعم",1,0)</f>
        <v>0</v>
      </c>
      <c r="R1338">
        <f>IF(Table1[[#This Row],[دورة الفوترة]]="شهري",1,0)</f>
        <v>0</v>
      </c>
    </row>
    <row r="1339" spans="1:18" x14ac:dyDescent="0.25">
      <c r="A1339" t="s">
        <v>1359</v>
      </c>
      <c r="B1339" s="1">
        <v>45462</v>
      </c>
      <c r="C1339" t="s">
        <v>19</v>
      </c>
      <c r="D1339">
        <v>189</v>
      </c>
      <c r="E1339" t="s">
        <v>14</v>
      </c>
      <c r="F1339">
        <v>25</v>
      </c>
      <c r="G1339" t="s">
        <v>15</v>
      </c>
      <c r="H1339">
        <v>3</v>
      </c>
      <c r="I1339">
        <v>7</v>
      </c>
      <c r="J1339">
        <v>10</v>
      </c>
      <c r="K1339" t="s">
        <v>17</v>
      </c>
      <c r="L1339" t="s">
        <v>17</v>
      </c>
      <c r="M1339">
        <f>IF(Table1[[#This Row],[ألغى الاشتراك]]="نعم",1,0)</f>
        <v>0</v>
      </c>
      <c r="N1339">
        <f>IF(Table1[[#This Row],[وسيلة الدفع]]="بطاقة",1,0)</f>
        <v>1</v>
      </c>
      <c r="O1339">
        <f>IF(Table1[[#This Row],[وسيلة الدفع]]="محفظة",1,0)</f>
        <v>0</v>
      </c>
      <c r="P1339">
        <f>IF(Table1[[#This Row],[وسيلة الدفع]]="تحويل",1,0)</f>
        <v>0</v>
      </c>
      <c r="Q1339">
        <f>IF(Table1[[#This Row],[حضر التهيئة]]="نعم",1,0)</f>
        <v>0</v>
      </c>
      <c r="R1339">
        <f>IF(Table1[[#This Row],[دورة الفوترة]]="شهري",1,0)</f>
        <v>1</v>
      </c>
    </row>
    <row r="1340" spans="1:18" x14ac:dyDescent="0.25">
      <c r="A1340" t="s">
        <v>1360</v>
      </c>
      <c r="B1340" s="1">
        <v>45732</v>
      </c>
      <c r="C1340" t="s">
        <v>19</v>
      </c>
      <c r="D1340">
        <v>189</v>
      </c>
      <c r="E1340" t="s">
        <v>14</v>
      </c>
      <c r="F1340">
        <v>9</v>
      </c>
      <c r="G1340" t="s">
        <v>15</v>
      </c>
      <c r="H1340">
        <v>2</v>
      </c>
      <c r="I1340">
        <v>59</v>
      </c>
      <c r="J1340">
        <v>0</v>
      </c>
      <c r="K1340" t="s">
        <v>16</v>
      </c>
      <c r="L1340" t="s">
        <v>17</v>
      </c>
      <c r="M1340">
        <f>IF(Table1[[#This Row],[ألغى الاشتراك]]="نعم",1,0)</f>
        <v>0</v>
      </c>
      <c r="N1340">
        <f>IF(Table1[[#This Row],[وسيلة الدفع]]="بطاقة",1,0)</f>
        <v>1</v>
      </c>
      <c r="O1340">
        <f>IF(Table1[[#This Row],[وسيلة الدفع]]="محفظة",1,0)</f>
        <v>0</v>
      </c>
      <c r="P1340">
        <f>IF(Table1[[#This Row],[وسيلة الدفع]]="تحويل",1,0)</f>
        <v>0</v>
      </c>
      <c r="Q1340">
        <f>IF(Table1[[#This Row],[حضر التهيئة]]="نعم",1,0)</f>
        <v>1</v>
      </c>
      <c r="R1340">
        <f>IF(Table1[[#This Row],[دورة الفوترة]]="شهري",1,0)</f>
        <v>1</v>
      </c>
    </row>
    <row r="1341" spans="1:18" x14ac:dyDescent="0.25">
      <c r="A1341" t="s">
        <v>1361</v>
      </c>
      <c r="B1341" s="1">
        <v>45383</v>
      </c>
      <c r="C1341" t="s">
        <v>13</v>
      </c>
      <c r="D1341">
        <v>89</v>
      </c>
      <c r="E1341" t="s">
        <v>14</v>
      </c>
      <c r="F1341">
        <v>12</v>
      </c>
      <c r="G1341" t="s">
        <v>15</v>
      </c>
      <c r="H1341">
        <v>1</v>
      </c>
      <c r="I1341">
        <v>16</v>
      </c>
      <c r="J1341">
        <v>0</v>
      </c>
      <c r="K1341" t="s">
        <v>17</v>
      </c>
      <c r="L1341" t="s">
        <v>17</v>
      </c>
      <c r="M1341">
        <f>IF(Table1[[#This Row],[ألغى الاشتراك]]="نعم",1,0)</f>
        <v>0</v>
      </c>
      <c r="N1341">
        <f>IF(Table1[[#This Row],[وسيلة الدفع]]="بطاقة",1,0)</f>
        <v>1</v>
      </c>
      <c r="O1341">
        <f>IF(Table1[[#This Row],[وسيلة الدفع]]="محفظة",1,0)</f>
        <v>0</v>
      </c>
      <c r="P1341">
        <f>IF(Table1[[#This Row],[وسيلة الدفع]]="تحويل",1,0)</f>
        <v>0</v>
      </c>
      <c r="Q1341">
        <f>IF(Table1[[#This Row],[حضر التهيئة]]="نعم",1,0)</f>
        <v>0</v>
      </c>
      <c r="R1341">
        <f>IF(Table1[[#This Row],[دورة الفوترة]]="شهري",1,0)</f>
        <v>1</v>
      </c>
    </row>
    <row r="1342" spans="1:18" x14ac:dyDescent="0.25">
      <c r="A1342" t="s">
        <v>1362</v>
      </c>
      <c r="B1342" s="1">
        <v>45922</v>
      </c>
      <c r="C1342" t="s">
        <v>28</v>
      </c>
      <c r="D1342">
        <v>39</v>
      </c>
      <c r="E1342" t="s">
        <v>14</v>
      </c>
      <c r="F1342">
        <v>17</v>
      </c>
      <c r="G1342" t="s">
        <v>23</v>
      </c>
      <c r="H1342">
        <v>0</v>
      </c>
      <c r="I1342">
        <v>41</v>
      </c>
      <c r="J1342">
        <v>0</v>
      </c>
      <c r="K1342" t="s">
        <v>16</v>
      </c>
      <c r="L1342" t="s">
        <v>17</v>
      </c>
      <c r="M1342">
        <f>IF(Table1[[#This Row],[ألغى الاشتراك]]="نعم",1,0)</f>
        <v>0</v>
      </c>
      <c r="N1342">
        <f>IF(Table1[[#This Row],[وسيلة الدفع]]="بطاقة",1,0)</f>
        <v>0</v>
      </c>
      <c r="O1342">
        <f>IF(Table1[[#This Row],[وسيلة الدفع]]="محفظة",1,0)</f>
        <v>0</v>
      </c>
      <c r="P1342">
        <f>IF(Table1[[#This Row],[وسيلة الدفع]]="تحويل",1,0)</f>
        <v>1</v>
      </c>
      <c r="Q1342">
        <f>IF(Table1[[#This Row],[حضر التهيئة]]="نعم",1,0)</f>
        <v>1</v>
      </c>
      <c r="R1342">
        <f>IF(Table1[[#This Row],[دورة الفوترة]]="شهري",1,0)</f>
        <v>1</v>
      </c>
    </row>
    <row r="1343" spans="1:18" x14ac:dyDescent="0.25">
      <c r="A1343" t="s">
        <v>1363</v>
      </c>
      <c r="B1343" s="1">
        <v>45592</v>
      </c>
      <c r="C1343" t="s">
        <v>13</v>
      </c>
      <c r="D1343">
        <v>89</v>
      </c>
      <c r="E1343" t="s">
        <v>14</v>
      </c>
      <c r="F1343">
        <v>12</v>
      </c>
      <c r="G1343" t="s">
        <v>23</v>
      </c>
      <c r="H1343">
        <v>10</v>
      </c>
      <c r="I1343">
        <v>30</v>
      </c>
      <c r="J1343">
        <v>0</v>
      </c>
      <c r="K1343" t="s">
        <v>17</v>
      </c>
      <c r="L1343" t="s">
        <v>17</v>
      </c>
      <c r="M1343">
        <f>IF(Table1[[#This Row],[ألغى الاشتراك]]="نعم",1,0)</f>
        <v>0</v>
      </c>
      <c r="N1343">
        <f>IF(Table1[[#This Row],[وسيلة الدفع]]="بطاقة",1,0)</f>
        <v>0</v>
      </c>
      <c r="O1343">
        <f>IF(Table1[[#This Row],[وسيلة الدفع]]="محفظة",1,0)</f>
        <v>0</v>
      </c>
      <c r="P1343">
        <f>IF(Table1[[#This Row],[وسيلة الدفع]]="تحويل",1,0)</f>
        <v>1</v>
      </c>
      <c r="Q1343">
        <f>IF(Table1[[#This Row],[حضر التهيئة]]="نعم",1,0)</f>
        <v>0</v>
      </c>
      <c r="R1343">
        <f>IF(Table1[[#This Row],[دورة الفوترة]]="شهري",1,0)</f>
        <v>1</v>
      </c>
    </row>
    <row r="1344" spans="1:18" x14ac:dyDescent="0.25">
      <c r="A1344" t="s">
        <v>1364</v>
      </c>
      <c r="B1344" s="1">
        <v>45635</v>
      </c>
      <c r="C1344" t="s">
        <v>19</v>
      </c>
      <c r="D1344">
        <v>189</v>
      </c>
      <c r="E1344" t="s">
        <v>14</v>
      </c>
      <c r="F1344">
        <v>19</v>
      </c>
      <c r="G1344" t="s">
        <v>23</v>
      </c>
      <c r="H1344">
        <v>0</v>
      </c>
      <c r="I1344">
        <v>27</v>
      </c>
      <c r="J1344">
        <v>25</v>
      </c>
      <c r="K1344" t="s">
        <v>16</v>
      </c>
      <c r="L1344" t="s">
        <v>17</v>
      </c>
      <c r="M1344">
        <f>IF(Table1[[#This Row],[ألغى الاشتراك]]="نعم",1,0)</f>
        <v>0</v>
      </c>
      <c r="N1344">
        <f>IF(Table1[[#This Row],[وسيلة الدفع]]="بطاقة",1,0)</f>
        <v>0</v>
      </c>
      <c r="O1344">
        <f>IF(Table1[[#This Row],[وسيلة الدفع]]="محفظة",1,0)</f>
        <v>0</v>
      </c>
      <c r="P1344">
        <f>IF(Table1[[#This Row],[وسيلة الدفع]]="تحويل",1,0)</f>
        <v>1</v>
      </c>
      <c r="Q1344">
        <f>IF(Table1[[#This Row],[حضر التهيئة]]="نعم",1,0)</f>
        <v>1</v>
      </c>
      <c r="R1344">
        <f>IF(Table1[[#This Row],[دورة الفوترة]]="شهري",1,0)</f>
        <v>1</v>
      </c>
    </row>
    <row r="1345" spans="1:18" x14ac:dyDescent="0.25">
      <c r="A1345" t="s">
        <v>1365</v>
      </c>
      <c r="B1345" s="1">
        <v>45783</v>
      </c>
      <c r="C1345" t="s">
        <v>13</v>
      </c>
      <c r="D1345">
        <v>89</v>
      </c>
      <c r="E1345" t="s">
        <v>14</v>
      </c>
      <c r="F1345">
        <v>21</v>
      </c>
      <c r="G1345" t="s">
        <v>21</v>
      </c>
      <c r="H1345">
        <v>7</v>
      </c>
      <c r="I1345">
        <v>17</v>
      </c>
      <c r="J1345">
        <v>0</v>
      </c>
      <c r="K1345" t="s">
        <v>16</v>
      </c>
      <c r="L1345" t="s">
        <v>17</v>
      </c>
      <c r="M1345">
        <f>IF(Table1[[#This Row],[ألغى الاشتراك]]="نعم",1,0)</f>
        <v>0</v>
      </c>
      <c r="N1345">
        <f>IF(Table1[[#This Row],[وسيلة الدفع]]="بطاقة",1,0)</f>
        <v>0</v>
      </c>
      <c r="O1345">
        <f>IF(Table1[[#This Row],[وسيلة الدفع]]="محفظة",1,0)</f>
        <v>1</v>
      </c>
      <c r="P1345">
        <f>IF(Table1[[#This Row],[وسيلة الدفع]]="تحويل",1,0)</f>
        <v>0</v>
      </c>
      <c r="Q1345">
        <f>IF(Table1[[#This Row],[حضر التهيئة]]="نعم",1,0)</f>
        <v>1</v>
      </c>
      <c r="R1345">
        <f>IF(Table1[[#This Row],[دورة الفوترة]]="شهري",1,0)</f>
        <v>1</v>
      </c>
    </row>
    <row r="1346" spans="1:18" x14ac:dyDescent="0.25">
      <c r="A1346" t="s">
        <v>1366</v>
      </c>
      <c r="B1346" s="1">
        <v>45329</v>
      </c>
      <c r="C1346" t="s">
        <v>28</v>
      </c>
      <c r="D1346">
        <v>39</v>
      </c>
      <c r="E1346" t="s">
        <v>14</v>
      </c>
      <c r="F1346">
        <v>30</v>
      </c>
      <c r="G1346" t="s">
        <v>21</v>
      </c>
      <c r="H1346">
        <v>11</v>
      </c>
      <c r="I1346">
        <v>38</v>
      </c>
      <c r="J1346">
        <v>0</v>
      </c>
      <c r="K1346" t="s">
        <v>16</v>
      </c>
      <c r="L1346" t="s">
        <v>17</v>
      </c>
      <c r="M1346">
        <f>IF(Table1[[#This Row],[ألغى الاشتراك]]="نعم",1,0)</f>
        <v>0</v>
      </c>
      <c r="N1346">
        <f>IF(Table1[[#This Row],[وسيلة الدفع]]="بطاقة",1,0)</f>
        <v>0</v>
      </c>
      <c r="O1346">
        <f>IF(Table1[[#This Row],[وسيلة الدفع]]="محفظة",1,0)</f>
        <v>1</v>
      </c>
      <c r="P1346">
        <f>IF(Table1[[#This Row],[وسيلة الدفع]]="تحويل",1,0)</f>
        <v>0</v>
      </c>
      <c r="Q1346">
        <f>IF(Table1[[#This Row],[حضر التهيئة]]="نعم",1,0)</f>
        <v>1</v>
      </c>
      <c r="R1346">
        <f>IF(Table1[[#This Row],[دورة الفوترة]]="شهري",1,0)</f>
        <v>1</v>
      </c>
    </row>
    <row r="1347" spans="1:18" x14ac:dyDescent="0.25">
      <c r="A1347" t="s">
        <v>1367</v>
      </c>
      <c r="B1347" s="1">
        <v>45989</v>
      </c>
      <c r="C1347" t="s">
        <v>28</v>
      </c>
      <c r="D1347">
        <v>39</v>
      </c>
      <c r="E1347" t="s">
        <v>14</v>
      </c>
      <c r="F1347">
        <v>5</v>
      </c>
      <c r="G1347" t="s">
        <v>23</v>
      </c>
      <c r="H1347">
        <v>2</v>
      </c>
      <c r="I1347">
        <v>57</v>
      </c>
      <c r="J1347">
        <v>0</v>
      </c>
      <c r="K1347" t="s">
        <v>17</v>
      </c>
      <c r="L1347" t="s">
        <v>17</v>
      </c>
      <c r="M1347">
        <f>IF(Table1[[#This Row],[ألغى الاشتراك]]="نعم",1,0)</f>
        <v>0</v>
      </c>
      <c r="N1347">
        <f>IF(Table1[[#This Row],[وسيلة الدفع]]="بطاقة",1,0)</f>
        <v>0</v>
      </c>
      <c r="O1347">
        <f>IF(Table1[[#This Row],[وسيلة الدفع]]="محفظة",1,0)</f>
        <v>0</v>
      </c>
      <c r="P1347">
        <f>IF(Table1[[#This Row],[وسيلة الدفع]]="تحويل",1,0)</f>
        <v>1</v>
      </c>
      <c r="Q1347">
        <f>IF(Table1[[#This Row],[حضر التهيئة]]="نعم",1,0)</f>
        <v>0</v>
      </c>
      <c r="R1347">
        <f>IF(Table1[[#This Row],[دورة الفوترة]]="شهري",1,0)</f>
        <v>1</v>
      </c>
    </row>
    <row r="1348" spans="1:18" x14ac:dyDescent="0.25">
      <c r="A1348" t="s">
        <v>1368</v>
      </c>
      <c r="B1348" s="1">
        <v>45651</v>
      </c>
      <c r="C1348" t="s">
        <v>13</v>
      </c>
      <c r="D1348">
        <v>89</v>
      </c>
      <c r="E1348" t="s">
        <v>14</v>
      </c>
      <c r="F1348">
        <v>6</v>
      </c>
      <c r="G1348" t="s">
        <v>21</v>
      </c>
      <c r="H1348">
        <v>7</v>
      </c>
      <c r="I1348">
        <v>22</v>
      </c>
      <c r="J1348">
        <v>0</v>
      </c>
      <c r="K1348" t="s">
        <v>17</v>
      </c>
      <c r="L1348" t="s">
        <v>17</v>
      </c>
      <c r="M1348">
        <f>IF(Table1[[#This Row],[ألغى الاشتراك]]="نعم",1,0)</f>
        <v>0</v>
      </c>
      <c r="N1348">
        <f>IF(Table1[[#This Row],[وسيلة الدفع]]="بطاقة",1,0)</f>
        <v>0</v>
      </c>
      <c r="O1348">
        <f>IF(Table1[[#This Row],[وسيلة الدفع]]="محفظة",1,0)</f>
        <v>1</v>
      </c>
      <c r="P1348">
        <f>IF(Table1[[#This Row],[وسيلة الدفع]]="تحويل",1,0)</f>
        <v>0</v>
      </c>
      <c r="Q1348">
        <f>IF(Table1[[#This Row],[حضر التهيئة]]="نعم",1,0)</f>
        <v>0</v>
      </c>
      <c r="R1348">
        <f>IF(Table1[[#This Row],[دورة الفوترة]]="شهري",1,0)</f>
        <v>1</v>
      </c>
    </row>
    <row r="1349" spans="1:18" x14ac:dyDescent="0.25">
      <c r="A1349" t="s">
        <v>1369</v>
      </c>
      <c r="B1349" s="1">
        <v>45679</v>
      </c>
      <c r="C1349" t="s">
        <v>19</v>
      </c>
      <c r="D1349">
        <v>189</v>
      </c>
      <c r="E1349" t="s">
        <v>20</v>
      </c>
      <c r="F1349">
        <v>19</v>
      </c>
      <c r="G1349" t="s">
        <v>21</v>
      </c>
      <c r="H1349">
        <v>2</v>
      </c>
      <c r="I1349">
        <v>3</v>
      </c>
      <c r="J1349">
        <v>0</v>
      </c>
      <c r="K1349" t="s">
        <v>16</v>
      </c>
      <c r="L1349" t="s">
        <v>17</v>
      </c>
      <c r="M1349">
        <f>IF(Table1[[#This Row],[ألغى الاشتراك]]="نعم",1,0)</f>
        <v>0</v>
      </c>
      <c r="N1349">
        <f>IF(Table1[[#This Row],[وسيلة الدفع]]="بطاقة",1,0)</f>
        <v>0</v>
      </c>
      <c r="O1349">
        <f>IF(Table1[[#This Row],[وسيلة الدفع]]="محفظة",1,0)</f>
        <v>1</v>
      </c>
      <c r="P1349">
        <f>IF(Table1[[#This Row],[وسيلة الدفع]]="تحويل",1,0)</f>
        <v>0</v>
      </c>
      <c r="Q1349">
        <f>IF(Table1[[#This Row],[حضر التهيئة]]="نعم",1,0)</f>
        <v>1</v>
      </c>
      <c r="R1349">
        <f>IF(Table1[[#This Row],[دورة الفوترة]]="شهري",1,0)</f>
        <v>0</v>
      </c>
    </row>
    <row r="1350" spans="1:18" x14ac:dyDescent="0.25">
      <c r="A1350" t="s">
        <v>1370</v>
      </c>
      <c r="B1350" s="1">
        <v>45458</v>
      </c>
      <c r="C1350" t="s">
        <v>13</v>
      </c>
      <c r="D1350">
        <v>89</v>
      </c>
      <c r="E1350" t="s">
        <v>14</v>
      </c>
      <c r="F1350">
        <v>18</v>
      </c>
      <c r="G1350" t="s">
        <v>21</v>
      </c>
      <c r="H1350">
        <v>10</v>
      </c>
      <c r="I1350">
        <v>22</v>
      </c>
      <c r="J1350">
        <v>0</v>
      </c>
      <c r="K1350" t="s">
        <v>17</v>
      </c>
      <c r="L1350" t="s">
        <v>17</v>
      </c>
      <c r="M1350">
        <f>IF(Table1[[#This Row],[ألغى الاشتراك]]="نعم",1,0)</f>
        <v>0</v>
      </c>
      <c r="N1350">
        <f>IF(Table1[[#This Row],[وسيلة الدفع]]="بطاقة",1,0)</f>
        <v>0</v>
      </c>
      <c r="O1350">
        <f>IF(Table1[[#This Row],[وسيلة الدفع]]="محفظة",1,0)</f>
        <v>1</v>
      </c>
      <c r="P1350">
        <f>IF(Table1[[#This Row],[وسيلة الدفع]]="تحويل",1,0)</f>
        <v>0</v>
      </c>
      <c r="Q1350">
        <f>IF(Table1[[#This Row],[حضر التهيئة]]="نعم",1,0)</f>
        <v>0</v>
      </c>
      <c r="R1350">
        <f>IF(Table1[[#This Row],[دورة الفوترة]]="شهري",1,0)</f>
        <v>1</v>
      </c>
    </row>
    <row r="1351" spans="1:18" x14ac:dyDescent="0.25">
      <c r="A1351" t="s">
        <v>1371</v>
      </c>
      <c r="B1351" s="1">
        <v>45744</v>
      </c>
      <c r="C1351" t="s">
        <v>13</v>
      </c>
      <c r="D1351">
        <v>89</v>
      </c>
      <c r="E1351" t="s">
        <v>14</v>
      </c>
      <c r="F1351">
        <v>27</v>
      </c>
      <c r="G1351" t="s">
        <v>23</v>
      </c>
      <c r="H1351">
        <v>1</v>
      </c>
      <c r="I1351">
        <v>31</v>
      </c>
      <c r="J1351">
        <v>0</v>
      </c>
      <c r="K1351" t="s">
        <v>17</v>
      </c>
      <c r="L1351" t="s">
        <v>17</v>
      </c>
      <c r="M1351">
        <f>IF(Table1[[#This Row],[ألغى الاشتراك]]="نعم",1,0)</f>
        <v>0</v>
      </c>
      <c r="N1351">
        <f>IF(Table1[[#This Row],[وسيلة الدفع]]="بطاقة",1,0)</f>
        <v>0</v>
      </c>
      <c r="O1351">
        <f>IF(Table1[[#This Row],[وسيلة الدفع]]="محفظة",1,0)</f>
        <v>0</v>
      </c>
      <c r="P1351">
        <f>IF(Table1[[#This Row],[وسيلة الدفع]]="تحويل",1,0)</f>
        <v>1</v>
      </c>
      <c r="Q1351">
        <f>IF(Table1[[#This Row],[حضر التهيئة]]="نعم",1,0)</f>
        <v>0</v>
      </c>
      <c r="R1351">
        <f>IF(Table1[[#This Row],[دورة الفوترة]]="شهري",1,0)</f>
        <v>1</v>
      </c>
    </row>
    <row r="1352" spans="1:18" x14ac:dyDescent="0.25">
      <c r="A1352" t="s">
        <v>1372</v>
      </c>
      <c r="B1352" s="1">
        <v>45922</v>
      </c>
      <c r="C1352" t="s">
        <v>13</v>
      </c>
      <c r="D1352">
        <v>89</v>
      </c>
      <c r="E1352" t="s">
        <v>14</v>
      </c>
      <c r="F1352">
        <v>20</v>
      </c>
      <c r="G1352" t="s">
        <v>21</v>
      </c>
      <c r="H1352">
        <v>2</v>
      </c>
      <c r="I1352">
        <v>18</v>
      </c>
      <c r="J1352">
        <v>5</v>
      </c>
      <c r="K1352" t="s">
        <v>16</v>
      </c>
      <c r="L1352" t="s">
        <v>17</v>
      </c>
      <c r="M1352">
        <f>IF(Table1[[#This Row],[ألغى الاشتراك]]="نعم",1,0)</f>
        <v>0</v>
      </c>
      <c r="N1352">
        <f>IF(Table1[[#This Row],[وسيلة الدفع]]="بطاقة",1,0)</f>
        <v>0</v>
      </c>
      <c r="O1352">
        <f>IF(Table1[[#This Row],[وسيلة الدفع]]="محفظة",1,0)</f>
        <v>1</v>
      </c>
      <c r="P1352">
        <f>IF(Table1[[#This Row],[وسيلة الدفع]]="تحويل",1,0)</f>
        <v>0</v>
      </c>
      <c r="Q1352">
        <f>IF(Table1[[#This Row],[حضر التهيئة]]="نعم",1,0)</f>
        <v>1</v>
      </c>
      <c r="R1352">
        <f>IF(Table1[[#This Row],[دورة الفوترة]]="شهري",1,0)</f>
        <v>1</v>
      </c>
    </row>
    <row r="1353" spans="1:18" x14ac:dyDescent="0.25">
      <c r="A1353" t="s">
        <v>1373</v>
      </c>
      <c r="B1353" s="1">
        <v>45580</v>
      </c>
      <c r="C1353" t="s">
        <v>19</v>
      </c>
      <c r="D1353">
        <v>189</v>
      </c>
      <c r="E1353" t="s">
        <v>20</v>
      </c>
      <c r="F1353">
        <v>22</v>
      </c>
      <c r="G1353" t="s">
        <v>15</v>
      </c>
      <c r="H1353">
        <v>1</v>
      </c>
      <c r="I1353">
        <v>18</v>
      </c>
      <c r="J1353">
        <v>0</v>
      </c>
      <c r="K1353" t="s">
        <v>16</v>
      </c>
      <c r="L1353" t="s">
        <v>17</v>
      </c>
      <c r="M1353">
        <f>IF(Table1[[#This Row],[ألغى الاشتراك]]="نعم",1,0)</f>
        <v>0</v>
      </c>
      <c r="N1353">
        <f>IF(Table1[[#This Row],[وسيلة الدفع]]="بطاقة",1,0)</f>
        <v>1</v>
      </c>
      <c r="O1353">
        <f>IF(Table1[[#This Row],[وسيلة الدفع]]="محفظة",1,0)</f>
        <v>0</v>
      </c>
      <c r="P1353">
        <f>IF(Table1[[#This Row],[وسيلة الدفع]]="تحويل",1,0)</f>
        <v>0</v>
      </c>
      <c r="Q1353">
        <f>IF(Table1[[#This Row],[حضر التهيئة]]="نعم",1,0)</f>
        <v>1</v>
      </c>
      <c r="R1353">
        <f>IF(Table1[[#This Row],[دورة الفوترة]]="شهري",1,0)</f>
        <v>0</v>
      </c>
    </row>
    <row r="1354" spans="1:18" x14ac:dyDescent="0.25">
      <c r="A1354" t="s">
        <v>1374</v>
      </c>
      <c r="B1354" s="1">
        <v>45724</v>
      </c>
      <c r="C1354" t="s">
        <v>13</v>
      </c>
      <c r="D1354">
        <v>89</v>
      </c>
      <c r="E1354" t="s">
        <v>20</v>
      </c>
      <c r="F1354">
        <v>17</v>
      </c>
      <c r="G1354" t="s">
        <v>21</v>
      </c>
      <c r="H1354">
        <v>2</v>
      </c>
      <c r="I1354">
        <v>23</v>
      </c>
      <c r="J1354">
        <v>0</v>
      </c>
      <c r="K1354" t="s">
        <v>16</v>
      </c>
      <c r="L1354" t="s">
        <v>17</v>
      </c>
      <c r="M1354">
        <f>IF(Table1[[#This Row],[ألغى الاشتراك]]="نعم",1,0)</f>
        <v>0</v>
      </c>
      <c r="N1354">
        <f>IF(Table1[[#This Row],[وسيلة الدفع]]="بطاقة",1,0)</f>
        <v>0</v>
      </c>
      <c r="O1354">
        <f>IF(Table1[[#This Row],[وسيلة الدفع]]="محفظة",1,0)</f>
        <v>1</v>
      </c>
      <c r="P1354">
        <f>IF(Table1[[#This Row],[وسيلة الدفع]]="تحويل",1,0)</f>
        <v>0</v>
      </c>
      <c r="Q1354">
        <f>IF(Table1[[#This Row],[حضر التهيئة]]="نعم",1,0)</f>
        <v>1</v>
      </c>
      <c r="R1354">
        <f>IF(Table1[[#This Row],[دورة الفوترة]]="شهري",1,0)</f>
        <v>0</v>
      </c>
    </row>
    <row r="1355" spans="1:18" x14ac:dyDescent="0.25">
      <c r="A1355" t="s">
        <v>1375</v>
      </c>
      <c r="B1355" s="1">
        <v>45791</v>
      </c>
      <c r="C1355" t="s">
        <v>19</v>
      </c>
      <c r="D1355">
        <v>189</v>
      </c>
      <c r="E1355" t="s">
        <v>14</v>
      </c>
      <c r="F1355">
        <v>26</v>
      </c>
      <c r="G1355" t="s">
        <v>23</v>
      </c>
      <c r="H1355">
        <v>2</v>
      </c>
      <c r="I1355">
        <v>20</v>
      </c>
      <c r="J1355">
        <v>5</v>
      </c>
      <c r="K1355" t="s">
        <v>17</v>
      </c>
      <c r="L1355" t="s">
        <v>17</v>
      </c>
      <c r="M1355">
        <f>IF(Table1[[#This Row],[ألغى الاشتراك]]="نعم",1,0)</f>
        <v>0</v>
      </c>
      <c r="N1355">
        <f>IF(Table1[[#This Row],[وسيلة الدفع]]="بطاقة",1,0)</f>
        <v>0</v>
      </c>
      <c r="O1355">
        <f>IF(Table1[[#This Row],[وسيلة الدفع]]="محفظة",1,0)</f>
        <v>0</v>
      </c>
      <c r="P1355">
        <f>IF(Table1[[#This Row],[وسيلة الدفع]]="تحويل",1,0)</f>
        <v>1</v>
      </c>
      <c r="Q1355">
        <f>IF(Table1[[#This Row],[حضر التهيئة]]="نعم",1,0)</f>
        <v>0</v>
      </c>
      <c r="R1355">
        <f>IF(Table1[[#This Row],[دورة الفوترة]]="شهري",1,0)</f>
        <v>1</v>
      </c>
    </row>
    <row r="1356" spans="1:18" x14ac:dyDescent="0.25">
      <c r="A1356" t="s">
        <v>1376</v>
      </c>
      <c r="B1356" s="1">
        <v>45345</v>
      </c>
      <c r="C1356" t="s">
        <v>13</v>
      </c>
      <c r="D1356">
        <v>89</v>
      </c>
      <c r="E1356" t="s">
        <v>14</v>
      </c>
      <c r="F1356">
        <v>22</v>
      </c>
      <c r="G1356" t="s">
        <v>15</v>
      </c>
      <c r="H1356">
        <v>2</v>
      </c>
      <c r="I1356">
        <v>6</v>
      </c>
      <c r="J1356">
        <v>0</v>
      </c>
      <c r="K1356" t="s">
        <v>17</v>
      </c>
      <c r="L1356" t="s">
        <v>16</v>
      </c>
      <c r="M1356">
        <f>IF(Table1[[#This Row],[ألغى الاشتراك]]="نعم",1,0)</f>
        <v>1</v>
      </c>
      <c r="N1356">
        <f>IF(Table1[[#This Row],[وسيلة الدفع]]="بطاقة",1,0)</f>
        <v>1</v>
      </c>
      <c r="O1356">
        <f>IF(Table1[[#This Row],[وسيلة الدفع]]="محفظة",1,0)</f>
        <v>0</v>
      </c>
      <c r="P1356">
        <f>IF(Table1[[#This Row],[وسيلة الدفع]]="تحويل",1,0)</f>
        <v>0</v>
      </c>
      <c r="Q1356">
        <f>IF(Table1[[#This Row],[حضر التهيئة]]="نعم",1,0)</f>
        <v>0</v>
      </c>
      <c r="R1356">
        <f>IF(Table1[[#This Row],[دورة الفوترة]]="شهري",1,0)</f>
        <v>1</v>
      </c>
    </row>
    <row r="1357" spans="1:18" x14ac:dyDescent="0.25">
      <c r="A1357" t="s">
        <v>1377</v>
      </c>
      <c r="B1357" s="1">
        <v>45969</v>
      </c>
      <c r="C1357" t="s">
        <v>19</v>
      </c>
      <c r="D1357">
        <v>189</v>
      </c>
      <c r="E1357" t="s">
        <v>20</v>
      </c>
      <c r="F1357">
        <v>13</v>
      </c>
      <c r="G1357" t="s">
        <v>23</v>
      </c>
      <c r="H1357">
        <v>2</v>
      </c>
      <c r="I1357">
        <v>5</v>
      </c>
      <c r="J1357">
        <v>0</v>
      </c>
      <c r="K1357" t="s">
        <v>17</v>
      </c>
      <c r="L1357" t="s">
        <v>17</v>
      </c>
      <c r="M1357">
        <f>IF(Table1[[#This Row],[ألغى الاشتراك]]="نعم",1,0)</f>
        <v>0</v>
      </c>
      <c r="N1357">
        <f>IF(Table1[[#This Row],[وسيلة الدفع]]="بطاقة",1,0)</f>
        <v>0</v>
      </c>
      <c r="O1357">
        <f>IF(Table1[[#This Row],[وسيلة الدفع]]="محفظة",1,0)</f>
        <v>0</v>
      </c>
      <c r="P1357">
        <f>IF(Table1[[#This Row],[وسيلة الدفع]]="تحويل",1,0)</f>
        <v>1</v>
      </c>
      <c r="Q1357">
        <f>IF(Table1[[#This Row],[حضر التهيئة]]="نعم",1,0)</f>
        <v>0</v>
      </c>
      <c r="R1357">
        <f>IF(Table1[[#This Row],[دورة الفوترة]]="شهري",1,0)</f>
        <v>0</v>
      </c>
    </row>
    <row r="1358" spans="1:18" x14ac:dyDescent="0.25">
      <c r="A1358" t="s">
        <v>1378</v>
      </c>
      <c r="B1358" s="1">
        <v>45395</v>
      </c>
      <c r="C1358" t="s">
        <v>28</v>
      </c>
      <c r="D1358">
        <v>39</v>
      </c>
      <c r="E1358" t="s">
        <v>20</v>
      </c>
      <c r="F1358">
        <v>24</v>
      </c>
      <c r="G1358" t="s">
        <v>21</v>
      </c>
      <c r="H1358">
        <v>10</v>
      </c>
      <c r="I1358">
        <v>12</v>
      </c>
      <c r="J1358">
        <v>0</v>
      </c>
      <c r="K1358" t="s">
        <v>17</v>
      </c>
      <c r="L1358" t="s">
        <v>16</v>
      </c>
      <c r="M1358">
        <f>IF(Table1[[#This Row],[ألغى الاشتراك]]="نعم",1,0)</f>
        <v>1</v>
      </c>
      <c r="N1358">
        <f>IF(Table1[[#This Row],[وسيلة الدفع]]="بطاقة",1,0)</f>
        <v>0</v>
      </c>
      <c r="O1358">
        <f>IF(Table1[[#This Row],[وسيلة الدفع]]="محفظة",1,0)</f>
        <v>1</v>
      </c>
      <c r="P1358">
        <f>IF(Table1[[#This Row],[وسيلة الدفع]]="تحويل",1,0)</f>
        <v>0</v>
      </c>
      <c r="Q1358">
        <f>IF(Table1[[#This Row],[حضر التهيئة]]="نعم",1,0)</f>
        <v>0</v>
      </c>
      <c r="R1358">
        <f>IF(Table1[[#This Row],[دورة الفوترة]]="شهري",1,0)</f>
        <v>0</v>
      </c>
    </row>
    <row r="1359" spans="1:18" x14ac:dyDescent="0.25">
      <c r="A1359" t="s">
        <v>1379</v>
      </c>
      <c r="B1359" s="1">
        <v>45779</v>
      </c>
      <c r="C1359" t="s">
        <v>13</v>
      </c>
      <c r="D1359">
        <v>89</v>
      </c>
      <c r="E1359" t="s">
        <v>14</v>
      </c>
      <c r="F1359">
        <v>19</v>
      </c>
      <c r="G1359" t="s">
        <v>21</v>
      </c>
      <c r="H1359">
        <v>9</v>
      </c>
      <c r="I1359">
        <v>45</v>
      </c>
      <c r="J1359">
        <v>0</v>
      </c>
      <c r="K1359" t="s">
        <v>16</v>
      </c>
      <c r="L1359" t="s">
        <v>16</v>
      </c>
      <c r="M1359">
        <f>IF(Table1[[#This Row],[ألغى الاشتراك]]="نعم",1,0)</f>
        <v>1</v>
      </c>
      <c r="N1359">
        <f>IF(Table1[[#This Row],[وسيلة الدفع]]="بطاقة",1,0)</f>
        <v>0</v>
      </c>
      <c r="O1359">
        <f>IF(Table1[[#This Row],[وسيلة الدفع]]="محفظة",1,0)</f>
        <v>1</v>
      </c>
      <c r="P1359">
        <f>IF(Table1[[#This Row],[وسيلة الدفع]]="تحويل",1,0)</f>
        <v>0</v>
      </c>
      <c r="Q1359">
        <f>IF(Table1[[#This Row],[حضر التهيئة]]="نعم",1,0)</f>
        <v>1</v>
      </c>
      <c r="R1359">
        <f>IF(Table1[[#This Row],[دورة الفوترة]]="شهري",1,0)</f>
        <v>1</v>
      </c>
    </row>
    <row r="1360" spans="1:18" x14ac:dyDescent="0.25">
      <c r="A1360" t="s">
        <v>1380</v>
      </c>
      <c r="B1360" s="1">
        <v>45744</v>
      </c>
      <c r="C1360" t="s">
        <v>28</v>
      </c>
      <c r="D1360">
        <v>39</v>
      </c>
      <c r="E1360" t="s">
        <v>14</v>
      </c>
      <c r="F1360">
        <v>2</v>
      </c>
      <c r="G1360" t="s">
        <v>21</v>
      </c>
      <c r="H1360">
        <v>10</v>
      </c>
      <c r="I1360">
        <v>50</v>
      </c>
      <c r="J1360">
        <v>15</v>
      </c>
      <c r="K1360" t="s">
        <v>17</v>
      </c>
      <c r="L1360" t="s">
        <v>17</v>
      </c>
      <c r="M1360">
        <f>IF(Table1[[#This Row],[ألغى الاشتراك]]="نعم",1,0)</f>
        <v>0</v>
      </c>
      <c r="N1360">
        <f>IF(Table1[[#This Row],[وسيلة الدفع]]="بطاقة",1,0)</f>
        <v>0</v>
      </c>
      <c r="O1360">
        <f>IF(Table1[[#This Row],[وسيلة الدفع]]="محفظة",1,0)</f>
        <v>1</v>
      </c>
      <c r="P1360">
        <f>IF(Table1[[#This Row],[وسيلة الدفع]]="تحويل",1,0)</f>
        <v>0</v>
      </c>
      <c r="Q1360">
        <f>IF(Table1[[#This Row],[حضر التهيئة]]="نعم",1,0)</f>
        <v>0</v>
      </c>
      <c r="R1360">
        <f>IF(Table1[[#This Row],[دورة الفوترة]]="شهري",1,0)</f>
        <v>1</v>
      </c>
    </row>
    <row r="1361" spans="1:18" x14ac:dyDescent="0.25">
      <c r="A1361" t="s">
        <v>1381</v>
      </c>
      <c r="B1361" s="1">
        <v>45803</v>
      </c>
      <c r="C1361" t="s">
        <v>13</v>
      </c>
      <c r="D1361">
        <v>89</v>
      </c>
      <c r="E1361" t="s">
        <v>14</v>
      </c>
      <c r="F1361">
        <v>16</v>
      </c>
      <c r="G1361" t="s">
        <v>23</v>
      </c>
      <c r="H1361">
        <v>1</v>
      </c>
      <c r="I1361">
        <v>8</v>
      </c>
      <c r="J1361">
        <v>5</v>
      </c>
      <c r="K1361" t="s">
        <v>16</v>
      </c>
      <c r="L1361" t="s">
        <v>17</v>
      </c>
      <c r="M1361">
        <f>IF(Table1[[#This Row],[ألغى الاشتراك]]="نعم",1,0)</f>
        <v>0</v>
      </c>
      <c r="N1361">
        <f>IF(Table1[[#This Row],[وسيلة الدفع]]="بطاقة",1,0)</f>
        <v>0</v>
      </c>
      <c r="O1361">
        <f>IF(Table1[[#This Row],[وسيلة الدفع]]="محفظة",1,0)</f>
        <v>0</v>
      </c>
      <c r="P1361">
        <f>IF(Table1[[#This Row],[وسيلة الدفع]]="تحويل",1,0)</f>
        <v>1</v>
      </c>
      <c r="Q1361">
        <f>IF(Table1[[#This Row],[حضر التهيئة]]="نعم",1,0)</f>
        <v>1</v>
      </c>
      <c r="R1361">
        <f>IF(Table1[[#This Row],[دورة الفوترة]]="شهري",1,0)</f>
        <v>1</v>
      </c>
    </row>
    <row r="1362" spans="1:18" x14ac:dyDescent="0.25">
      <c r="A1362" t="s">
        <v>1382</v>
      </c>
      <c r="B1362" s="1">
        <v>45349</v>
      </c>
      <c r="C1362" t="s">
        <v>19</v>
      </c>
      <c r="D1362">
        <v>189</v>
      </c>
      <c r="E1362" t="s">
        <v>14</v>
      </c>
      <c r="F1362">
        <v>16</v>
      </c>
      <c r="G1362" t="s">
        <v>15</v>
      </c>
      <c r="H1362">
        <v>2</v>
      </c>
      <c r="I1362">
        <v>10</v>
      </c>
      <c r="J1362">
        <v>0</v>
      </c>
      <c r="K1362" t="s">
        <v>16</v>
      </c>
      <c r="L1362" t="s">
        <v>17</v>
      </c>
      <c r="M1362">
        <f>IF(Table1[[#This Row],[ألغى الاشتراك]]="نعم",1,0)</f>
        <v>0</v>
      </c>
      <c r="N1362">
        <f>IF(Table1[[#This Row],[وسيلة الدفع]]="بطاقة",1,0)</f>
        <v>1</v>
      </c>
      <c r="O1362">
        <f>IF(Table1[[#This Row],[وسيلة الدفع]]="محفظة",1,0)</f>
        <v>0</v>
      </c>
      <c r="P1362">
        <f>IF(Table1[[#This Row],[وسيلة الدفع]]="تحويل",1,0)</f>
        <v>0</v>
      </c>
      <c r="Q1362">
        <f>IF(Table1[[#This Row],[حضر التهيئة]]="نعم",1,0)</f>
        <v>1</v>
      </c>
      <c r="R1362">
        <f>IF(Table1[[#This Row],[دورة الفوترة]]="شهري",1,0)</f>
        <v>1</v>
      </c>
    </row>
    <row r="1363" spans="1:18" x14ac:dyDescent="0.25">
      <c r="A1363" t="s">
        <v>1383</v>
      </c>
      <c r="B1363" s="1">
        <v>45403</v>
      </c>
      <c r="C1363" t="s">
        <v>13</v>
      </c>
      <c r="D1363">
        <v>89</v>
      </c>
      <c r="E1363" t="s">
        <v>20</v>
      </c>
      <c r="F1363">
        <v>3</v>
      </c>
      <c r="G1363" t="s">
        <v>15</v>
      </c>
      <c r="H1363">
        <v>1</v>
      </c>
      <c r="I1363">
        <v>39</v>
      </c>
      <c r="J1363">
        <v>25</v>
      </c>
      <c r="K1363" t="s">
        <v>17</v>
      </c>
      <c r="L1363" t="s">
        <v>17</v>
      </c>
      <c r="M1363">
        <f>IF(Table1[[#This Row],[ألغى الاشتراك]]="نعم",1,0)</f>
        <v>0</v>
      </c>
      <c r="N1363">
        <f>IF(Table1[[#This Row],[وسيلة الدفع]]="بطاقة",1,0)</f>
        <v>1</v>
      </c>
      <c r="O1363">
        <f>IF(Table1[[#This Row],[وسيلة الدفع]]="محفظة",1,0)</f>
        <v>0</v>
      </c>
      <c r="P1363">
        <f>IF(Table1[[#This Row],[وسيلة الدفع]]="تحويل",1,0)</f>
        <v>0</v>
      </c>
      <c r="Q1363">
        <f>IF(Table1[[#This Row],[حضر التهيئة]]="نعم",1,0)</f>
        <v>0</v>
      </c>
      <c r="R1363">
        <f>IF(Table1[[#This Row],[دورة الفوترة]]="شهري",1,0)</f>
        <v>0</v>
      </c>
    </row>
    <row r="1364" spans="1:18" x14ac:dyDescent="0.25">
      <c r="A1364" t="s">
        <v>1384</v>
      </c>
      <c r="B1364" s="1">
        <v>45906</v>
      </c>
      <c r="C1364" t="s">
        <v>19</v>
      </c>
      <c r="D1364">
        <v>189</v>
      </c>
      <c r="E1364" t="s">
        <v>20</v>
      </c>
      <c r="F1364">
        <v>5</v>
      </c>
      <c r="G1364" t="s">
        <v>23</v>
      </c>
      <c r="H1364">
        <v>2</v>
      </c>
      <c r="I1364">
        <v>53</v>
      </c>
      <c r="J1364">
        <v>0</v>
      </c>
      <c r="K1364" t="s">
        <v>16</v>
      </c>
      <c r="L1364" t="s">
        <v>17</v>
      </c>
      <c r="M1364">
        <f>IF(Table1[[#This Row],[ألغى الاشتراك]]="نعم",1,0)</f>
        <v>0</v>
      </c>
      <c r="N1364">
        <f>IF(Table1[[#This Row],[وسيلة الدفع]]="بطاقة",1,0)</f>
        <v>0</v>
      </c>
      <c r="O1364">
        <f>IF(Table1[[#This Row],[وسيلة الدفع]]="محفظة",1,0)</f>
        <v>0</v>
      </c>
      <c r="P1364">
        <f>IF(Table1[[#This Row],[وسيلة الدفع]]="تحويل",1,0)</f>
        <v>1</v>
      </c>
      <c r="Q1364">
        <f>IF(Table1[[#This Row],[حضر التهيئة]]="نعم",1,0)</f>
        <v>1</v>
      </c>
      <c r="R1364">
        <f>IF(Table1[[#This Row],[دورة الفوترة]]="شهري",1,0)</f>
        <v>0</v>
      </c>
    </row>
    <row r="1365" spans="1:18" x14ac:dyDescent="0.25">
      <c r="A1365" t="s">
        <v>1385</v>
      </c>
      <c r="B1365" s="1">
        <v>45985</v>
      </c>
      <c r="C1365" t="s">
        <v>28</v>
      </c>
      <c r="D1365">
        <v>39</v>
      </c>
      <c r="E1365" t="s">
        <v>20</v>
      </c>
      <c r="F1365">
        <v>22</v>
      </c>
      <c r="G1365" t="s">
        <v>23</v>
      </c>
      <c r="H1365">
        <v>0</v>
      </c>
      <c r="I1365">
        <v>16</v>
      </c>
      <c r="J1365">
        <v>15</v>
      </c>
      <c r="K1365" t="s">
        <v>16</v>
      </c>
      <c r="L1365" t="s">
        <v>17</v>
      </c>
      <c r="M1365">
        <f>IF(Table1[[#This Row],[ألغى الاشتراك]]="نعم",1,0)</f>
        <v>0</v>
      </c>
      <c r="N1365">
        <f>IF(Table1[[#This Row],[وسيلة الدفع]]="بطاقة",1,0)</f>
        <v>0</v>
      </c>
      <c r="O1365">
        <f>IF(Table1[[#This Row],[وسيلة الدفع]]="محفظة",1,0)</f>
        <v>0</v>
      </c>
      <c r="P1365">
        <f>IF(Table1[[#This Row],[وسيلة الدفع]]="تحويل",1,0)</f>
        <v>1</v>
      </c>
      <c r="Q1365">
        <f>IF(Table1[[#This Row],[حضر التهيئة]]="نعم",1,0)</f>
        <v>1</v>
      </c>
      <c r="R1365">
        <f>IF(Table1[[#This Row],[دورة الفوترة]]="شهري",1,0)</f>
        <v>0</v>
      </c>
    </row>
    <row r="1366" spans="1:18" x14ac:dyDescent="0.25">
      <c r="A1366" t="s">
        <v>1386</v>
      </c>
      <c r="B1366" s="1">
        <v>45635</v>
      </c>
      <c r="C1366" t="s">
        <v>13</v>
      </c>
      <c r="D1366">
        <v>89</v>
      </c>
      <c r="E1366" t="s">
        <v>14</v>
      </c>
      <c r="F1366">
        <v>14</v>
      </c>
      <c r="G1366" t="s">
        <v>15</v>
      </c>
      <c r="H1366">
        <v>0</v>
      </c>
      <c r="I1366">
        <v>34</v>
      </c>
      <c r="J1366">
        <v>0</v>
      </c>
      <c r="K1366" t="s">
        <v>16</v>
      </c>
      <c r="L1366" t="s">
        <v>16</v>
      </c>
      <c r="M1366">
        <f>IF(Table1[[#This Row],[ألغى الاشتراك]]="نعم",1,0)</f>
        <v>1</v>
      </c>
      <c r="N1366">
        <f>IF(Table1[[#This Row],[وسيلة الدفع]]="بطاقة",1,0)</f>
        <v>1</v>
      </c>
      <c r="O1366">
        <f>IF(Table1[[#This Row],[وسيلة الدفع]]="محفظة",1,0)</f>
        <v>0</v>
      </c>
      <c r="P1366">
        <f>IF(Table1[[#This Row],[وسيلة الدفع]]="تحويل",1,0)</f>
        <v>0</v>
      </c>
      <c r="Q1366">
        <f>IF(Table1[[#This Row],[حضر التهيئة]]="نعم",1,0)</f>
        <v>1</v>
      </c>
      <c r="R1366">
        <f>IF(Table1[[#This Row],[دورة الفوترة]]="شهري",1,0)</f>
        <v>1</v>
      </c>
    </row>
    <row r="1367" spans="1:18" x14ac:dyDescent="0.25">
      <c r="A1367" t="s">
        <v>1387</v>
      </c>
      <c r="B1367" s="1">
        <v>45466</v>
      </c>
      <c r="C1367" t="s">
        <v>13</v>
      </c>
      <c r="D1367">
        <v>89</v>
      </c>
      <c r="E1367" t="s">
        <v>14</v>
      </c>
      <c r="F1367">
        <v>7</v>
      </c>
      <c r="G1367" t="s">
        <v>15</v>
      </c>
      <c r="H1367">
        <v>0</v>
      </c>
      <c r="I1367">
        <v>31</v>
      </c>
      <c r="J1367">
        <v>10</v>
      </c>
      <c r="K1367" t="s">
        <v>16</v>
      </c>
      <c r="L1367" t="s">
        <v>17</v>
      </c>
      <c r="M1367">
        <f>IF(Table1[[#This Row],[ألغى الاشتراك]]="نعم",1,0)</f>
        <v>0</v>
      </c>
      <c r="N1367">
        <f>IF(Table1[[#This Row],[وسيلة الدفع]]="بطاقة",1,0)</f>
        <v>1</v>
      </c>
      <c r="O1367">
        <f>IF(Table1[[#This Row],[وسيلة الدفع]]="محفظة",1,0)</f>
        <v>0</v>
      </c>
      <c r="P1367">
        <f>IF(Table1[[#This Row],[وسيلة الدفع]]="تحويل",1,0)</f>
        <v>0</v>
      </c>
      <c r="Q1367">
        <f>IF(Table1[[#This Row],[حضر التهيئة]]="نعم",1,0)</f>
        <v>1</v>
      </c>
      <c r="R1367">
        <f>IF(Table1[[#This Row],[دورة الفوترة]]="شهري",1,0)</f>
        <v>1</v>
      </c>
    </row>
    <row r="1368" spans="1:18" x14ac:dyDescent="0.25">
      <c r="A1368" t="s">
        <v>1388</v>
      </c>
      <c r="B1368" s="1">
        <v>45842</v>
      </c>
      <c r="C1368" t="s">
        <v>19</v>
      </c>
      <c r="D1368">
        <v>189</v>
      </c>
      <c r="E1368" t="s">
        <v>14</v>
      </c>
      <c r="F1368">
        <v>19</v>
      </c>
      <c r="G1368" t="s">
        <v>15</v>
      </c>
      <c r="H1368">
        <v>4</v>
      </c>
      <c r="I1368">
        <v>33</v>
      </c>
      <c r="J1368">
        <v>0</v>
      </c>
      <c r="K1368" t="s">
        <v>17</v>
      </c>
      <c r="L1368" t="s">
        <v>17</v>
      </c>
      <c r="M1368">
        <f>IF(Table1[[#This Row],[ألغى الاشتراك]]="نعم",1,0)</f>
        <v>0</v>
      </c>
      <c r="N1368">
        <f>IF(Table1[[#This Row],[وسيلة الدفع]]="بطاقة",1,0)</f>
        <v>1</v>
      </c>
      <c r="O1368">
        <f>IF(Table1[[#This Row],[وسيلة الدفع]]="محفظة",1,0)</f>
        <v>0</v>
      </c>
      <c r="P1368">
        <f>IF(Table1[[#This Row],[وسيلة الدفع]]="تحويل",1,0)</f>
        <v>0</v>
      </c>
      <c r="Q1368">
        <f>IF(Table1[[#This Row],[حضر التهيئة]]="نعم",1,0)</f>
        <v>0</v>
      </c>
      <c r="R1368">
        <f>IF(Table1[[#This Row],[دورة الفوترة]]="شهري",1,0)</f>
        <v>1</v>
      </c>
    </row>
    <row r="1369" spans="1:18" x14ac:dyDescent="0.25">
      <c r="A1369" t="s">
        <v>1389</v>
      </c>
      <c r="B1369" s="1">
        <v>45391</v>
      </c>
      <c r="C1369" t="s">
        <v>13</v>
      </c>
      <c r="D1369">
        <v>89</v>
      </c>
      <c r="E1369" t="s">
        <v>14</v>
      </c>
      <c r="F1369">
        <v>24</v>
      </c>
      <c r="G1369" t="s">
        <v>23</v>
      </c>
      <c r="H1369">
        <v>1</v>
      </c>
      <c r="I1369">
        <v>20</v>
      </c>
      <c r="J1369">
        <v>0</v>
      </c>
      <c r="K1369" t="s">
        <v>16</v>
      </c>
      <c r="L1369" t="s">
        <v>17</v>
      </c>
      <c r="M1369">
        <f>IF(Table1[[#This Row],[ألغى الاشتراك]]="نعم",1,0)</f>
        <v>0</v>
      </c>
      <c r="N1369">
        <f>IF(Table1[[#This Row],[وسيلة الدفع]]="بطاقة",1,0)</f>
        <v>0</v>
      </c>
      <c r="O1369">
        <f>IF(Table1[[#This Row],[وسيلة الدفع]]="محفظة",1,0)</f>
        <v>0</v>
      </c>
      <c r="P1369">
        <f>IF(Table1[[#This Row],[وسيلة الدفع]]="تحويل",1,0)</f>
        <v>1</v>
      </c>
      <c r="Q1369">
        <f>IF(Table1[[#This Row],[حضر التهيئة]]="نعم",1,0)</f>
        <v>1</v>
      </c>
      <c r="R1369">
        <f>IF(Table1[[#This Row],[دورة الفوترة]]="شهري",1,0)</f>
        <v>1</v>
      </c>
    </row>
    <row r="1370" spans="1:18" x14ac:dyDescent="0.25">
      <c r="A1370" t="s">
        <v>1390</v>
      </c>
      <c r="B1370" s="1">
        <v>45795</v>
      </c>
      <c r="C1370" t="s">
        <v>28</v>
      </c>
      <c r="D1370">
        <v>39</v>
      </c>
      <c r="E1370" t="s">
        <v>20</v>
      </c>
      <c r="F1370">
        <v>15</v>
      </c>
      <c r="G1370" t="s">
        <v>15</v>
      </c>
      <c r="H1370">
        <v>0</v>
      </c>
      <c r="I1370">
        <v>23</v>
      </c>
      <c r="J1370">
        <v>0</v>
      </c>
      <c r="K1370" t="s">
        <v>16</v>
      </c>
      <c r="L1370" t="s">
        <v>17</v>
      </c>
      <c r="M1370">
        <f>IF(Table1[[#This Row],[ألغى الاشتراك]]="نعم",1,0)</f>
        <v>0</v>
      </c>
      <c r="N1370">
        <f>IF(Table1[[#This Row],[وسيلة الدفع]]="بطاقة",1,0)</f>
        <v>1</v>
      </c>
      <c r="O1370">
        <f>IF(Table1[[#This Row],[وسيلة الدفع]]="محفظة",1,0)</f>
        <v>0</v>
      </c>
      <c r="P1370">
        <f>IF(Table1[[#This Row],[وسيلة الدفع]]="تحويل",1,0)</f>
        <v>0</v>
      </c>
      <c r="Q1370">
        <f>IF(Table1[[#This Row],[حضر التهيئة]]="نعم",1,0)</f>
        <v>1</v>
      </c>
      <c r="R1370">
        <f>IF(Table1[[#This Row],[دورة الفوترة]]="شهري",1,0)</f>
        <v>0</v>
      </c>
    </row>
    <row r="1371" spans="1:18" x14ac:dyDescent="0.25">
      <c r="A1371" t="s">
        <v>1391</v>
      </c>
      <c r="B1371" s="1">
        <v>45580</v>
      </c>
      <c r="C1371" t="s">
        <v>28</v>
      </c>
      <c r="D1371">
        <v>39</v>
      </c>
      <c r="E1371" t="s">
        <v>14</v>
      </c>
      <c r="F1371">
        <v>20</v>
      </c>
      <c r="G1371" t="s">
        <v>23</v>
      </c>
      <c r="H1371">
        <v>7</v>
      </c>
      <c r="I1371">
        <v>8</v>
      </c>
      <c r="J1371">
        <v>0</v>
      </c>
      <c r="K1371" t="s">
        <v>17</v>
      </c>
      <c r="L1371" t="s">
        <v>17</v>
      </c>
      <c r="M1371">
        <f>IF(Table1[[#This Row],[ألغى الاشتراك]]="نعم",1,0)</f>
        <v>0</v>
      </c>
      <c r="N1371">
        <f>IF(Table1[[#This Row],[وسيلة الدفع]]="بطاقة",1,0)</f>
        <v>0</v>
      </c>
      <c r="O1371">
        <f>IF(Table1[[#This Row],[وسيلة الدفع]]="محفظة",1,0)</f>
        <v>0</v>
      </c>
      <c r="P1371">
        <f>IF(Table1[[#This Row],[وسيلة الدفع]]="تحويل",1,0)</f>
        <v>1</v>
      </c>
      <c r="Q1371">
        <f>IF(Table1[[#This Row],[حضر التهيئة]]="نعم",1,0)</f>
        <v>0</v>
      </c>
      <c r="R1371">
        <f>IF(Table1[[#This Row],[دورة الفوترة]]="شهري",1,0)</f>
        <v>1</v>
      </c>
    </row>
    <row r="1372" spans="1:18" x14ac:dyDescent="0.25">
      <c r="A1372" t="s">
        <v>1392</v>
      </c>
      <c r="B1372" s="1">
        <v>45744</v>
      </c>
      <c r="C1372" t="s">
        <v>28</v>
      </c>
      <c r="D1372">
        <v>39</v>
      </c>
      <c r="E1372" t="s">
        <v>14</v>
      </c>
      <c r="F1372">
        <v>25</v>
      </c>
      <c r="G1372" t="s">
        <v>15</v>
      </c>
      <c r="H1372">
        <v>6</v>
      </c>
      <c r="I1372">
        <v>35</v>
      </c>
      <c r="J1372">
        <v>0</v>
      </c>
      <c r="K1372" t="s">
        <v>17</v>
      </c>
      <c r="L1372" t="s">
        <v>17</v>
      </c>
      <c r="M1372">
        <f>IF(Table1[[#This Row],[ألغى الاشتراك]]="نعم",1,0)</f>
        <v>0</v>
      </c>
      <c r="N1372">
        <f>IF(Table1[[#This Row],[وسيلة الدفع]]="بطاقة",1,0)</f>
        <v>1</v>
      </c>
      <c r="O1372">
        <f>IF(Table1[[#This Row],[وسيلة الدفع]]="محفظة",1,0)</f>
        <v>0</v>
      </c>
      <c r="P1372">
        <f>IF(Table1[[#This Row],[وسيلة الدفع]]="تحويل",1,0)</f>
        <v>0</v>
      </c>
      <c r="Q1372">
        <f>IF(Table1[[#This Row],[حضر التهيئة]]="نعم",1,0)</f>
        <v>0</v>
      </c>
      <c r="R1372">
        <f>IF(Table1[[#This Row],[دورة الفوترة]]="شهري",1,0)</f>
        <v>1</v>
      </c>
    </row>
    <row r="1373" spans="1:18" x14ac:dyDescent="0.25">
      <c r="A1373" t="s">
        <v>1393</v>
      </c>
      <c r="B1373" s="1">
        <v>45517</v>
      </c>
      <c r="C1373" t="s">
        <v>19</v>
      </c>
      <c r="D1373">
        <v>189</v>
      </c>
      <c r="E1373" t="s">
        <v>20</v>
      </c>
      <c r="F1373">
        <v>6</v>
      </c>
      <c r="G1373" t="s">
        <v>21</v>
      </c>
      <c r="H1373">
        <v>7</v>
      </c>
      <c r="I1373">
        <v>38</v>
      </c>
      <c r="J1373">
        <v>0</v>
      </c>
      <c r="K1373" t="s">
        <v>17</v>
      </c>
      <c r="L1373" t="s">
        <v>16</v>
      </c>
      <c r="M1373">
        <f>IF(Table1[[#This Row],[ألغى الاشتراك]]="نعم",1,0)</f>
        <v>1</v>
      </c>
      <c r="N1373">
        <f>IF(Table1[[#This Row],[وسيلة الدفع]]="بطاقة",1,0)</f>
        <v>0</v>
      </c>
      <c r="O1373">
        <f>IF(Table1[[#This Row],[وسيلة الدفع]]="محفظة",1,0)</f>
        <v>1</v>
      </c>
      <c r="P1373">
        <f>IF(Table1[[#This Row],[وسيلة الدفع]]="تحويل",1,0)</f>
        <v>0</v>
      </c>
      <c r="Q1373">
        <f>IF(Table1[[#This Row],[حضر التهيئة]]="نعم",1,0)</f>
        <v>0</v>
      </c>
      <c r="R1373">
        <f>IF(Table1[[#This Row],[دورة الفوترة]]="شهري",1,0)</f>
        <v>0</v>
      </c>
    </row>
    <row r="1374" spans="1:18" x14ac:dyDescent="0.25">
      <c r="A1374" t="s">
        <v>1394</v>
      </c>
      <c r="B1374" s="1">
        <v>45325</v>
      </c>
      <c r="C1374" t="s">
        <v>13</v>
      </c>
      <c r="D1374">
        <v>89</v>
      </c>
      <c r="E1374" t="s">
        <v>20</v>
      </c>
      <c r="F1374">
        <v>17</v>
      </c>
      <c r="G1374" t="s">
        <v>15</v>
      </c>
      <c r="H1374">
        <v>7</v>
      </c>
      <c r="I1374">
        <v>27</v>
      </c>
      <c r="J1374">
        <v>10</v>
      </c>
      <c r="K1374" t="s">
        <v>17</v>
      </c>
      <c r="L1374" t="s">
        <v>17</v>
      </c>
      <c r="M1374">
        <f>IF(Table1[[#This Row],[ألغى الاشتراك]]="نعم",1,0)</f>
        <v>0</v>
      </c>
      <c r="N1374">
        <f>IF(Table1[[#This Row],[وسيلة الدفع]]="بطاقة",1,0)</f>
        <v>1</v>
      </c>
      <c r="O1374">
        <f>IF(Table1[[#This Row],[وسيلة الدفع]]="محفظة",1,0)</f>
        <v>0</v>
      </c>
      <c r="P1374">
        <f>IF(Table1[[#This Row],[وسيلة الدفع]]="تحويل",1,0)</f>
        <v>0</v>
      </c>
      <c r="Q1374">
        <f>IF(Table1[[#This Row],[حضر التهيئة]]="نعم",1,0)</f>
        <v>0</v>
      </c>
      <c r="R1374">
        <f>IF(Table1[[#This Row],[دورة الفوترة]]="شهري",1,0)</f>
        <v>0</v>
      </c>
    </row>
    <row r="1375" spans="1:18" x14ac:dyDescent="0.25">
      <c r="A1375" t="s">
        <v>1395</v>
      </c>
      <c r="B1375" s="1">
        <v>45989</v>
      </c>
      <c r="C1375" t="s">
        <v>13</v>
      </c>
      <c r="D1375">
        <v>89</v>
      </c>
      <c r="E1375" t="s">
        <v>20</v>
      </c>
      <c r="F1375">
        <v>25</v>
      </c>
      <c r="G1375" t="s">
        <v>21</v>
      </c>
      <c r="H1375">
        <v>0</v>
      </c>
      <c r="I1375">
        <v>41</v>
      </c>
      <c r="J1375">
        <v>0</v>
      </c>
      <c r="K1375" t="s">
        <v>17</v>
      </c>
      <c r="L1375" t="s">
        <v>17</v>
      </c>
      <c r="M1375">
        <f>IF(Table1[[#This Row],[ألغى الاشتراك]]="نعم",1,0)</f>
        <v>0</v>
      </c>
      <c r="N1375">
        <f>IF(Table1[[#This Row],[وسيلة الدفع]]="بطاقة",1,0)</f>
        <v>0</v>
      </c>
      <c r="O1375">
        <f>IF(Table1[[#This Row],[وسيلة الدفع]]="محفظة",1,0)</f>
        <v>1</v>
      </c>
      <c r="P1375">
        <f>IF(Table1[[#This Row],[وسيلة الدفع]]="تحويل",1,0)</f>
        <v>0</v>
      </c>
      <c r="Q1375">
        <f>IF(Table1[[#This Row],[حضر التهيئة]]="نعم",1,0)</f>
        <v>0</v>
      </c>
      <c r="R1375">
        <f>IF(Table1[[#This Row],[دورة الفوترة]]="شهري",1,0)</f>
        <v>0</v>
      </c>
    </row>
    <row r="1376" spans="1:18" x14ac:dyDescent="0.25">
      <c r="A1376" t="s">
        <v>1396</v>
      </c>
      <c r="B1376" s="1">
        <v>45521</v>
      </c>
      <c r="C1376" t="s">
        <v>28</v>
      </c>
      <c r="D1376">
        <v>39</v>
      </c>
      <c r="E1376" t="s">
        <v>20</v>
      </c>
      <c r="F1376">
        <v>18</v>
      </c>
      <c r="G1376" t="s">
        <v>23</v>
      </c>
      <c r="H1376">
        <v>1</v>
      </c>
      <c r="I1376">
        <v>14</v>
      </c>
      <c r="J1376">
        <v>0</v>
      </c>
      <c r="K1376" t="s">
        <v>16</v>
      </c>
      <c r="L1376" t="s">
        <v>17</v>
      </c>
      <c r="M1376">
        <f>IF(Table1[[#This Row],[ألغى الاشتراك]]="نعم",1,0)</f>
        <v>0</v>
      </c>
      <c r="N1376">
        <f>IF(Table1[[#This Row],[وسيلة الدفع]]="بطاقة",1,0)</f>
        <v>0</v>
      </c>
      <c r="O1376">
        <f>IF(Table1[[#This Row],[وسيلة الدفع]]="محفظة",1,0)</f>
        <v>0</v>
      </c>
      <c r="P1376">
        <f>IF(Table1[[#This Row],[وسيلة الدفع]]="تحويل",1,0)</f>
        <v>1</v>
      </c>
      <c r="Q1376">
        <f>IF(Table1[[#This Row],[حضر التهيئة]]="نعم",1,0)</f>
        <v>1</v>
      </c>
      <c r="R1376">
        <f>IF(Table1[[#This Row],[دورة الفوترة]]="شهري",1,0)</f>
        <v>0</v>
      </c>
    </row>
    <row r="1377" spans="1:18" x14ac:dyDescent="0.25">
      <c r="A1377" t="s">
        <v>1397</v>
      </c>
      <c r="B1377" s="1">
        <v>45787</v>
      </c>
      <c r="C1377" t="s">
        <v>28</v>
      </c>
      <c r="D1377">
        <v>39</v>
      </c>
      <c r="E1377" t="s">
        <v>20</v>
      </c>
      <c r="F1377">
        <v>7</v>
      </c>
      <c r="G1377" t="s">
        <v>21</v>
      </c>
      <c r="H1377">
        <v>0</v>
      </c>
      <c r="I1377">
        <v>41</v>
      </c>
      <c r="J1377">
        <v>0</v>
      </c>
      <c r="K1377" t="s">
        <v>17</v>
      </c>
      <c r="L1377" t="s">
        <v>17</v>
      </c>
      <c r="M1377">
        <f>IF(Table1[[#This Row],[ألغى الاشتراك]]="نعم",1,0)</f>
        <v>0</v>
      </c>
      <c r="N1377">
        <f>IF(Table1[[#This Row],[وسيلة الدفع]]="بطاقة",1,0)</f>
        <v>0</v>
      </c>
      <c r="O1377">
        <f>IF(Table1[[#This Row],[وسيلة الدفع]]="محفظة",1,0)</f>
        <v>1</v>
      </c>
      <c r="P1377">
        <f>IF(Table1[[#This Row],[وسيلة الدفع]]="تحويل",1,0)</f>
        <v>0</v>
      </c>
      <c r="Q1377">
        <f>IF(Table1[[#This Row],[حضر التهيئة]]="نعم",1,0)</f>
        <v>0</v>
      </c>
      <c r="R1377">
        <f>IF(Table1[[#This Row],[دورة الفوترة]]="شهري",1,0)</f>
        <v>0</v>
      </c>
    </row>
    <row r="1378" spans="1:18" x14ac:dyDescent="0.25">
      <c r="A1378" t="s">
        <v>1398</v>
      </c>
      <c r="B1378" s="1">
        <v>45458</v>
      </c>
      <c r="C1378" t="s">
        <v>13</v>
      </c>
      <c r="D1378">
        <v>89</v>
      </c>
      <c r="E1378" t="s">
        <v>14</v>
      </c>
      <c r="F1378">
        <v>16</v>
      </c>
      <c r="G1378" t="s">
        <v>15</v>
      </c>
      <c r="H1378">
        <v>0</v>
      </c>
      <c r="I1378">
        <v>34</v>
      </c>
      <c r="J1378">
        <v>0</v>
      </c>
      <c r="K1378" t="s">
        <v>16</v>
      </c>
      <c r="L1378" t="s">
        <v>17</v>
      </c>
      <c r="M1378">
        <f>IF(Table1[[#This Row],[ألغى الاشتراك]]="نعم",1,0)</f>
        <v>0</v>
      </c>
      <c r="N1378">
        <f>IF(Table1[[#This Row],[وسيلة الدفع]]="بطاقة",1,0)</f>
        <v>1</v>
      </c>
      <c r="O1378">
        <f>IF(Table1[[#This Row],[وسيلة الدفع]]="محفظة",1,0)</f>
        <v>0</v>
      </c>
      <c r="P1378">
        <f>IF(Table1[[#This Row],[وسيلة الدفع]]="تحويل",1,0)</f>
        <v>0</v>
      </c>
      <c r="Q1378">
        <f>IF(Table1[[#This Row],[حضر التهيئة]]="نعم",1,0)</f>
        <v>1</v>
      </c>
      <c r="R1378">
        <f>IF(Table1[[#This Row],[دورة الفوترة]]="شهري",1,0)</f>
        <v>1</v>
      </c>
    </row>
    <row r="1379" spans="1:18" x14ac:dyDescent="0.25">
      <c r="A1379" t="s">
        <v>1399</v>
      </c>
      <c r="B1379" s="1">
        <v>45969</v>
      </c>
      <c r="C1379" t="s">
        <v>28</v>
      </c>
      <c r="D1379">
        <v>39</v>
      </c>
      <c r="E1379" t="s">
        <v>14</v>
      </c>
      <c r="F1379">
        <v>17</v>
      </c>
      <c r="G1379" t="s">
        <v>21</v>
      </c>
      <c r="H1379">
        <v>11</v>
      </c>
      <c r="I1379">
        <v>23</v>
      </c>
      <c r="J1379">
        <v>0</v>
      </c>
      <c r="K1379" t="s">
        <v>16</v>
      </c>
      <c r="L1379" t="s">
        <v>17</v>
      </c>
      <c r="M1379">
        <f>IF(Table1[[#This Row],[ألغى الاشتراك]]="نعم",1,0)</f>
        <v>0</v>
      </c>
      <c r="N1379">
        <f>IF(Table1[[#This Row],[وسيلة الدفع]]="بطاقة",1,0)</f>
        <v>0</v>
      </c>
      <c r="O1379">
        <f>IF(Table1[[#This Row],[وسيلة الدفع]]="محفظة",1,0)</f>
        <v>1</v>
      </c>
      <c r="P1379">
        <f>IF(Table1[[#This Row],[وسيلة الدفع]]="تحويل",1,0)</f>
        <v>0</v>
      </c>
      <c r="Q1379">
        <f>IF(Table1[[#This Row],[حضر التهيئة]]="نعم",1,0)</f>
        <v>1</v>
      </c>
      <c r="R1379">
        <f>IF(Table1[[#This Row],[دورة الفوترة]]="شهري",1,0)</f>
        <v>1</v>
      </c>
    </row>
    <row r="1380" spans="1:18" x14ac:dyDescent="0.25">
      <c r="A1380" t="s">
        <v>1400</v>
      </c>
      <c r="B1380" s="1">
        <v>45529</v>
      </c>
      <c r="C1380" t="s">
        <v>28</v>
      </c>
      <c r="D1380">
        <v>39</v>
      </c>
      <c r="E1380" t="s">
        <v>14</v>
      </c>
      <c r="F1380">
        <v>20</v>
      </c>
      <c r="G1380" t="s">
        <v>23</v>
      </c>
      <c r="H1380">
        <v>0</v>
      </c>
      <c r="I1380">
        <v>28</v>
      </c>
      <c r="J1380">
        <v>0</v>
      </c>
      <c r="K1380" t="s">
        <v>17</v>
      </c>
      <c r="L1380" t="s">
        <v>17</v>
      </c>
      <c r="M1380">
        <f>IF(Table1[[#This Row],[ألغى الاشتراك]]="نعم",1,0)</f>
        <v>0</v>
      </c>
      <c r="N1380">
        <f>IF(Table1[[#This Row],[وسيلة الدفع]]="بطاقة",1,0)</f>
        <v>0</v>
      </c>
      <c r="O1380">
        <f>IF(Table1[[#This Row],[وسيلة الدفع]]="محفظة",1,0)</f>
        <v>0</v>
      </c>
      <c r="P1380">
        <f>IF(Table1[[#This Row],[وسيلة الدفع]]="تحويل",1,0)</f>
        <v>1</v>
      </c>
      <c r="Q1380">
        <f>IF(Table1[[#This Row],[حضر التهيئة]]="نعم",1,0)</f>
        <v>0</v>
      </c>
      <c r="R1380">
        <f>IF(Table1[[#This Row],[دورة الفوترة]]="شهري",1,0)</f>
        <v>1</v>
      </c>
    </row>
    <row r="1381" spans="1:18" x14ac:dyDescent="0.25">
      <c r="A1381" t="s">
        <v>1401</v>
      </c>
      <c r="B1381" s="1">
        <v>45667</v>
      </c>
      <c r="C1381" t="s">
        <v>28</v>
      </c>
      <c r="D1381">
        <v>39</v>
      </c>
      <c r="E1381" t="s">
        <v>14</v>
      </c>
      <c r="F1381">
        <v>1</v>
      </c>
      <c r="G1381" t="s">
        <v>15</v>
      </c>
      <c r="H1381">
        <v>0</v>
      </c>
      <c r="I1381">
        <v>11</v>
      </c>
      <c r="J1381">
        <v>0</v>
      </c>
      <c r="K1381" t="s">
        <v>17</v>
      </c>
      <c r="L1381" t="s">
        <v>17</v>
      </c>
      <c r="M1381">
        <f>IF(Table1[[#This Row],[ألغى الاشتراك]]="نعم",1,0)</f>
        <v>0</v>
      </c>
      <c r="N1381">
        <f>IF(Table1[[#This Row],[وسيلة الدفع]]="بطاقة",1,0)</f>
        <v>1</v>
      </c>
      <c r="O1381">
        <f>IF(Table1[[#This Row],[وسيلة الدفع]]="محفظة",1,0)</f>
        <v>0</v>
      </c>
      <c r="P1381">
        <f>IF(Table1[[#This Row],[وسيلة الدفع]]="تحويل",1,0)</f>
        <v>0</v>
      </c>
      <c r="Q1381">
        <f>IF(Table1[[#This Row],[حضر التهيئة]]="نعم",1,0)</f>
        <v>0</v>
      </c>
      <c r="R1381">
        <f>IF(Table1[[#This Row],[دورة الفوترة]]="شهري",1,0)</f>
        <v>1</v>
      </c>
    </row>
    <row r="1382" spans="1:18" x14ac:dyDescent="0.25">
      <c r="A1382" t="s">
        <v>1402</v>
      </c>
      <c r="B1382" s="1">
        <v>45454</v>
      </c>
      <c r="C1382" t="s">
        <v>13</v>
      </c>
      <c r="D1382">
        <v>89</v>
      </c>
      <c r="E1382" t="s">
        <v>20</v>
      </c>
      <c r="F1382">
        <v>20</v>
      </c>
      <c r="G1382" t="s">
        <v>23</v>
      </c>
      <c r="H1382">
        <v>8</v>
      </c>
      <c r="I1382">
        <v>22</v>
      </c>
      <c r="J1382">
        <v>0</v>
      </c>
      <c r="K1382" t="s">
        <v>16</v>
      </c>
      <c r="L1382" t="s">
        <v>17</v>
      </c>
      <c r="M1382">
        <f>IF(Table1[[#This Row],[ألغى الاشتراك]]="نعم",1,0)</f>
        <v>0</v>
      </c>
      <c r="N1382">
        <f>IF(Table1[[#This Row],[وسيلة الدفع]]="بطاقة",1,0)</f>
        <v>0</v>
      </c>
      <c r="O1382">
        <f>IF(Table1[[#This Row],[وسيلة الدفع]]="محفظة",1,0)</f>
        <v>0</v>
      </c>
      <c r="P1382">
        <f>IF(Table1[[#This Row],[وسيلة الدفع]]="تحويل",1,0)</f>
        <v>1</v>
      </c>
      <c r="Q1382">
        <f>IF(Table1[[#This Row],[حضر التهيئة]]="نعم",1,0)</f>
        <v>1</v>
      </c>
      <c r="R1382">
        <f>IF(Table1[[#This Row],[دورة الفوترة]]="شهري",1,0)</f>
        <v>0</v>
      </c>
    </row>
    <row r="1383" spans="1:18" x14ac:dyDescent="0.25">
      <c r="A1383" t="s">
        <v>1403</v>
      </c>
      <c r="B1383" s="1">
        <v>45989</v>
      </c>
      <c r="C1383" t="s">
        <v>28</v>
      </c>
      <c r="D1383">
        <v>39</v>
      </c>
      <c r="E1383" t="s">
        <v>20</v>
      </c>
      <c r="F1383">
        <v>7</v>
      </c>
      <c r="G1383" t="s">
        <v>15</v>
      </c>
      <c r="H1383">
        <v>2</v>
      </c>
      <c r="I1383">
        <v>55</v>
      </c>
      <c r="J1383">
        <v>0</v>
      </c>
      <c r="K1383" t="s">
        <v>16</v>
      </c>
      <c r="L1383" t="s">
        <v>17</v>
      </c>
      <c r="M1383">
        <f>IF(Table1[[#This Row],[ألغى الاشتراك]]="نعم",1,0)</f>
        <v>0</v>
      </c>
      <c r="N1383">
        <f>IF(Table1[[#This Row],[وسيلة الدفع]]="بطاقة",1,0)</f>
        <v>1</v>
      </c>
      <c r="O1383">
        <f>IF(Table1[[#This Row],[وسيلة الدفع]]="محفظة",1,0)</f>
        <v>0</v>
      </c>
      <c r="P1383">
        <f>IF(Table1[[#This Row],[وسيلة الدفع]]="تحويل",1,0)</f>
        <v>0</v>
      </c>
      <c r="Q1383">
        <f>IF(Table1[[#This Row],[حضر التهيئة]]="نعم",1,0)</f>
        <v>1</v>
      </c>
      <c r="R1383">
        <f>IF(Table1[[#This Row],[دورة الفوترة]]="شهري",1,0)</f>
        <v>0</v>
      </c>
    </row>
    <row r="1384" spans="1:18" x14ac:dyDescent="0.25">
      <c r="A1384" t="s">
        <v>1404</v>
      </c>
      <c r="B1384" s="1">
        <v>45631</v>
      </c>
      <c r="C1384" t="s">
        <v>13</v>
      </c>
      <c r="D1384">
        <v>89</v>
      </c>
      <c r="E1384" t="s">
        <v>20</v>
      </c>
      <c r="F1384">
        <v>24</v>
      </c>
      <c r="G1384" t="s">
        <v>15</v>
      </c>
      <c r="H1384">
        <v>10</v>
      </c>
      <c r="I1384">
        <v>58</v>
      </c>
      <c r="J1384">
        <v>0</v>
      </c>
      <c r="K1384" t="s">
        <v>16</v>
      </c>
      <c r="L1384" t="s">
        <v>17</v>
      </c>
      <c r="M1384">
        <f>IF(Table1[[#This Row],[ألغى الاشتراك]]="نعم",1,0)</f>
        <v>0</v>
      </c>
      <c r="N1384">
        <f>IF(Table1[[#This Row],[وسيلة الدفع]]="بطاقة",1,0)</f>
        <v>1</v>
      </c>
      <c r="O1384">
        <f>IF(Table1[[#This Row],[وسيلة الدفع]]="محفظة",1,0)</f>
        <v>0</v>
      </c>
      <c r="P1384">
        <f>IF(Table1[[#This Row],[وسيلة الدفع]]="تحويل",1,0)</f>
        <v>0</v>
      </c>
      <c r="Q1384">
        <f>IF(Table1[[#This Row],[حضر التهيئة]]="نعم",1,0)</f>
        <v>1</v>
      </c>
      <c r="R1384">
        <f>IF(Table1[[#This Row],[دورة الفوترة]]="شهري",1,0)</f>
        <v>0</v>
      </c>
    </row>
    <row r="1385" spans="1:18" x14ac:dyDescent="0.25">
      <c r="A1385" t="s">
        <v>1405</v>
      </c>
      <c r="B1385" s="1">
        <v>45791</v>
      </c>
      <c r="C1385" t="s">
        <v>13</v>
      </c>
      <c r="D1385">
        <v>89</v>
      </c>
      <c r="E1385" t="s">
        <v>14</v>
      </c>
      <c r="F1385">
        <v>11</v>
      </c>
      <c r="G1385" t="s">
        <v>23</v>
      </c>
      <c r="H1385">
        <v>0</v>
      </c>
      <c r="I1385">
        <v>45</v>
      </c>
      <c r="J1385">
        <v>0</v>
      </c>
      <c r="K1385" t="s">
        <v>16</v>
      </c>
      <c r="L1385" t="s">
        <v>17</v>
      </c>
      <c r="M1385">
        <f>IF(Table1[[#This Row],[ألغى الاشتراك]]="نعم",1,0)</f>
        <v>0</v>
      </c>
      <c r="N1385">
        <f>IF(Table1[[#This Row],[وسيلة الدفع]]="بطاقة",1,0)</f>
        <v>0</v>
      </c>
      <c r="O1385">
        <f>IF(Table1[[#This Row],[وسيلة الدفع]]="محفظة",1,0)</f>
        <v>0</v>
      </c>
      <c r="P1385">
        <f>IF(Table1[[#This Row],[وسيلة الدفع]]="تحويل",1,0)</f>
        <v>1</v>
      </c>
      <c r="Q1385">
        <f>IF(Table1[[#This Row],[حضر التهيئة]]="نعم",1,0)</f>
        <v>1</v>
      </c>
      <c r="R1385">
        <f>IF(Table1[[#This Row],[دورة الفوترة]]="شهري",1,0)</f>
        <v>1</v>
      </c>
    </row>
    <row r="1386" spans="1:18" x14ac:dyDescent="0.25">
      <c r="A1386" t="s">
        <v>1406</v>
      </c>
      <c r="B1386" s="1">
        <v>45349</v>
      </c>
      <c r="C1386" t="s">
        <v>13</v>
      </c>
      <c r="D1386">
        <v>89</v>
      </c>
      <c r="E1386" t="s">
        <v>14</v>
      </c>
      <c r="F1386">
        <v>14</v>
      </c>
      <c r="G1386" t="s">
        <v>23</v>
      </c>
      <c r="H1386">
        <v>11</v>
      </c>
      <c r="I1386">
        <v>32</v>
      </c>
      <c r="J1386">
        <v>0</v>
      </c>
      <c r="K1386" t="s">
        <v>16</v>
      </c>
      <c r="L1386" t="s">
        <v>17</v>
      </c>
      <c r="M1386">
        <f>IF(Table1[[#This Row],[ألغى الاشتراك]]="نعم",1,0)</f>
        <v>0</v>
      </c>
      <c r="N1386">
        <f>IF(Table1[[#This Row],[وسيلة الدفع]]="بطاقة",1,0)</f>
        <v>0</v>
      </c>
      <c r="O1386">
        <f>IF(Table1[[#This Row],[وسيلة الدفع]]="محفظة",1,0)</f>
        <v>0</v>
      </c>
      <c r="P1386">
        <f>IF(Table1[[#This Row],[وسيلة الدفع]]="تحويل",1,0)</f>
        <v>1</v>
      </c>
      <c r="Q1386">
        <f>IF(Table1[[#This Row],[حضر التهيئة]]="نعم",1,0)</f>
        <v>1</v>
      </c>
      <c r="R1386">
        <f>IF(Table1[[#This Row],[دورة الفوترة]]="شهري",1,0)</f>
        <v>1</v>
      </c>
    </row>
    <row r="1387" spans="1:18" x14ac:dyDescent="0.25">
      <c r="A1387" t="s">
        <v>1407</v>
      </c>
      <c r="B1387" s="1">
        <v>45850</v>
      </c>
      <c r="C1387" t="s">
        <v>13</v>
      </c>
      <c r="D1387">
        <v>89</v>
      </c>
      <c r="E1387" t="s">
        <v>14</v>
      </c>
      <c r="F1387">
        <v>1</v>
      </c>
      <c r="G1387" t="s">
        <v>21</v>
      </c>
      <c r="H1387">
        <v>4</v>
      </c>
      <c r="I1387">
        <v>7</v>
      </c>
      <c r="J1387">
        <v>0</v>
      </c>
      <c r="K1387" t="s">
        <v>17</v>
      </c>
      <c r="L1387" t="s">
        <v>16</v>
      </c>
      <c r="M1387">
        <f>IF(Table1[[#This Row],[ألغى الاشتراك]]="نعم",1,0)</f>
        <v>1</v>
      </c>
      <c r="N1387">
        <f>IF(Table1[[#This Row],[وسيلة الدفع]]="بطاقة",1,0)</f>
        <v>0</v>
      </c>
      <c r="O1387">
        <f>IF(Table1[[#This Row],[وسيلة الدفع]]="محفظة",1,0)</f>
        <v>1</v>
      </c>
      <c r="P1387">
        <f>IF(Table1[[#This Row],[وسيلة الدفع]]="تحويل",1,0)</f>
        <v>0</v>
      </c>
      <c r="Q1387">
        <f>IF(Table1[[#This Row],[حضر التهيئة]]="نعم",1,0)</f>
        <v>0</v>
      </c>
      <c r="R1387">
        <f>IF(Table1[[#This Row],[دورة الفوترة]]="شهري",1,0)</f>
        <v>1</v>
      </c>
    </row>
    <row r="1388" spans="1:18" x14ac:dyDescent="0.25">
      <c r="A1388" t="s">
        <v>1408</v>
      </c>
      <c r="B1388" s="1">
        <v>45647</v>
      </c>
      <c r="C1388" t="s">
        <v>19</v>
      </c>
      <c r="D1388">
        <v>189</v>
      </c>
      <c r="E1388" t="s">
        <v>20</v>
      </c>
      <c r="F1388">
        <v>16</v>
      </c>
      <c r="G1388" t="s">
        <v>15</v>
      </c>
      <c r="H1388">
        <v>2</v>
      </c>
      <c r="I1388">
        <v>42</v>
      </c>
      <c r="J1388">
        <v>0</v>
      </c>
      <c r="K1388" t="s">
        <v>16</v>
      </c>
      <c r="L1388" t="s">
        <v>17</v>
      </c>
      <c r="M1388">
        <f>IF(Table1[[#This Row],[ألغى الاشتراك]]="نعم",1,0)</f>
        <v>0</v>
      </c>
      <c r="N1388">
        <f>IF(Table1[[#This Row],[وسيلة الدفع]]="بطاقة",1,0)</f>
        <v>1</v>
      </c>
      <c r="O1388">
        <f>IF(Table1[[#This Row],[وسيلة الدفع]]="محفظة",1,0)</f>
        <v>0</v>
      </c>
      <c r="P1388">
        <f>IF(Table1[[#This Row],[وسيلة الدفع]]="تحويل",1,0)</f>
        <v>0</v>
      </c>
      <c r="Q1388">
        <f>IF(Table1[[#This Row],[حضر التهيئة]]="نعم",1,0)</f>
        <v>1</v>
      </c>
      <c r="R1388">
        <f>IF(Table1[[#This Row],[دورة الفوترة]]="شهري",1,0)</f>
        <v>0</v>
      </c>
    </row>
    <row r="1389" spans="1:18" x14ac:dyDescent="0.25">
      <c r="A1389" t="s">
        <v>1409</v>
      </c>
      <c r="B1389" s="1">
        <v>45799</v>
      </c>
      <c r="C1389" t="s">
        <v>13</v>
      </c>
      <c r="D1389">
        <v>89</v>
      </c>
      <c r="E1389" t="s">
        <v>20</v>
      </c>
      <c r="F1389">
        <v>1</v>
      </c>
      <c r="G1389" t="s">
        <v>21</v>
      </c>
      <c r="H1389">
        <v>1</v>
      </c>
      <c r="I1389">
        <v>33</v>
      </c>
      <c r="J1389">
        <v>0</v>
      </c>
      <c r="K1389" t="s">
        <v>17</v>
      </c>
      <c r="L1389" t="s">
        <v>17</v>
      </c>
      <c r="M1389">
        <f>IF(Table1[[#This Row],[ألغى الاشتراك]]="نعم",1,0)</f>
        <v>0</v>
      </c>
      <c r="N1389">
        <f>IF(Table1[[#This Row],[وسيلة الدفع]]="بطاقة",1,0)</f>
        <v>0</v>
      </c>
      <c r="O1389">
        <f>IF(Table1[[#This Row],[وسيلة الدفع]]="محفظة",1,0)</f>
        <v>1</v>
      </c>
      <c r="P1389">
        <f>IF(Table1[[#This Row],[وسيلة الدفع]]="تحويل",1,0)</f>
        <v>0</v>
      </c>
      <c r="Q1389">
        <f>IF(Table1[[#This Row],[حضر التهيئة]]="نعم",1,0)</f>
        <v>0</v>
      </c>
      <c r="R1389">
        <f>IF(Table1[[#This Row],[دورة الفوترة]]="شهري",1,0)</f>
        <v>0</v>
      </c>
    </row>
    <row r="1390" spans="1:18" x14ac:dyDescent="0.25">
      <c r="A1390" t="s">
        <v>1410</v>
      </c>
      <c r="B1390" s="1">
        <v>45458</v>
      </c>
      <c r="C1390" t="s">
        <v>28</v>
      </c>
      <c r="D1390">
        <v>39</v>
      </c>
      <c r="E1390" t="s">
        <v>20</v>
      </c>
      <c r="F1390">
        <v>8</v>
      </c>
      <c r="G1390" t="s">
        <v>21</v>
      </c>
      <c r="H1390">
        <v>10</v>
      </c>
      <c r="I1390">
        <v>30</v>
      </c>
      <c r="J1390">
        <v>0</v>
      </c>
      <c r="K1390" t="s">
        <v>16</v>
      </c>
      <c r="L1390" t="s">
        <v>17</v>
      </c>
      <c r="M1390">
        <f>IF(Table1[[#This Row],[ألغى الاشتراك]]="نعم",1,0)</f>
        <v>0</v>
      </c>
      <c r="N1390">
        <f>IF(Table1[[#This Row],[وسيلة الدفع]]="بطاقة",1,0)</f>
        <v>0</v>
      </c>
      <c r="O1390">
        <f>IF(Table1[[#This Row],[وسيلة الدفع]]="محفظة",1,0)</f>
        <v>1</v>
      </c>
      <c r="P1390">
        <f>IF(Table1[[#This Row],[وسيلة الدفع]]="تحويل",1,0)</f>
        <v>0</v>
      </c>
      <c r="Q1390">
        <f>IF(Table1[[#This Row],[حضر التهيئة]]="نعم",1,0)</f>
        <v>1</v>
      </c>
      <c r="R1390">
        <f>IF(Table1[[#This Row],[دورة الفوترة]]="شهري",1,0)</f>
        <v>0</v>
      </c>
    </row>
    <row r="1391" spans="1:18" x14ac:dyDescent="0.25">
      <c r="A1391" t="s">
        <v>1411</v>
      </c>
      <c r="B1391" s="1">
        <v>45736</v>
      </c>
      <c r="C1391" t="s">
        <v>13</v>
      </c>
      <c r="D1391">
        <v>89</v>
      </c>
      <c r="E1391" t="s">
        <v>14</v>
      </c>
      <c r="F1391">
        <v>3</v>
      </c>
      <c r="G1391" t="s">
        <v>15</v>
      </c>
      <c r="H1391">
        <v>4</v>
      </c>
      <c r="I1391">
        <v>39</v>
      </c>
      <c r="J1391">
        <v>0</v>
      </c>
      <c r="K1391" t="s">
        <v>17</v>
      </c>
      <c r="L1391" t="s">
        <v>17</v>
      </c>
      <c r="M1391">
        <f>IF(Table1[[#This Row],[ألغى الاشتراك]]="نعم",1,0)</f>
        <v>0</v>
      </c>
      <c r="N1391">
        <f>IF(Table1[[#This Row],[وسيلة الدفع]]="بطاقة",1,0)</f>
        <v>1</v>
      </c>
      <c r="O1391">
        <f>IF(Table1[[#This Row],[وسيلة الدفع]]="محفظة",1,0)</f>
        <v>0</v>
      </c>
      <c r="P1391">
        <f>IF(Table1[[#This Row],[وسيلة الدفع]]="تحويل",1,0)</f>
        <v>0</v>
      </c>
      <c r="Q1391">
        <f>IF(Table1[[#This Row],[حضر التهيئة]]="نعم",1,0)</f>
        <v>0</v>
      </c>
      <c r="R1391">
        <f>IF(Table1[[#This Row],[دورة الفوترة]]="شهري",1,0)</f>
        <v>1</v>
      </c>
    </row>
    <row r="1392" spans="1:18" x14ac:dyDescent="0.25">
      <c r="A1392" t="s">
        <v>1412</v>
      </c>
      <c r="B1392" s="1">
        <v>45509</v>
      </c>
      <c r="C1392" t="s">
        <v>13</v>
      </c>
      <c r="D1392">
        <v>89</v>
      </c>
      <c r="E1392" t="s">
        <v>14</v>
      </c>
      <c r="F1392">
        <v>14</v>
      </c>
      <c r="G1392" t="s">
        <v>15</v>
      </c>
      <c r="H1392">
        <v>0</v>
      </c>
      <c r="I1392">
        <v>50</v>
      </c>
      <c r="J1392">
        <v>0</v>
      </c>
      <c r="K1392" t="s">
        <v>17</v>
      </c>
      <c r="L1392" t="s">
        <v>17</v>
      </c>
      <c r="M1392">
        <f>IF(Table1[[#This Row],[ألغى الاشتراك]]="نعم",1,0)</f>
        <v>0</v>
      </c>
      <c r="N1392">
        <f>IF(Table1[[#This Row],[وسيلة الدفع]]="بطاقة",1,0)</f>
        <v>1</v>
      </c>
      <c r="O1392">
        <f>IF(Table1[[#This Row],[وسيلة الدفع]]="محفظة",1,0)</f>
        <v>0</v>
      </c>
      <c r="P1392">
        <f>IF(Table1[[#This Row],[وسيلة الدفع]]="تحويل",1,0)</f>
        <v>0</v>
      </c>
      <c r="Q1392">
        <f>IF(Table1[[#This Row],[حضر التهيئة]]="نعم",1,0)</f>
        <v>0</v>
      </c>
      <c r="R1392">
        <f>IF(Table1[[#This Row],[دورة الفوترة]]="شهري",1,0)</f>
        <v>1</v>
      </c>
    </row>
    <row r="1393" spans="1:18" x14ac:dyDescent="0.25">
      <c r="A1393" t="s">
        <v>1413</v>
      </c>
      <c r="B1393" s="1">
        <v>45458</v>
      </c>
      <c r="C1393" t="s">
        <v>28</v>
      </c>
      <c r="D1393">
        <v>39</v>
      </c>
      <c r="E1393" t="s">
        <v>14</v>
      </c>
      <c r="F1393">
        <v>29</v>
      </c>
      <c r="G1393" t="s">
        <v>21</v>
      </c>
      <c r="H1393">
        <v>4</v>
      </c>
      <c r="I1393">
        <v>41</v>
      </c>
      <c r="J1393">
        <v>10</v>
      </c>
      <c r="K1393" t="s">
        <v>16</v>
      </c>
      <c r="L1393" t="s">
        <v>17</v>
      </c>
      <c r="M1393">
        <f>IF(Table1[[#This Row],[ألغى الاشتراك]]="نعم",1,0)</f>
        <v>0</v>
      </c>
      <c r="N1393">
        <f>IF(Table1[[#This Row],[وسيلة الدفع]]="بطاقة",1,0)</f>
        <v>0</v>
      </c>
      <c r="O1393">
        <f>IF(Table1[[#This Row],[وسيلة الدفع]]="محفظة",1,0)</f>
        <v>1</v>
      </c>
      <c r="P1393">
        <f>IF(Table1[[#This Row],[وسيلة الدفع]]="تحويل",1,0)</f>
        <v>0</v>
      </c>
      <c r="Q1393">
        <f>IF(Table1[[#This Row],[حضر التهيئة]]="نعم",1,0)</f>
        <v>1</v>
      </c>
      <c r="R1393">
        <f>IF(Table1[[#This Row],[دورة الفوترة]]="شهري",1,0)</f>
        <v>1</v>
      </c>
    </row>
    <row r="1394" spans="1:18" x14ac:dyDescent="0.25">
      <c r="A1394" t="s">
        <v>1414</v>
      </c>
      <c r="B1394" s="1">
        <v>45846</v>
      </c>
      <c r="C1394" t="s">
        <v>28</v>
      </c>
      <c r="D1394">
        <v>39</v>
      </c>
      <c r="E1394" t="s">
        <v>20</v>
      </c>
      <c r="F1394">
        <v>15</v>
      </c>
      <c r="G1394" t="s">
        <v>23</v>
      </c>
      <c r="H1394">
        <v>7</v>
      </c>
      <c r="I1394">
        <v>37</v>
      </c>
      <c r="J1394">
        <v>0</v>
      </c>
      <c r="K1394" t="s">
        <v>17</v>
      </c>
      <c r="L1394" t="s">
        <v>17</v>
      </c>
      <c r="M1394">
        <f>IF(Table1[[#This Row],[ألغى الاشتراك]]="نعم",1,0)</f>
        <v>0</v>
      </c>
      <c r="N1394">
        <f>IF(Table1[[#This Row],[وسيلة الدفع]]="بطاقة",1,0)</f>
        <v>0</v>
      </c>
      <c r="O1394">
        <f>IF(Table1[[#This Row],[وسيلة الدفع]]="محفظة",1,0)</f>
        <v>0</v>
      </c>
      <c r="P1394">
        <f>IF(Table1[[#This Row],[وسيلة الدفع]]="تحويل",1,0)</f>
        <v>1</v>
      </c>
      <c r="Q1394">
        <f>IF(Table1[[#This Row],[حضر التهيئة]]="نعم",1,0)</f>
        <v>0</v>
      </c>
      <c r="R1394">
        <f>IF(Table1[[#This Row],[دورة الفوترة]]="شهري",1,0)</f>
        <v>0</v>
      </c>
    </row>
    <row r="1395" spans="1:18" x14ac:dyDescent="0.25">
      <c r="A1395" t="s">
        <v>1415</v>
      </c>
      <c r="B1395" s="1">
        <v>45679</v>
      </c>
      <c r="C1395" t="s">
        <v>13</v>
      </c>
      <c r="D1395">
        <v>89</v>
      </c>
      <c r="E1395" t="s">
        <v>14</v>
      </c>
      <c r="F1395">
        <v>28</v>
      </c>
      <c r="G1395" t="s">
        <v>15</v>
      </c>
      <c r="H1395">
        <v>2</v>
      </c>
      <c r="I1395">
        <v>44</v>
      </c>
      <c r="J1395">
        <v>5</v>
      </c>
      <c r="K1395" t="s">
        <v>16</v>
      </c>
      <c r="L1395" t="s">
        <v>17</v>
      </c>
      <c r="M1395">
        <f>IF(Table1[[#This Row],[ألغى الاشتراك]]="نعم",1,0)</f>
        <v>0</v>
      </c>
      <c r="N1395">
        <f>IF(Table1[[#This Row],[وسيلة الدفع]]="بطاقة",1,0)</f>
        <v>1</v>
      </c>
      <c r="O1395">
        <f>IF(Table1[[#This Row],[وسيلة الدفع]]="محفظة",1,0)</f>
        <v>0</v>
      </c>
      <c r="P1395">
        <f>IF(Table1[[#This Row],[وسيلة الدفع]]="تحويل",1,0)</f>
        <v>0</v>
      </c>
      <c r="Q1395">
        <f>IF(Table1[[#This Row],[حضر التهيئة]]="نعم",1,0)</f>
        <v>1</v>
      </c>
      <c r="R1395">
        <f>IF(Table1[[#This Row],[دورة الفوترة]]="شهري",1,0)</f>
        <v>1</v>
      </c>
    </row>
    <row r="1396" spans="1:18" x14ac:dyDescent="0.25">
      <c r="A1396" t="s">
        <v>1416</v>
      </c>
      <c r="B1396" s="1">
        <v>45349</v>
      </c>
      <c r="C1396" t="s">
        <v>13</v>
      </c>
      <c r="D1396">
        <v>89</v>
      </c>
      <c r="E1396" t="s">
        <v>14</v>
      </c>
      <c r="F1396">
        <v>26</v>
      </c>
      <c r="G1396" t="s">
        <v>21</v>
      </c>
      <c r="H1396">
        <v>0</v>
      </c>
      <c r="I1396">
        <v>4</v>
      </c>
      <c r="J1396">
        <v>0</v>
      </c>
      <c r="K1396" t="s">
        <v>16</v>
      </c>
      <c r="L1396" t="s">
        <v>17</v>
      </c>
      <c r="M1396">
        <f>IF(Table1[[#This Row],[ألغى الاشتراك]]="نعم",1,0)</f>
        <v>0</v>
      </c>
      <c r="N1396">
        <f>IF(Table1[[#This Row],[وسيلة الدفع]]="بطاقة",1,0)</f>
        <v>0</v>
      </c>
      <c r="O1396">
        <f>IF(Table1[[#This Row],[وسيلة الدفع]]="محفظة",1,0)</f>
        <v>1</v>
      </c>
      <c r="P1396">
        <f>IF(Table1[[#This Row],[وسيلة الدفع]]="تحويل",1,0)</f>
        <v>0</v>
      </c>
      <c r="Q1396">
        <f>IF(Table1[[#This Row],[حضر التهيئة]]="نعم",1,0)</f>
        <v>1</v>
      </c>
      <c r="R1396">
        <f>IF(Table1[[#This Row],[دورة الفوترة]]="شهري",1,0)</f>
        <v>1</v>
      </c>
    </row>
    <row r="1397" spans="1:18" x14ac:dyDescent="0.25">
      <c r="A1397" t="s">
        <v>1417</v>
      </c>
      <c r="B1397" s="1">
        <v>45973</v>
      </c>
      <c r="C1397" t="s">
        <v>28</v>
      </c>
      <c r="D1397">
        <v>39</v>
      </c>
      <c r="E1397" t="s">
        <v>20</v>
      </c>
      <c r="F1397">
        <v>1</v>
      </c>
      <c r="G1397" t="s">
        <v>15</v>
      </c>
      <c r="H1397">
        <v>2</v>
      </c>
      <c r="I1397">
        <v>17</v>
      </c>
      <c r="J1397">
        <v>0</v>
      </c>
      <c r="K1397" t="s">
        <v>16</v>
      </c>
      <c r="L1397" t="s">
        <v>17</v>
      </c>
      <c r="M1397">
        <f>IF(Table1[[#This Row],[ألغى الاشتراك]]="نعم",1,0)</f>
        <v>0</v>
      </c>
      <c r="N1397">
        <f>IF(Table1[[#This Row],[وسيلة الدفع]]="بطاقة",1,0)</f>
        <v>1</v>
      </c>
      <c r="O1397">
        <f>IF(Table1[[#This Row],[وسيلة الدفع]]="محفظة",1,0)</f>
        <v>0</v>
      </c>
      <c r="P1397">
        <f>IF(Table1[[#This Row],[وسيلة الدفع]]="تحويل",1,0)</f>
        <v>0</v>
      </c>
      <c r="Q1397">
        <f>IF(Table1[[#This Row],[حضر التهيئة]]="نعم",1,0)</f>
        <v>1</v>
      </c>
      <c r="R1397">
        <f>IF(Table1[[#This Row],[دورة الفوترة]]="شهري",1,0)</f>
        <v>0</v>
      </c>
    </row>
    <row r="1398" spans="1:18" x14ac:dyDescent="0.25">
      <c r="A1398" t="s">
        <v>1418</v>
      </c>
      <c r="B1398" s="1">
        <v>45667</v>
      </c>
      <c r="C1398" t="s">
        <v>28</v>
      </c>
      <c r="D1398">
        <v>39</v>
      </c>
      <c r="E1398" t="s">
        <v>14</v>
      </c>
      <c r="F1398">
        <v>16</v>
      </c>
      <c r="G1398" t="s">
        <v>21</v>
      </c>
      <c r="H1398">
        <v>2</v>
      </c>
      <c r="I1398">
        <v>20</v>
      </c>
      <c r="J1398">
        <v>5</v>
      </c>
      <c r="K1398" t="s">
        <v>16</v>
      </c>
      <c r="L1398" t="s">
        <v>17</v>
      </c>
      <c r="M1398">
        <f>IF(Table1[[#This Row],[ألغى الاشتراك]]="نعم",1,0)</f>
        <v>0</v>
      </c>
      <c r="N1398">
        <f>IF(Table1[[#This Row],[وسيلة الدفع]]="بطاقة",1,0)</f>
        <v>0</v>
      </c>
      <c r="O1398">
        <f>IF(Table1[[#This Row],[وسيلة الدفع]]="محفظة",1,0)</f>
        <v>1</v>
      </c>
      <c r="P1398">
        <f>IF(Table1[[#This Row],[وسيلة الدفع]]="تحويل",1,0)</f>
        <v>0</v>
      </c>
      <c r="Q1398">
        <f>IF(Table1[[#This Row],[حضر التهيئة]]="نعم",1,0)</f>
        <v>1</v>
      </c>
      <c r="R1398">
        <f>IF(Table1[[#This Row],[دورة الفوترة]]="شهري",1,0)</f>
        <v>1</v>
      </c>
    </row>
    <row r="1399" spans="1:18" x14ac:dyDescent="0.25">
      <c r="A1399" t="s">
        <v>1419</v>
      </c>
      <c r="B1399" s="1">
        <v>45572</v>
      </c>
      <c r="C1399" t="s">
        <v>19</v>
      </c>
      <c r="D1399">
        <v>189</v>
      </c>
      <c r="E1399" t="s">
        <v>14</v>
      </c>
      <c r="F1399">
        <v>16</v>
      </c>
      <c r="G1399" t="s">
        <v>21</v>
      </c>
      <c r="H1399">
        <v>1</v>
      </c>
      <c r="I1399">
        <v>10</v>
      </c>
      <c r="J1399">
        <v>0</v>
      </c>
      <c r="K1399" t="s">
        <v>16</v>
      </c>
      <c r="L1399" t="s">
        <v>17</v>
      </c>
      <c r="M1399">
        <f>IF(Table1[[#This Row],[ألغى الاشتراك]]="نعم",1,0)</f>
        <v>0</v>
      </c>
      <c r="N1399">
        <f>IF(Table1[[#This Row],[وسيلة الدفع]]="بطاقة",1,0)</f>
        <v>0</v>
      </c>
      <c r="O1399">
        <f>IF(Table1[[#This Row],[وسيلة الدفع]]="محفظة",1,0)</f>
        <v>1</v>
      </c>
      <c r="P1399">
        <f>IF(Table1[[#This Row],[وسيلة الدفع]]="تحويل",1,0)</f>
        <v>0</v>
      </c>
      <c r="Q1399">
        <f>IF(Table1[[#This Row],[حضر التهيئة]]="نعم",1,0)</f>
        <v>1</v>
      </c>
      <c r="R1399">
        <f>IF(Table1[[#This Row],[دورة الفوترة]]="شهري",1,0)</f>
        <v>1</v>
      </c>
    </row>
    <row r="1400" spans="1:18" x14ac:dyDescent="0.25">
      <c r="A1400" t="s">
        <v>1420</v>
      </c>
      <c r="B1400" s="1">
        <v>45728</v>
      </c>
      <c r="C1400" t="s">
        <v>19</v>
      </c>
      <c r="D1400">
        <v>189</v>
      </c>
      <c r="E1400" t="s">
        <v>14</v>
      </c>
      <c r="F1400">
        <v>17</v>
      </c>
      <c r="G1400" t="s">
        <v>21</v>
      </c>
      <c r="H1400">
        <v>11</v>
      </c>
      <c r="I1400">
        <v>3</v>
      </c>
      <c r="J1400">
        <v>0</v>
      </c>
      <c r="K1400" t="s">
        <v>16</v>
      </c>
      <c r="L1400" t="s">
        <v>16</v>
      </c>
      <c r="M1400">
        <f>IF(Table1[[#This Row],[ألغى الاشتراك]]="نعم",1,0)</f>
        <v>1</v>
      </c>
      <c r="N1400">
        <f>IF(Table1[[#This Row],[وسيلة الدفع]]="بطاقة",1,0)</f>
        <v>0</v>
      </c>
      <c r="O1400">
        <f>IF(Table1[[#This Row],[وسيلة الدفع]]="محفظة",1,0)</f>
        <v>1</v>
      </c>
      <c r="P1400">
        <f>IF(Table1[[#This Row],[وسيلة الدفع]]="تحويل",1,0)</f>
        <v>0</v>
      </c>
      <c r="Q1400">
        <f>IF(Table1[[#This Row],[حضر التهيئة]]="نعم",1,0)</f>
        <v>1</v>
      </c>
      <c r="R1400">
        <f>IF(Table1[[#This Row],[دورة الفوترة]]="شهري",1,0)</f>
        <v>1</v>
      </c>
    </row>
    <row r="1401" spans="1:18" x14ac:dyDescent="0.25">
      <c r="A1401" t="s">
        <v>1421</v>
      </c>
      <c r="B1401" s="1">
        <v>45639</v>
      </c>
      <c r="C1401" t="s">
        <v>28</v>
      </c>
      <c r="D1401">
        <v>39</v>
      </c>
      <c r="E1401" t="s">
        <v>20</v>
      </c>
      <c r="F1401">
        <v>30</v>
      </c>
      <c r="G1401" t="s">
        <v>21</v>
      </c>
      <c r="H1401">
        <v>2</v>
      </c>
      <c r="I1401">
        <v>46</v>
      </c>
      <c r="J1401">
        <v>0</v>
      </c>
      <c r="K1401" t="s">
        <v>17</v>
      </c>
      <c r="L1401" t="s">
        <v>17</v>
      </c>
      <c r="M1401">
        <f>IF(Table1[[#This Row],[ألغى الاشتراك]]="نعم",1,0)</f>
        <v>0</v>
      </c>
      <c r="N1401">
        <f>IF(Table1[[#This Row],[وسيلة الدفع]]="بطاقة",1,0)</f>
        <v>0</v>
      </c>
      <c r="O1401">
        <f>IF(Table1[[#This Row],[وسيلة الدفع]]="محفظة",1,0)</f>
        <v>1</v>
      </c>
      <c r="P1401">
        <f>IF(Table1[[#This Row],[وسيلة الدفع]]="تحويل",1,0)</f>
        <v>0</v>
      </c>
      <c r="Q1401">
        <f>IF(Table1[[#This Row],[حضر التهيئة]]="نعم",1,0)</f>
        <v>0</v>
      </c>
      <c r="R1401">
        <f>IF(Table1[[#This Row],[دورة الفوترة]]="شهري",1,0)</f>
        <v>0</v>
      </c>
    </row>
    <row r="1402" spans="1:18" x14ac:dyDescent="0.25">
      <c r="A1402" t="s">
        <v>1422</v>
      </c>
      <c r="B1402" s="1">
        <v>45675</v>
      </c>
      <c r="C1402" t="s">
        <v>19</v>
      </c>
      <c r="D1402">
        <v>189</v>
      </c>
      <c r="E1402" t="s">
        <v>14</v>
      </c>
      <c r="F1402">
        <v>29</v>
      </c>
      <c r="G1402" t="s">
        <v>23</v>
      </c>
      <c r="H1402">
        <v>0</v>
      </c>
      <c r="I1402">
        <v>37</v>
      </c>
      <c r="J1402">
        <v>0</v>
      </c>
      <c r="K1402" t="s">
        <v>17</v>
      </c>
      <c r="L1402" t="s">
        <v>17</v>
      </c>
      <c r="M1402">
        <f>IF(Table1[[#This Row],[ألغى الاشتراك]]="نعم",1,0)</f>
        <v>0</v>
      </c>
      <c r="N1402">
        <f>IF(Table1[[#This Row],[وسيلة الدفع]]="بطاقة",1,0)</f>
        <v>0</v>
      </c>
      <c r="O1402">
        <f>IF(Table1[[#This Row],[وسيلة الدفع]]="محفظة",1,0)</f>
        <v>0</v>
      </c>
      <c r="P1402">
        <f>IF(Table1[[#This Row],[وسيلة الدفع]]="تحويل",1,0)</f>
        <v>1</v>
      </c>
      <c r="Q1402">
        <f>IF(Table1[[#This Row],[حضر التهيئة]]="نعم",1,0)</f>
        <v>0</v>
      </c>
      <c r="R1402">
        <f>IF(Table1[[#This Row],[دورة الفوترة]]="شهري",1,0)</f>
        <v>1</v>
      </c>
    </row>
    <row r="1403" spans="1:18" x14ac:dyDescent="0.25">
      <c r="A1403" t="s">
        <v>1423</v>
      </c>
      <c r="B1403" s="1">
        <v>45862</v>
      </c>
      <c r="C1403" t="s">
        <v>28</v>
      </c>
      <c r="D1403">
        <v>39</v>
      </c>
      <c r="E1403" t="s">
        <v>14</v>
      </c>
      <c r="F1403">
        <v>16</v>
      </c>
      <c r="G1403" t="s">
        <v>21</v>
      </c>
      <c r="H1403">
        <v>0</v>
      </c>
      <c r="I1403">
        <v>20</v>
      </c>
      <c r="J1403">
        <v>15</v>
      </c>
      <c r="K1403" t="s">
        <v>17</v>
      </c>
      <c r="L1403" t="s">
        <v>17</v>
      </c>
      <c r="M1403">
        <f>IF(Table1[[#This Row],[ألغى الاشتراك]]="نعم",1,0)</f>
        <v>0</v>
      </c>
      <c r="N1403">
        <f>IF(Table1[[#This Row],[وسيلة الدفع]]="بطاقة",1,0)</f>
        <v>0</v>
      </c>
      <c r="O1403">
        <f>IF(Table1[[#This Row],[وسيلة الدفع]]="محفظة",1,0)</f>
        <v>1</v>
      </c>
      <c r="P1403">
        <f>IF(Table1[[#This Row],[وسيلة الدفع]]="تحويل",1,0)</f>
        <v>0</v>
      </c>
      <c r="Q1403">
        <f>IF(Table1[[#This Row],[حضر التهيئة]]="نعم",1,0)</f>
        <v>0</v>
      </c>
      <c r="R1403">
        <f>IF(Table1[[#This Row],[دورة الفوترة]]="شهري",1,0)</f>
        <v>1</v>
      </c>
    </row>
    <row r="1404" spans="1:18" x14ac:dyDescent="0.25">
      <c r="A1404" t="s">
        <v>1424</v>
      </c>
      <c r="B1404" s="1">
        <v>45387</v>
      </c>
      <c r="C1404" t="s">
        <v>28</v>
      </c>
      <c r="D1404">
        <v>39</v>
      </c>
      <c r="E1404" t="s">
        <v>14</v>
      </c>
      <c r="F1404">
        <v>16</v>
      </c>
      <c r="G1404" t="s">
        <v>21</v>
      </c>
      <c r="H1404">
        <v>6</v>
      </c>
      <c r="I1404">
        <v>26</v>
      </c>
      <c r="J1404">
        <v>0</v>
      </c>
      <c r="K1404" t="s">
        <v>17</v>
      </c>
      <c r="L1404" t="s">
        <v>17</v>
      </c>
      <c r="M1404">
        <f>IF(Table1[[#This Row],[ألغى الاشتراك]]="نعم",1,0)</f>
        <v>0</v>
      </c>
      <c r="N1404">
        <f>IF(Table1[[#This Row],[وسيلة الدفع]]="بطاقة",1,0)</f>
        <v>0</v>
      </c>
      <c r="O1404">
        <f>IF(Table1[[#This Row],[وسيلة الدفع]]="محفظة",1,0)</f>
        <v>1</v>
      </c>
      <c r="P1404">
        <f>IF(Table1[[#This Row],[وسيلة الدفع]]="تحويل",1,0)</f>
        <v>0</v>
      </c>
      <c r="Q1404">
        <f>IF(Table1[[#This Row],[حضر التهيئة]]="نعم",1,0)</f>
        <v>0</v>
      </c>
      <c r="R1404">
        <f>IF(Table1[[#This Row],[دورة الفوترة]]="شهري",1,0)</f>
        <v>1</v>
      </c>
    </row>
    <row r="1405" spans="1:18" x14ac:dyDescent="0.25">
      <c r="A1405" t="s">
        <v>1425</v>
      </c>
      <c r="B1405" s="1">
        <v>45918</v>
      </c>
      <c r="C1405" t="s">
        <v>19</v>
      </c>
      <c r="D1405">
        <v>189</v>
      </c>
      <c r="E1405" t="s">
        <v>20</v>
      </c>
      <c r="F1405">
        <v>29</v>
      </c>
      <c r="G1405" t="s">
        <v>23</v>
      </c>
      <c r="H1405">
        <v>1</v>
      </c>
      <c r="I1405">
        <v>55</v>
      </c>
      <c r="J1405">
        <v>0</v>
      </c>
      <c r="K1405" t="s">
        <v>17</v>
      </c>
      <c r="L1405" t="s">
        <v>17</v>
      </c>
      <c r="M1405">
        <f>IF(Table1[[#This Row],[ألغى الاشتراك]]="نعم",1,0)</f>
        <v>0</v>
      </c>
      <c r="N1405">
        <f>IF(Table1[[#This Row],[وسيلة الدفع]]="بطاقة",1,0)</f>
        <v>0</v>
      </c>
      <c r="O1405">
        <f>IF(Table1[[#This Row],[وسيلة الدفع]]="محفظة",1,0)</f>
        <v>0</v>
      </c>
      <c r="P1405">
        <f>IF(Table1[[#This Row],[وسيلة الدفع]]="تحويل",1,0)</f>
        <v>1</v>
      </c>
      <c r="Q1405">
        <f>IF(Table1[[#This Row],[حضر التهيئة]]="نعم",1,0)</f>
        <v>0</v>
      </c>
      <c r="R1405">
        <f>IF(Table1[[#This Row],[دورة الفوترة]]="شهري",1,0)</f>
        <v>0</v>
      </c>
    </row>
    <row r="1406" spans="1:18" x14ac:dyDescent="0.25">
      <c r="A1406" t="s">
        <v>1426</v>
      </c>
      <c r="B1406" s="1">
        <v>45458</v>
      </c>
      <c r="C1406" t="s">
        <v>28</v>
      </c>
      <c r="D1406">
        <v>39</v>
      </c>
      <c r="E1406" t="s">
        <v>14</v>
      </c>
      <c r="F1406">
        <v>22</v>
      </c>
      <c r="G1406" t="s">
        <v>21</v>
      </c>
      <c r="H1406">
        <v>0</v>
      </c>
      <c r="I1406">
        <v>56</v>
      </c>
      <c r="J1406">
        <v>0</v>
      </c>
      <c r="K1406" t="s">
        <v>17</v>
      </c>
      <c r="L1406" t="s">
        <v>17</v>
      </c>
      <c r="M1406">
        <f>IF(Table1[[#This Row],[ألغى الاشتراك]]="نعم",1,0)</f>
        <v>0</v>
      </c>
      <c r="N1406">
        <f>IF(Table1[[#This Row],[وسيلة الدفع]]="بطاقة",1,0)</f>
        <v>0</v>
      </c>
      <c r="O1406">
        <f>IF(Table1[[#This Row],[وسيلة الدفع]]="محفظة",1,0)</f>
        <v>1</v>
      </c>
      <c r="P1406">
        <f>IF(Table1[[#This Row],[وسيلة الدفع]]="تحويل",1,0)</f>
        <v>0</v>
      </c>
      <c r="Q1406">
        <f>IF(Table1[[#This Row],[حضر التهيئة]]="نعم",1,0)</f>
        <v>0</v>
      </c>
      <c r="R1406">
        <f>IF(Table1[[#This Row],[دورة الفوترة]]="شهري",1,0)</f>
        <v>1</v>
      </c>
    </row>
    <row r="1407" spans="1:18" x14ac:dyDescent="0.25">
      <c r="A1407" t="s">
        <v>1427</v>
      </c>
      <c r="B1407" s="1">
        <v>45513</v>
      </c>
      <c r="C1407" t="s">
        <v>28</v>
      </c>
      <c r="D1407">
        <v>39</v>
      </c>
      <c r="E1407" t="s">
        <v>20</v>
      </c>
      <c r="F1407">
        <v>17</v>
      </c>
      <c r="G1407" t="s">
        <v>23</v>
      </c>
      <c r="H1407">
        <v>2</v>
      </c>
      <c r="I1407">
        <v>35</v>
      </c>
      <c r="J1407">
        <v>25</v>
      </c>
      <c r="K1407" t="s">
        <v>16</v>
      </c>
      <c r="L1407" t="s">
        <v>17</v>
      </c>
      <c r="M1407">
        <f>IF(Table1[[#This Row],[ألغى الاشتراك]]="نعم",1,0)</f>
        <v>0</v>
      </c>
      <c r="N1407">
        <f>IF(Table1[[#This Row],[وسيلة الدفع]]="بطاقة",1,0)</f>
        <v>0</v>
      </c>
      <c r="O1407">
        <f>IF(Table1[[#This Row],[وسيلة الدفع]]="محفظة",1,0)</f>
        <v>0</v>
      </c>
      <c r="P1407">
        <f>IF(Table1[[#This Row],[وسيلة الدفع]]="تحويل",1,0)</f>
        <v>1</v>
      </c>
      <c r="Q1407">
        <f>IF(Table1[[#This Row],[حضر التهيئة]]="نعم",1,0)</f>
        <v>1</v>
      </c>
      <c r="R1407">
        <f>IF(Table1[[#This Row],[دورة الفوترة]]="شهري",1,0)</f>
        <v>0</v>
      </c>
    </row>
    <row r="1408" spans="1:18" x14ac:dyDescent="0.25">
      <c r="A1408" t="s">
        <v>1428</v>
      </c>
      <c r="B1408" s="1">
        <v>45926</v>
      </c>
      <c r="C1408" t="s">
        <v>28</v>
      </c>
      <c r="D1408">
        <v>39</v>
      </c>
      <c r="E1408" t="s">
        <v>20</v>
      </c>
      <c r="F1408">
        <v>15</v>
      </c>
      <c r="G1408" t="s">
        <v>15</v>
      </c>
      <c r="H1408">
        <v>1</v>
      </c>
      <c r="I1408">
        <v>7</v>
      </c>
      <c r="J1408">
        <v>0</v>
      </c>
      <c r="K1408" t="s">
        <v>16</v>
      </c>
      <c r="L1408" t="s">
        <v>17</v>
      </c>
      <c r="M1408">
        <f>IF(Table1[[#This Row],[ألغى الاشتراك]]="نعم",1,0)</f>
        <v>0</v>
      </c>
      <c r="N1408">
        <f>IF(Table1[[#This Row],[وسيلة الدفع]]="بطاقة",1,0)</f>
        <v>1</v>
      </c>
      <c r="O1408">
        <f>IF(Table1[[#This Row],[وسيلة الدفع]]="محفظة",1,0)</f>
        <v>0</v>
      </c>
      <c r="P1408">
        <f>IF(Table1[[#This Row],[وسيلة الدفع]]="تحويل",1,0)</f>
        <v>0</v>
      </c>
      <c r="Q1408">
        <f>IF(Table1[[#This Row],[حضر التهيئة]]="نعم",1,0)</f>
        <v>1</v>
      </c>
      <c r="R1408">
        <f>IF(Table1[[#This Row],[دورة الفوترة]]="شهري",1,0)</f>
        <v>0</v>
      </c>
    </row>
    <row r="1409" spans="1:18" x14ac:dyDescent="0.25">
      <c r="A1409" t="s">
        <v>1429</v>
      </c>
      <c r="B1409" s="1">
        <v>45454</v>
      </c>
      <c r="C1409" t="s">
        <v>13</v>
      </c>
      <c r="D1409">
        <v>89</v>
      </c>
      <c r="E1409" t="s">
        <v>14</v>
      </c>
      <c r="F1409">
        <v>16</v>
      </c>
      <c r="G1409" t="s">
        <v>21</v>
      </c>
      <c r="H1409">
        <v>8</v>
      </c>
      <c r="I1409">
        <v>34</v>
      </c>
      <c r="J1409">
        <v>0</v>
      </c>
      <c r="K1409" t="s">
        <v>16</v>
      </c>
      <c r="L1409" t="s">
        <v>17</v>
      </c>
      <c r="M1409">
        <f>IF(Table1[[#This Row],[ألغى الاشتراك]]="نعم",1,0)</f>
        <v>0</v>
      </c>
      <c r="N1409">
        <f>IF(Table1[[#This Row],[وسيلة الدفع]]="بطاقة",1,0)</f>
        <v>0</v>
      </c>
      <c r="O1409">
        <f>IF(Table1[[#This Row],[وسيلة الدفع]]="محفظة",1,0)</f>
        <v>1</v>
      </c>
      <c r="P1409">
        <f>IF(Table1[[#This Row],[وسيلة الدفع]]="تحويل",1,0)</f>
        <v>0</v>
      </c>
      <c r="Q1409">
        <f>IF(Table1[[#This Row],[حضر التهيئة]]="نعم",1,0)</f>
        <v>1</v>
      </c>
      <c r="R1409">
        <f>IF(Table1[[#This Row],[دورة الفوترة]]="شهري",1,0)</f>
        <v>1</v>
      </c>
    </row>
    <row r="1410" spans="1:18" x14ac:dyDescent="0.25">
      <c r="A1410" t="s">
        <v>1430</v>
      </c>
      <c r="B1410" s="1">
        <v>45965</v>
      </c>
      <c r="C1410" t="s">
        <v>28</v>
      </c>
      <c r="D1410">
        <v>39</v>
      </c>
      <c r="E1410" t="s">
        <v>20</v>
      </c>
      <c r="F1410">
        <v>21</v>
      </c>
      <c r="G1410" t="s">
        <v>15</v>
      </c>
      <c r="H1410">
        <v>10</v>
      </c>
      <c r="I1410">
        <v>55</v>
      </c>
      <c r="J1410">
        <v>0</v>
      </c>
      <c r="K1410" t="s">
        <v>17</v>
      </c>
      <c r="L1410" t="s">
        <v>16</v>
      </c>
      <c r="M1410">
        <f>IF(Table1[[#This Row],[ألغى الاشتراك]]="نعم",1,0)</f>
        <v>1</v>
      </c>
      <c r="N1410">
        <f>IF(Table1[[#This Row],[وسيلة الدفع]]="بطاقة",1,0)</f>
        <v>1</v>
      </c>
      <c r="O1410">
        <f>IF(Table1[[#This Row],[وسيلة الدفع]]="محفظة",1,0)</f>
        <v>0</v>
      </c>
      <c r="P1410">
        <f>IF(Table1[[#This Row],[وسيلة الدفع]]="تحويل",1,0)</f>
        <v>0</v>
      </c>
      <c r="Q1410">
        <f>IF(Table1[[#This Row],[حضر التهيئة]]="نعم",1,0)</f>
        <v>0</v>
      </c>
      <c r="R1410">
        <f>IF(Table1[[#This Row],[دورة الفوترة]]="شهري",1,0)</f>
        <v>0</v>
      </c>
    </row>
    <row r="1411" spans="1:18" x14ac:dyDescent="0.25">
      <c r="A1411" t="s">
        <v>1431</v>
      </c>
      <c r="B1411" s="1">
        <v>45513</v>
      </c>
      <c r="C1411" t="s">
        <v>19</v>
      </c>
      <c r="D1411">
        <v>189</v>
      </c>
      <c r="E1411" t="s">
        <v>14</v>
      </c>
      <c r="F1411">
        <v>28</v>
      </c>
      <c r="G1411" t="s">
        <v>15</v>
      </c>
      <c r="H1411">
        <v>1</v>
      </c>
      <c r="I1411">
        <v>20</v>
      </c>
      <c r="J1411">
        <v>0</v>
      </c>
      <c r="K1411" t="s">
        <v>17</v>
      </c>
      <c r="L1411" t="s">
        <v>17</v>
      </c>
      <c r="M1411">
        <f>IF(Table1[[#This Row],[ألغى الاشتراك]]="نعم",1,0)</f>
        <v>0</v>
      </c>
      <c r="N1411">
        <f>IF(Table1[[#This Row],[وسيلة الدفع]]="بطاقة",1,0)</f>
        <v>1</v>
      </c>
      <c r="O1411">
        <f>IF(Table1[[#This Row],[وسيلة الدفع]]="محفظة",1,0)</f>
        <v>0</v>
      </c>
      <c r="P1411">
        <f>IF(Table1[[#This Row],[وسيلة الدفع]]="تحويل",1,0)</f>
        <v>0</v>
      </c>
      <c r="Q1411">
        <f>IF(Table1[[#This Row],[حضر التهيئة]]="نعم",1,0)</f>
        <v>0</v>
      </c>
      <c r="R1411">
        <f>IF(Table1[[#This Row],[دورة الفوترة]]="شهري",1,0)</f>
        <v>1</v>
      </c>
    </row>
    <row r="1412" spans="1:18" x14ac:dyDescent="0.25">
      <c r="A1412" t="s">
        <v>1432</v>
      </c>
      <c r="B1412" s="1">
        <v>45791</v>
      </c>
      <c r="C1412" t="s">
        <v>13</v>
      </c>
      <c r="D1412">
        <v>89</v>
      </c>
      <c r="E1412" t="s">
        <v>14</v>
      </c>
      <c r="F1412">
        <v>1</v>
      </c>
      <c r="G1412" t="s">
        <v>21</v>
      </c>
      <c r="H1412">
        <v>0</v>
      </c>
      <c r="I1412">
        <v>35</v>
      </c>
      <c r="J1412">
        <v>0</v>
      </c>
      <c r="K1412" t="s">
        <v>17</v>
      </c>
      <c r="L1412" t="s">
        <v>17</v>
      </c>
      <c r="M1412">
        <f>IF(Table1[[#This Row],[ألغى الاشتراك]]="نعم",1,0)</f>
        <v>0</v>
      </c>
      <c r="N1412">
        <f>IF(Table1[[#This Row],[وسيلة الدفع]]="بطاقة",1,0)</f>
        <v>0</v>
      </c>
      <c r="O1412">
        <f>IF(Table1[[#This Row],[وسيلة الدفع]]="محفظة",1,0)</f>
        <v>1</v>
      </c>
      <c r="P1412">
        <f>IF(Table1[[#This Row],[وسيلة الدفع]]="تحويل",1,0)</f>
        <v>0</v>
      </c>
      <c r="Q1412">
        <f>IF(Table1[[#This Row],[حضر التهيئة]]="نعم",1,0)</f>
        <v>0</v>
      </c>
      <c r="R1412">
        <f>IF(Table1[[#This Row],[دورة الفوترة]]="شهري",1,0)</f>
        <v>1</v>
      </c>
    </row>
    <row r="1413" spans="1:18" x14ac:dyDescent="0.25">
      <c r="A1413" t="s">
        <v>1433</v>
      </c>
      <c r="B1413" s="1">
        <v>45588</v>
      </c>
      <c r="C1413" t="s">
        <v>28</v>
      </c>
      <c r="D1413">
        <v>39</v>
      </c>
      <c r="E1413" t="s">
        <v>14</v>
      </c>
      <c r="F1413">
        <v>4</v>
      </c>
      <c r="G1413" t="s">
        <v>21</v>
      </c>
      <c r="H1413">
        <v>2</v>
      </c>
      <c r="I1413">
        <v>20</v>
      </c>
      <c r="J1413">
        <v>0</v>
      </c>
      <c r="K1413" t="s">
        <v>16</v>
      </c>
      <c r="L1413" t="s">
        <v>17</v>
      </c>
      <c r="M1413">
        <f>IF(Table1[[#This Row],[ألغى الاشتراك]]="نعم",1,0)</f>
        <v>0</v>
      </c>
      <c r="N1413">
        <f>IF(Table1[[#This Row],[وسيلة الدفع]]="بطاقة",1,0)</f>
        <v>0</v>
      </c>
      <c r="O1413">
        <f>IF(Table1[[#This Row],[وسيلة الدفع]]="محفظة",1,0)</f>
        <v>1</v>
      </c>
      <c r="P1413">
        <f>IF(Table1[[#This Row],[وسيلة الدفع]]="تحويل",1,0)</f>
        <v>0</v>
      </c>
      <c r="Q1413">
        <f>IF(Table1[[#This Row],[حضر التهيئة]]="نعم",1,0)</f>
        <v>1</v>
      </c>
      <c r="R1413">
        <f>IF(Table1[[#This Row],[دورة الفوترة]]="شهري",1,0)</f>
        <v>1</v>
      </c>
    </row>
    <row r="1414" spans="1:18" x14ac:dyDescent="0.25">
      <c r="A1414" t="s">
        <v>1434</v>
      </c>
      <c r="B1414" s="1">
        <v>45977</v>
      </c>
      <c r="C1414" t="s">
        <v>28</v>
      </c>
      <c r="D1414">
        <v>39</v>
      </c>
      <c r="E1414" t="s">
        <v>20</v>
      </c>
      <c r="F1414">
        <v>11</v>
      </c>
      <c r="G1414" t="s">
        <v>21</v>
      </c>
      <c r="H1414">
        <v>0</v>
      </c>
      <c r="I1414">
        <v>39</v>
      </c>
      <c r="J1414">
        <v>0</v>
      </c>
      <c r="K1414" t="s">
        <v>16</v>
      </c>
      <c r="L1414" t="s">
        <v>17</v>
      </c>
      <c r="M1414">
        <f>IF(Table1[[#This Row],[ألغى الاشتراك]]="نعم",1,0)</f>
        <v>0</v>
      </c>
      <c r="N1414">
        <f>IF(Table1[[#This Row],[وسيلة الدفع]]="بطاقة",1,0)</f>
        <v>0</v>
      </c>
      <c r="O1414">
        <f>IF(Table1[[#This Row],[وسيلة الدفع]]="محفظة",1,0)</f>
        <v>1</v>
      </c>
      <c r="P1414">
        <f>IF(Table1[[#This Row],[وسيلة الدفع]]="تحويل",1,0)</f>
        <v>0</v>
      </c>
      <c r="Q1414">
        <f>IF(Table1[[#This Row],[حضر التهيئة]]="نعم",1,0)</f>
        <v>1</v>
      </c>
      <c r="R1414">
        <f>IF(Table1[[#This Row],[دورة الفوترة]]="شهري",1,0)</f>
        <v>0</v>
      </c>
    </row>
    <row r="1415" spans="1:18" x14ac:dyDescent="0.25">
      <c r="A1415" t="s">
        <v>1435</v>
      </c>
      <c r="B1415" s="1">
        <v>45922</v>
      </c>
      <c r="C1415" t="s">
        <v>19</v>
      </c>
      <c r="D1415">
        <v>189</v>
      </c>
      <c r="E1415" t="s">
        <v>14</v>
      </c>
      <c r="F1415">
        <v>20</v>
      </c>
      <c r="G1415" t="s">
        <v>23</v>
      </c>
      <c r="H1415">
        <v>0</v>
      </c>
      <c r="I1415">
        <v>50</v>
      </c>
      <c r="J1415">
        <v>5</v>
      </c>
      <c r="K1415" t="s">
        <v>16</v>
      </c>
      <c r="L1415" t="s">
        <v>17</v>
      </c>
      <c r="M1415">
        <f>IF(Table1[[#This Row],[ألغى الاشتراك]]="نعم",1,0)</f>
        <v>0</v>
      </c>
      <c r="N1415">
        <f>IF(Table1[[#This Row],[وسيلة الدفع]]="بطاقة",1,0)</f>
        <v>0</v>
      </c>
      <c r="O1415">
        <f>IF(Table1[[#This Row],[وسيلة الدفع]]="محفظة",1,0)</f>
        <v>0</v>
      </c>
      <c r="P1415">
        <f>IF(Table1[[#This Row],[وسيلة الدفع]]="تحويل",1,0)</f>
        <v>1</v>
      </c>
      <c r="Q1415">
        <f>IF(Table1[[#This Row],[حضر التهيئة]]="نعم",1,0)</f>
        <v>1</v>
      </c>
      <c r="R1415">
        <f>IF(Table1[[#This Row],[دورة الفوترة]]="شهري",1,0)</f>
        <v>1</v>
      </c>
    </row>
    <row r="1416" spans="1:18" x14ac:dyDescent="0.25">
      <c r="A1416" t="s">
        <v>1436</v>
      </c>
      <c r="B1416" s="1">
        <v>45458</v>
      </c>
      <c r="C1416" t="s">
        <v>28</v>
      </c>
      <c r="D1416">
        <v>39</v>
      </c>
      <c r="E1416" t="s">
        <v>14</v>
      </c>
      <c r="F1416">
        <v>12</v>
      </c>
      <c r="G1416" t="s">
        <v>15</v>
      </c>
      <c r="H1416">
        <v>3</v>
      </c>
      <c r="I1416">
        <v>20</v>
      </c>
      <c r="J1416">
        <v>0</v>
      </c>
      <c r="K1416" t="s">
        <v>17</v>
      </c>
      <c r="L1416" t="s">
        <v>17</v>
      </c>
      <c r="M1416">
        <f>IF(Table1[[#This Row],[ألغى الاشتراك]]="نعم",1,0)</f>
        <v>0</v>
      </c>
      <c r="N1416">
        <f>IF(Table1[[#This Row],[وسيلة الدفع]]="بطاقة",1,0)</f>
        <v>1</v>
      </c>
      <c r="O1416">
        <f>IF(Table1[[#This Row],[وسيلة الدفع]]="محفظة",1,0)</f>
        <v>0</v>
      </c>
      <c r="P1416">
        <f>IF(Table1[[#This Row],[وسيلة الدفع]]="تحويل",1,0)</f>
        <v>0</v>
      </c>
      <c r="Q1416">
        <f>IF(Table1[[#This Row],[حضر التهيئة]]="نعم",1,0)</f>
        <v>0</v>
      </c>
      <c r="R1416">
        <f>IF(Table1[[#This Row],[دورة الفوترة]]="شهري",1,0)</f>
        <v>1</v>
      </c>
    </row>
    <row r="1417" spans="1:18" x14ac:dyDescent="0.25">
      <c r="A1417" t="s">
        <v>1437</v>
      </c>
      <c r="B1417" s="1">
        <v>45728</v>
      </c>
      <c r="C1417" t="s">
        <v>13</v>
      </c>
      <c r="D1417">
        <v>89</v>
      </c>
      <c r="E1417" t="s">
        <v>20</v>
      </c>
      <c r="F1417">
        <v>7</v>
      </c>
      <c r="G1417" t="s">
        <v>21</v>
      </c>
      <c r="H1417">
        <v>2</v>
      </c>
      <c r="I1417">
        <v>23</v>
      </c>
      <c r="J1417">
        <v>0</v>
      </c>
      <c r="K1417" t="s">
        <v>16</v>
      </c>
      <c r="L1417" t="s">
        <v>17</v>
      </c>
      <c r="M1417">
        <f>IF(Table1[[#This Row],[ألغى الاشتراك]]="نعم",1,0)</f>
        <v>0</v>
      </c>
      <c r="N1417">
        <f>IF(Table1[[#This Row],[وسيلة الدفع]]="بطاقة",1,0)</f>
        <v>0</v>
      </c>
      <c r="O1417">
        <f>IF(Table1[[#This Row],[وسيلة الدفع]]="محفظة",1,0)</f>
        <v>1</v>
      </c>
      <c r="P1417">
        <f>IF(Table1[[#This Row],[وسيلة الدفع]]="تحويل",1,0)</f>
        <v>0</v>
      </c>
      <c r="Q1417">
        <f>IF(Table1[[#This Row],[حضر التهيئة]]="نعم",1,0)</f>
        <v>1</v>
      </c>
      <c r="R1417">
        <f>IF(Table1[[#This Row],[دورة الفوترة]]="شهري",1,0)</f>
        <v>0</v>
      </c>
    </row>
    <row r="1418" spans="1:18" x14ac:dyDescent="0.25">
      <c r="A1418" t="s">
        <v>1438</v>
      </c>
      <c r="B1418" s="1">
        <v>45383</v>
      </c>
      <c r="C1418" t="s">
        <v>13</v>
      </c>
      <c r="D1418">
        <v>89</v>
      </c>
      <c r="E1418" t="s">
        <v>14</v>
      </c>
      <c r="F1418">
        <v>22</v>
      </c>
      <c r="G1418" t="s">
        <v>15</v>
      </c>
      <c r="H1418">
        <v>2</v>
      </c>
      <c r="I1418">
        <v>54</v>
      </c>
      <c r="J1418">
        <v>0</v>
      </c>
      <c r="K1418" t="s">
        <v>16</v>
      </c>
      <c r="L1418" t="s">
        <v>17</v>
      </c>
      <c r="M1418">
        <f>IF(Table1[[#This Row],[ألغى الاشتراك]]="نعم",1,0)</f>
        <v>0</v>
      </c>
      <c r="N1418">
        <f>IF(Table1[[#This Row],[وسيلة الدفع]]="بطاقة",1,0)</f>
        <v>1</v>
      </c>
      <c r="O1418">
        <f>IF(Table1[[#This Row],[وسيلة الدفع]]="محفظة",1,0)</f>
        <v>0</v>
      </c>
      <c r="P1418">
        <f>IF(Table1[[#This Row],[وسيلة الدفع]]="تحويل",1,0)</f>
        <v>0</v>
      </c>
      <c r="Q1418">
        <f>IF(Table1[[#This Row],[حضر التهيئة]]="نعم",1,0)</f>
        <v>1</v>
      </c>
      <c r="R1418">
        <f>IF(Table1[[#This Row],[دورة الفوترة]]="شهري",1,0)</f>
        <v>1</v>
      </c>
    </row>
    <row r="1419" spans="1:18" x14ac:dyDescent="0.25">
      <c r="A1419" t="s">
        <v>1439</v>
      </c>
      <c r="B1419" s="1">
        <v>45466</v>
      </c>
      <c r="C1419" t="s">
        <v>19</v>
      </c>
      <c r="D1419">
        <v>189</v>
      </c>
      <c r="E1419" t="s">
        <v>14</v>
      </c>
      <c r="F1419">
        <v>27</v>
      </c>
      <c r="G1419" t="s">
        <v>21</v>
      </c>
      <c r="H1419">
        <v>5</v>
      </c>
      <c r="I1419">
        <v>39</v>
      </c>
      <c r="J1419">
        <v>10</v>
      </c>
      <c r="K1419" t="s">
        <v>16</v>
      </c>
      <c r="L1419" t="s">
        <v>17</v>
      </c>
      <c r="M1419">
        <f>IF(Table1[[#This Row],[ألغى الاشتراك]]="نعم",1,0)</f>
        <v>0</v>
      </c>
      <c r="N1419">
        <f>IF(Table1[[#This Row],[وسيلة الدفع]]="بطاقة",1,0)</f>
        <v>0</v>
      </c>
      <c r="O1419">
        <f>IF(Table1[[#This Row],[وسيلة الدفع]]="محفظة",1,0)</f>
        <v>1</v>
      </c>
      <c r="P1419">
        <f>IF(Table1[[#This Row],[وسيلة الدفع]]="تحويل",1,0)</f>
        <v>0</v>
      </c>
      <c r="Q1419">
        <f>IF(Table1[[#This Row],[حضر التهيئة]]="نعم",1,0)</f>
        <v>1</v>
      </c>
      <c r="R1419">
        <f>IF(Table1[[#This Row],[دورة الفوترة]]="شهري",1,0)</f>
        <v>1</v>
      </c>
    </row>
    <row r="1420" spans="1:18" x14ac:dyDescent="0.25">
      <c r="A1420" t="s">
        <v>1440</v>
      </c>
      <c r="B1420" s="1">
        <v>45740</v>
      </c>
      <c r="C1420" t="s">
        <v>13</v>
      </c>
      <c r="D1420">
        <v>89</v>
      </c>
      <c r="E1420" t="s">
        <v>14</v>
      </c>
      <c r="F1420">
        <v>3</v>
      </c>
      <c r="G1420" t="s">
        <v>21</v>
      </c>
      <c r="H1420">
        <v>9</v>
      </c>
      <c r="I1420">
        <v>25</v>
      </c>
      <c r="J1420">
        <v>0</v>
      </c>
      <c r="K1420" t="s">
        <v>16</v>
      </c>
      <c r="L1420" t="s">
        <v>17</v>
      </c>
      <c r="M1420">
        <f>IF(Table1[[#This Row],[ألغى الاشتراك]]="نعم",1,0)</f>
        <v>0</v>
      </c>
      <c r="N1420">
        <f>IF(Table1[[#This Row],[وسيلة الدفع]]="بطاقة",1,0)</f>
        <v>0</v>
      </c>
      <c r="O1420">
        <f>IF(Table1[[#This Row],[وسيلة الدفع]]="محفظة",1,0)</f>
        <v>1</v>
      </c>
      <c r="P1420">
        <f>IF(Table1[[#This Row],[وسيلة الدفع]]="تحويل",1,0)</f>
        <v>0</v>
      </c>
      <c r="Q1420">
        <f>IF(Table1[[#This Row],[حضر التهيئة]]="نعم",1,0)</f>
        <v>1</v>
      </c>
      <c r="R1420">
        <f>IF(Table1[[#This Row],[دورة الفوترة]]="شهري",1,0)</f>
        <v>1</v>
      </c>
    </row>
    <row r="1421" spans="1:18" x14ac:dyDescent="0.25">
      <c r="A1421" t="s">
        <v>1441</v>
      </c>
      <c r="B1421" s="1">
        <v>45505</v>
      </c>
      <c r="C1421" t="s">
        <v>13</v>
      </c>
      <c r="D1421">
        <v>89</v>
      </c>
      <c r="E1421" t="s">
        <v>14</v>
      </c>
      <c r="F1421">
        <v>30</v>
      </c>
      <c r="G1421" t="s">
        <v>21</v>
      </c>
      <c r="H1421">
        <v>0</v>
      </c>
      <c r="I1421">
        <v>20</v>
      </c>
      <c r="J1421">
        <v>0</v>
      </c>
      <c r="K1421" t="s">
        <v>16</v>
      </c>
      <c r="L1421" t="s">
        <v>17</v>
      </c>
      <c r="M1421">
        <f>IF(Table1[[#This Row],[ألغى الاشتراك]]="نعم",1,0)</f>
        <v>0</v>
      </c>
      <c r="N1421">
        <f>IF(Table1[[#This Row],[وسيلة الدفع]]="بطاقة",1,0)</f>
        <v>0</v>
      </c>
      <c r="O1421">
        <f>IF(Table1[[#This Row],[وسيلة الدفع]]="محفظة",1,0)</f>
        <v>1</v>
      </c>
      <c r="P1421">
        <f>IF(Table1[[#This Row],[وسيلة الدفع]]="تحويل",1,0)</f>
        <v>0</v>
      </c>
      <c r="Q1421">
        <f>IF(Table1[[#This Row],[حضر التهيئة]]="نعم",1,0)</f>
        <v>1</v>
      </c>
      <c r="R1421">
        <f>IF(Table1[[#This Row],[دورة الفوترة]]="شهري",1,0)</f>
        <v>1</v>
      </c>
    </row>
    <row r="1422" spans="1:18" x14ac:dyDescent="0.25">
      <c r="A1422" t="s">
        <v>1442</v>
      </c>
      <c r="B1422" s="1">
        <v>45918</v>
      </c>
      <c r="C1422" t="s">
        <v>19</v>
      </c>
      <c r="D1422">
        <v>189</v>
      </c>
      <c r="E1422" t="s">
        <v>20</v>
      </c>
      <c r="F1422">
        <v>1</v>
      </c>
      <c r="G1422" t="s">
        <v>15</v>
      </c>
      <c r="H1422">
        <v>3</v>
      </c>
      <c r="I1422">
        <v>29</v>
      </c>
      <c r="J1422">
        <v>0</v>
      </c>
      <c r="K1422" t="s">
        <v>17</v>
      </c>
      <c r="L1422" t="s">
        <v>17</v>
      </c>
      <c r="M1422">
        <f>IF(Table1[[#This Row],[ألغى الاشتراك]]="نعم",1,0)</f>
        <v>0</v>
      </c>
      <c r="N1422">
        <f>IF(Table1[[#This Row],[وسيلة الدفع]]="بطاقة",1,0)</f>
        <v>1</v>
      </c>
      <c r="O1422">
        <f>IF(Table1[[#This Row],[وسيلة الدفع]]="محفظة",1,0)</f>
        <v>0</v>
      </c>
      <c r="P1422">
        <f>IF(Table1[[#This Row],[وسيلة الدفع]]="تحويل",1,0)</f>
        <v>0</v>
      </c>
      <c r="Q1422">
        <f>IF(Table1[[#This Row],[حضر التهيئة]]="نعم",1,0)</f>
        <v>0</v>
      </c>
      <c r="R1422">
        <f>IF(Table1[[#This Row],[دورة الفوترة]]="شهري",1,0)</f>
        <v>0</v>
      </c>
    </row>
    <row r="1423" spans="1:18" x14ac:dyDescent="0.25">
      <c r="A1423" t="s">
        <v>1443</v>
      </c>
      <c r="B1423" s="1">
        <v>45728</v>
      </c>
      <c r="C1423" t="s">
        <v>19</v>
      </c>
      <c r="D1423">
        <v>189</v>
      </c>
      <c r="E1423" t="s">
        <v>14</v>
      </c>
      <c r="F1423">
        <v>18</v>
      </c>
      <c r="G1423" t="s">
        <v>15</v>
      </c>
      <c r="H1423">
        <v>2</v>
      </c>
      <c r="I1423">
        <v>16</v>
      </c>
      <c r="J1423">
        <v>15</v>
      </c>
      <c r="K1423" t="s">
        <v>17</v>
      </c>
      <c r="L1423" t="s">
        <v>17</v>
      </c>
      <c r="M1423">
        <f>IF(Table1[[#This Row],[ألغى الاشتراك]]="نعم",1,0)</f>
        <v>0</v>
      </c>
      <c r="N1423">
        <f>IF(Table1[[#This Row],[وسيلة الدفع]]="بطاقة",1,0)</f>
        <v>1</v>
      </c>
      <c r="O1423">
        <f>IF(Table1[[#This Row],[وسيلة الدفع]]="محفظة",1,0)</f>
        <v>0</v>
      </c>
      <c r="P1423">
        <f>IF(Table1[[#This Row],[وسيلة الدفع]]="تحويل",1,0)</f>
        <v>0</v>
      </c>
      <c r="Q1423">
        <f>IF(Table1[[#This Row],[حضر التهيئة]]="نعم",1,0)</f>
        <v>0</v>
      </c>
      <c r="R1423">
        <f>IF(Table1[[#This Row],[دورة الفوترة]]="شهري",1,0)</f>
        <v>1</v>
      </c>
    </row>
    <row r="1424" spans="1:18" x14ac:dyDescent="0.25">
      <c r="A1424" t="s">
        <v>1444</v>
      </c>
      <c r="B1424" s="1">
        <v>45643</v>
      </c>
      <c r="C1424" t="s">
        <v>13</v>
      </c>
      <c r="D1424">
        <v>89</v>
      </c>
      <c r="E1424" t="s">
        <v>14</v>
      </c>
      <c r="F1424">
        <v>2</v>
      </c>
      <c r="G1424" t="s">
        <v>23</v>
      </c>
      <c r="H1424">
        <v>5</v>
      </c>
      <c r="I1424">
        <v>34</v>
      </c>
      <c r="J1424">
        <v>0</v>
      </c>
      <c r="K1424" t="s">
        <v>17</v>
      </c>
      <c r="L1424" t="s">
        <v>17</v>
      </c>
      <c r="M1424">
        <f>IF(Table1[[#This Row],[ألغى الاشتراك]]="نعم",1,0)</f>
        <v>0</v>
      </c>
      <c r="N1424">
        <f>IF(Table1[[#This Row],[وسيلة الدفع]]="بطاقة",1,0)</f>
        <v>0</v>
      </c>
      <c r="O1424">
        <f>IF(Table1[[#This Row],[وسيلة الدفع]]="محفظة",1,0)</f>
        <v>0</v>
      </c>
      <c r="P1424">
        <f>IF(Table1[[#This Row],[وسيلة الدفع]]="تحويل",1,0)</f>
        <v>1</v>
      </c>
      <c r="Q1424">
        <f>IF(Table1[[#This Row],[حضر التهيئة]]="نعم",1,0)</f>
        <v>0</v>
      </c>
      <c r="R1424">
        <f>IF(Table1[[#This Row],[دورة الفوترة]]="شهري",1,0)</f>
        <v>1</v>
      </c>
    </row>
    <row r="1425" spans="1:18" x14ac:dyDescent="0.25">
      <c r="A1425" t="s">
        <v>1445</v>
      </c>
      <c r="B1425" s="1">
        <v>45799</v>
      </c>
      <c r="C1425" t="s">
        <v>28</v>
      </c>
      <c r="D1425">
        <v>39</v>
      </c>
      <c r="E1425" t="s">
        <v>20</v>
      </c>
      <c r="F1425">
        <v>5</v>
      </c>
      <c r="G1425" t="s">
        <v>15</v>
      </c>
      <c r="H1425">
        <v>0</v>
      </c>
      <c r="I1425">
        <v>53</v>
      </c>
      <c r="J1425">
        <v>0</v>
      </c>
      <c r="K1425" t="s">
        <v>17</v>
      </c>
      <c r="L1425" t="s">
        <v>17</v>
      </c>
      <c r="M1425">
        <f>IF(Table1[[#This Row],[ألغى الاشتراك]]="نعم",1,0)</f>
        <v>0</v>
      </c>
      <c r="N1425">
        <f>IF(Table1[[#This Row],[وسيلة الدفع]]="بطاقة",1,0)</f>
        <v>1</v>
      </c>
      <c r="O1425">
        <f>IF(Table1[[#This Row],[وسيلة الدفع]]="محفظة",1,0)</f>
        <v>0</v>
      </c>
      <c r="P1425">
        <f>IF(Table1[[#This Row],[وسيلة الدفع]]="تحويل",1,0)</f>
        <v>0</v>
      </c>
      <c r="Q1425">
        <f>IF(Table1[[#This Row],[حضر التهيئة]]="نعم",1,0)</f>
        <v>0</v>
      </c>
      <c r="R1425">
        <f>IF(Table1[[#This Row],[دورة الفوترة]]="شهري",1,0)</f>
        <v>0</v>
      </c>
    </row>
    <row r="1426" spans="1:18" x14ac:dyDescent="0.25">
      <c r="A1426" t="s">
        <v>1446</v>
      </c>
      <c r="B1426" s="1">
        <v>45568</v>
      </c>
      <c r="C1426" t="s">
        <v>28</v>
      </c>
      <c r="D1426">
        <v>39</v>
      </c>
      <c r="E1426" t="s">
        <v>20</v>
      </c>
      <c r="F1426">
        <v>6</v>
      </c>
      <c r="G1426" t="s">
        <v>23</v>
      </c>
      <c r="H1426">
        <v>0</v>
      </c>
      <c r="I1426">
        <v>8</v>
      </c>
      <c r="J1426">
        <v>0</v>
      </c>
      <c r="K1426" t="s">
        <v>17</v>
      </c>
      <c r="L1426" t="s">
        <v>17</v>
      </c>
      <c r="M1426">
        <f>IF(Table1[[#This Row],[ألغى الاشتراك]]="نعم",1,0)</f>
        <v>0</v>
      </c>
      <c r="N1426">
        <f>IF(Table1[[#This Row],[وسيلة الدفع]]="بطاقة",1,0)</f>
        <v>0</v>
      </c>
      <c r="O1426">
        <f>IF(Table1[[#This Row],[وسيلة الدفع]]="محفظة",1,0)</f>
        <v>0</v>
      </c>
      <c r="P1426">
        <f>IF(Table1[[#This Row],[وسيلة الدفع]]="تحويل",1,0)</f>
        <v>1</v>
      </c>
      <c r="Q1426">
        <f>IF(Table1[[#This Row],[حضر التهيئة]]="نعم",1,0)</f>
        <v>0</v>
      </c>
      <c r="R1426">
        <f>IF(Table1[[#This Row],[دورة الفوترة]]="شهري",1,0)</f>
        <v>0</v>
      </c>
    </row>
    <row r="1427" spans="1:18" x14ac:dyDescent="0.25">
      <c r="A1427" t="s">
        <v>1447</v>
      </c>
      <c r="B1427" s="1">
        <v>45744</v>
      </c>
      <c r="C1427" t="s">
        <v>19</v>
      </c>
      <c r="D1427">
        <v>189</v>
      </c>
      <c r="E1427" t="s">
        <v>14</v>
      </c>
      <c r="F1427">
        <v>23</v>
      </c>
      <c r="G1427" t="s">
        <v>15</v>
      </c>
      <c r="H1427">
        <v>3</v>
      </c>
      <c r="I1427">
        <v>35</v>
      </c>
      <c r="J1427">
        <v>0</v>
      </c>
      <c r="K1427" t="s">
        <v>16</v>
      </c>
      <c r="L1427" t="s">
        <v>17</v>
      </c>
      <c r="M1427">
        <f>IF(Table1[[#This Row],[ألغى الاشتراك]]="نعم",1,0)</f>
        <v>0</v>
      </c>
      <c r="N1427">
        <f>IF(Table1[[#This Row],[وسيلة الدفع]]="بطاقة",1,0)</f>
        <v>1</v>
      </c>
      <c r="O1427">
        <f>IF(Table1[[#This Row],[وسيلة الدفع]]="محفظة",1,0)</f>
        <v>0</v>
      </c>
      <c r="P1427">
        <f>IF(Table1[[#This Row],[وسيلة الدفع]]="تحويل",1,0)</f>
        <v>0</v>
      </c>
      <c r="Q1427">
        <f>IF(Table1[[#This Row],[حضر التهيئة]]="نعم",1,0)</f>
        <v>1</v>
      </c>
      <c r="R1427">
        <f>IF(Table1[[#This Row],[دورة الفوترة]]="شهري",1,0)</f>
        <v>1</v>
      </c>
    </row>
    <row r="1428" spans="1:18" x14ac:dyDescent="0.25">
      <c r="A1428" t="s">
        <v>1448</v>
      </c>
      <c r="B1428" s="1">
        <v>45647</v>
      </c>
      <c r="C1428" t="s">
        <v>13</v>
      </c>
      <c r="D1428">
        <v>89</v>
      </c>
      <c r="E1428" t="s">
        <v>14</v>
      </c>
      <c r="F1428">
        <v>26</v>
      </c>
      <c r="G1428" t="s">
        <v>21</v>
      </c>
      <c r="H1428">
        <v>1</v>
      </c>
      <c r="I1428">
        <v>48</v>
      </c>
      <c r="J1428">
        <v>0</v>
      </c>
      <c r="K1428" t="s">
        <v>17</v>
      </c>
      <c r="L1428" t="s">
        <v>17</v>
      </c>
      <c r="M1428">
        <f>IF(Table1[[#This Row],[ألغى الاشتراك]]="نعم",1,0)</f>
        <v>0</v>
      </c>
      <c r="N1428">
        <f>IF(Table1[[#This Row],[وسيلة الدفع]]="بطاقة",1,0)</f>
        <v>0</v>
      </c>
      <c r="O1428">
        <f>IF(Table1[[#This Row],[وسيلة الدفع]]="محفظة",1,0)</f>
        <v>1</v>
      </c>
      <c r="P1428">
        <f>IF(Table1[[#This Row],[وسيلة الدفع]]="تحويل",1,0)</f>
        <v>0</v>
      </c>
      <c r="Q1428">
        <f>IF(Table1[[#This Row],[حضر التهيئة]]="نعم",1,0)</f>
        <v>0</v>
      </c>
      <c r="R1428">
        <f>IF(Table1[[#This Row],[دورة الفوترة]]="شهري",1,0)</f>
        <v>1</v>
      </c>
    </row>
    <row r="1429" spans="1:18" x14ac:dyDescent="0.25">
      <c r="A1429" t="s">
        <v>1449</v>
      </c>
      <c r="B1429" s="1">
        <v>45679</v>
      </c>
      <c r="C1429" t="s">
        <v>19</v>
      </c>
      <c r="D1429">
        <v>189</v>
      </c>
      <c r="E1429" t="s">
        <v>14</v>
      </c>
      <c r="F1429">
        <v>23</v>
      </c>
      <c r="G1429" t="s">
        <v>23</v>
      </c>
      <c r="H1429">
        <v>1</v>
      </c>
      <c r="I1429">
        <v>55</v>
      </c>
      <c r="J1429">
        <v>0</v>
      </c>
      <c r="K1429" t="s">
        <v>17</v>
      </c>
      <c r="L1429" t="s">
        <v>17</v>
      </c>
      <c r="M1429">
        <f>IF(Table1[[#This Row],[ألغى الاشتراك]]="نعم",1,0)</f>
        <v>0</v>
      </c>
      <c r="N1429">
        <f>IF(Table1[[#This Row],[وسيلة الدفع]]="بطاقة",1,0)</f>
        <v>0</v>
      </c>
      <c r="O1429">
        <f>IF(Table1[[#This Row],[وسيلة الدفع]]="محفظة",1,0)</f>
        <v>0</v>
      </c>
      <c r="P1429">
        <f>IF(Table1[[#This Row],[وسيلة الدفع]]="تحويل",1,0)</f>
        <v>1</v>
      </c>
      <c r="Q1429">
        <f>IF(Table1[[#This Row],[حضر التهيئة]]="نعم",1,0)</f>
        <v>0</v>
      </c>
      <c r="R1429">
        <f>IF(Table1[[#This Row],[دورة الفوترة]]="شهري",1,0)</f>
        <v>1</v>
      </c>
    </row>
    <row r="1430" spans="1:18" x14ac:dyDescent="0.25">
      <c r="A1430" t="s">
        <v>1450</v>
      </c>
      <c r="B1430" s="1">
        <v>45454</v>
      </c>
      <c r="C1430" t="s">
        <v>13</v>
      </c>
      <c r="D1430">
        <v>89</v>
      </c>
      <c r="E1430" t="s">
        <v>14</v>
      </c>
      <c r="F1430">
        <v>6</v>
      </c>
      <c r="G1430" t="s">
        <v>15</v>
      </c>
      <c r="H1430">
        <v>0</v>
      </c>
      <c r="I1430">
        <v>8</v>
      </c>
      <c r="J1430">
        <v>0</v>
      </c>
      <c r="K1430" t="s">
        <v>17</v>
      </c>
      <c r="L1430" t="s">
        <v>17</v>
      </c>
      <c r="M1430">
        <f>IF(Table1[[#This Row],[ألغى الاشتراك]]="نعم",1,0)</f>
        <v>0</v>
      </c>
      <c r="N1430">
        <f>IF(Table1[[#This Row],[وسيلة الدفع]]="بطاقة",1,0)</f>
        <v>1</v>
      </c>
      <c r="O1430">
        <f>IF(Table1[[#This Row],[وسيلة الدفع]]="محفظة",1,0)</f>
        <v>0</v>
      </c>
      <c r="P1430">
        <f>IF(Table1[[#This Row],[وسيلة الدفع]]="تحويل",1,0)</f>
        <v>0</v>
      </c>
      <c r="Q1430">
        <f>IF(Table1[[#This Row],[حضر التهيئة]]="نعم",1,0)</f>
        <v>0</v>
      </c>
      <c r="R1430">
        <f>IF(Table1[[#This Row],[دورة الفوترة]]="شهري",1,0)</f>
        <v>1</v>
      </c>
    </row>
    <row r="1431" spans="1:18" x14ac:dyDescent="0.25">
      <c r="A1431" t="s">
        <v>1451</v>
      </c>
      <c r="B1431" s="1">
        <v>45391</v>
      </c>
      <c r="C1431" t="s">
        <v>19</v>
      </c>
      <c r="D1431">
        <v>189</v>
      </c>
      <c r="E1431" t="s">
        <v>14</v>
      </c>
      <c r="F1431">
        <v>3</v>
      </c>
      <c r="G1431" t="s">
        <v>23</v>
      </c>
      <c r="H1431">
        <v>0</v>
      </c>
      <c r="I1431">
        <v>11</v>
      </c>
      <c r="J1431">
        <v>25</v>
      </c>
      <c r="K1431" t="s">
        <v>16</v>
      </c>
      <c r="L1431" t="s">
        <v>16</v>
      </c>
      <c r="M1431">
        <f>IF(Table1[[#This Row],[ألغى الاشتراك]]="نعم",1,0)</f>
        <v>1</v>
      </c>
      <c r="N1431">
        <f>IF(Table1[[#This Row],[وسيلة الدفع]]="بطاقة",1,0)</f>
        <v>0</v>
      </c>
      <c r="O1431">
        <f>IF(Table1[[#This Row],[وسيلة الدفع]]="محفظة",1,0)</f>
        <v>0</v>
      </c>
      <c r="P1431">
        <f>IF(Table1[[#This Row],[وسيلة الدفع]]="تحويل",1,0)</f>
        <v>1</v>
      </c>
      <c r="Q1431">
        <f>IF(Table1[[#This Row],[حضر التهيئة]]="نعم",1,0)</f>
        <v>1</v>
      </c>
      <c r="R1431">
        <f>IF(Table1[[#This Row],[دورة الفوترة]]="شهري",1,0)</f>
        <v>1</v>
      </c>
    </row>
    <row r="1432" spans="1:18" x14ac:dyDescent="0.25">
      <c r="A1432" t="s">
        <v>1452</v>
      </c>
      <c r="B1432" s="1">
        <v>45663</v>
      </c>
      <c r="C1432" t="s">
        <v>19</v>
      </c>
      <c r="D1432">
        <v>189</v>
      </c>
      <c r="E1432" t="s">
        <v>20</v>
      </c>
      <c r="F1432">
        <v>3</v>
      </c>
      <c r="G1432" t="s">
        <v>23</v>
      </c>
      <c r="H1432">
        <v>5</v>
      </c>
      <c r="I1432">
        <v>27</v>
      </c>
      <c r="J1432">
        <v>0</v>
      </c>
      <c r="K1432" t="s">
        <v>17</v>
      </c>
      <c r="L1432" t="s">
        <v>17</v>
      </c>
      <c r="M1432">
        <f>IF(Table1[[#This Row],[ألغى الاشتراك]]="نعم",1,0)</f>
        <v>0</v>
      </c>
      <c r="N1432">
        <f>IF(Table1[[#This Row],[وسيلة الدفع]]="بطاقة",1,0)</f>
        <v>0</v>
      </c>
      <c r="O1432">
        <f>IF(Table1[[#This Row],[وسيلة الدفع]]="محفظة",1,0)</f>
        <v>0</v>
      </c>
      <c r="P1432">
        <f>IF(Table1[[#This Row],[وسيلة الدفع]]="تحويل",1,0)</f>
        <v>1</v>
      </c>
      <c r="Q1432">
        <f>IF(Table1[[#This Row],[حضر التهيئة]]="نعم",1,0)</f>
        <v>0</v>
      </c>
      <c r="R1432">
        <f>IF(Table1[[#This Row],[دورة الفوترة]]="شهري",1,0)</f>
        <v>0</v>
      </c>
    </row>
    <row r="1433" spans="1:18" x14ac:dyDescent="0.25">
      <c r="A1433" t="s">
        <v>1453</v>
      </c>
      <c r="B1433" s="1">
        <v>45576</v>
      </c>
      <c r="C1433" t="s">
        <v>19</v>
      </c>
      <c r="D1433">
        <v>189</v>
      </c>
      <c r="E1433" t="s">
        <v>14</v>
      </c>
      <c r="F1433">
        <v>20</v>
      </c>
      <c r="G1433" t="s">
        <v>21</v>
      </c>
      <c r="H1433">
        <v>0</v>
      </c>
      <c r="I1433">
        <v>20</v>
      </c>
      <c r="J1433">
        <v>0</v>
      </c>
      <c r="K1433" t="s">
        <v>17</v>
      </c>
      <c r="L1433" t="s">
        <v>17</v>
      </c>
      <c r="M1433">
        <f>IF(Table1[[#This Row],[ألغى الاشتراك]]="نعم",1,0)</f>
        <v>0</v>
      </c>
      <c r="N1433">
        <f>IF(Table1[[#This Row],[وسيلة الدفع]]="بطاقة",1,0)</f>
        <v>0</v>
      </c>
      <c r="O1433">
        <f>IF(Table1[[#This Row],[وسيلة الدفع]]="محفظة",1,0)</f>
        <v>1</v>
      </c>
      <c r="P1433">
        <f>IF(Table1[[#This Row],[وسيلة الدفع]]="تحويل",1,0)</f>
        <v>0</v>
      </c>
      <c r="Q1433">
        <f>IF(Table1[[#This Row],[حضر التهيئة]]="نعم",1,0)</f>
        <v>0</v>
      </c>
      <c r="R1433">
        <f>IF(Table1[[#This Row],[دورة الفوترة]]="شهري",1,0)</f>
        <v>1</v>
      </c>
    </row>
    <row r="1434" spans="1:18" x14ac:dyDescent="0.25">
      <c r="A1434" t="s">
        <v>1454</v>
      </c>
      <c r="B1434" s="1">
        <v>45858</v>
      </c>
      <c r="C1434" t="s">
        <v>13</v>
      </c>
      <c r="D1434">
        <v>89</v>
      </c>
      <c r="E1434" t="s">
        <v>20</v>
      </c>
      <c r="F1434">
        <v>15</v>
      </c>
      <c r="G1434" t="s">
        <v>23</v>
      </c>
      <c r="H1434">
        <v>10</v>
      </c>
      <c r="I1434">
        <v>29</v>
      </c>
      <c r="J1434">
        <v>0</v>
      </c>
      <c r="K1434" t="s">
        <v>16</v>
      </c>
      <c r="L1434" t="s">
        <v>17</v>
      </c>
      <c r="M1434">
        <f>IF(Table1[[#This Row],[ألغى الاشتراك]]="نعم",1,0)</f>
        <v>0</v>
      </c>
      <c r="N1434">
        <f>IF(Table1[[#This Row],[وسيلة الدفع]]="بطاقة",1,0)</f>
        <v>0</v>
      </c>
      <c r="O1434">
        <f>IF(Table1[[#This Row],[وسيلة الدفع]]="محفظة",1,0)</f>
        <v>0</v>
      </c>
      <c r="P1434">
        <f>IF(Table1[[#This Row],[وسيلة الدفع]]="تحويل",1,0)</f>
        <v>1</v>
      </c>
      <c r="Q1434">
        <f>IF(Table1[[#This Row],[حضر التهيئة]]="نعم",1,0)</f>
        <v>1</v>
      </c>
      <c r="R1434">
        <f>IF(Table1[[#This Row],[دورة الفوترة]]="شهري",1,0)</f>
        <v>0</v>
      </c>
    </row>
    <row r="1435" spans="1:18" x14ac:dyDescent="0.25">
      <c r="A1435" t="s">
        <v>1455</v>
      </c>
      <c r="B1435" s="1">
        <v>45399</v>
      </c>
      <c r="C1435" t="s">
        <v>19</v>
      </c>
      <c r="D1435">
        <v>189</v>
      </c>
      <c r="E1435" t="s">
        <v>20</v>
      </c>
      <c r="F1435">
        <v>28</v>
      </c>
      <c r="G1435" t="s">
        <v>15</v>
      </c>
      <c r="H1435">
        <v>0</v>
      </c>
      <c r="I1435">
        <v>52</v>
      </c>
      <c r="J1435">
        <v>0</v>
      </c>
      <c r="K1435" t="s">
        <v>16</v>
      </c>
      <c r="L1435" t="s">
        <v>17</v>
      </c>
      <c r="M1435">
        <f>IF(Table1[[#This Row],[ألغى الاشتراك]]="نعم",1,0)</f>
        <v>0</v>
      </c>
      <c r="N1435">
        <f>IF(Table1[[#This Row],[وسيلة الدفع]]="بطاقة",1,0)</f>
        <v>1</v>
      </c>
      <c r="O1435">
        <f>IF(Table1[[#This Row],[وسيلة الدفع]]="محفظة",1,0)</f>
        <v>0</v>
      </c>
      <c r="P1435">
        <f>IF(Table1[[#This Row],[وسيلة الدفع]]="تحويل",1,0)</f>
        <v>0</v>
      </c>
      <c r="Q1435">
        <f>IF(Table1[[#This Row],[حضر التهيئة]]="نعم",1,0)</f>
        <v>1</v>
      </c>
      <c r="R1435">
        <f>IF(Table1[[#This Row],[دورة الفوترة]]="شهري",1,0)</f>
        <v>0</v>
      </c>
    </row>
    <row r="1436" spans="1:18" x14ac:dyDescent="0.25">
      <c r="A1436" t="s">
        <v>1456</v>
      </c>
      <c r="B1436" s="1">
        <v>45671</v>
      </c>
      <c r="C1436" t="s">
        <v>28</v>
      </c>
      <c r="D1436">
        <v>39</v>
      </c>
      <c r="E1436" t="s">
        <v>14</v>
      </c>
      <c r="F1436">
        <v>23</v>
      </c>
      <c r="G1436" t="s">
        <v>23</v>
      </c>
      <c r="H1436">
        <v>0</v>
      </c>
      <c r="I1436">
        <v>19</v>
      </c>
      <c r="J1436">
        <v>0</v>
      </c>
      <c r="K1436" t="s">
        <v>16</v>
      </c>
      <c r="L1436" t="s">
        <v>17</v>
      </c>
      <c r="M1436">
        <f>IF(Table1[[#This Row],[ألغى الاشتراك]]="نعم",1,0)</f>
        <v>0</v>
      </c>
      <c r="N1436">
        <f>IF(Table1[[#This Row],[وسيلة الدفع]]="بطاقة",1,0)</f>
        <v>0</v>
      </c>
      <c r="O1436">
        <f>IF(Table1[[#This Row],[وسيلة الدفع]]="محفظة",1,0)</f>
        <v>0</v>
      </c>
      <c r="P1436">
        <f>IF(Table1[[#This Row],[وسيلة الدفع]]="تحويل",1,0)</f>
        <v>1</v>
      </c>
      <c r="Q1436">
        <f>IF(Table1[[#This Row],[حضر التهيئة]]="نعم",1,0)</f>
        <v>1</v>
      </c>
      <c r="R1436">
        <f>IF(Table1[[#This Row],[دورة الفوترة]]="شهري",1,0)</f>
        <v>1</v>
      </c>
    </row>
    <row r="1437" spans="1:18" x14ac:dyDescent="0.25">
      <c r="A1437" t="s">
        <v>1457</v>
      </c>
      <c r="B1437" s="1">
        <v>45592</v>
      </c>
      <c r="C1437" t="s">
        <v>28</v>
      </c>
      <c r="D1437">
        <v>39</v>
      </c>
      <c r="E1437" t="s">
        <v>14</v>
      </c>
      <c r="F1437">
        <v>28</v>
      </c>
      <c r="G1437" t="s">
        <v>23</v>
      </c>
      <c r="H1437">
        <v>2</v>
      </c>
      <c r="I1437">
        <v>48</v>
      </c>
      <c r="J1437">
        <v>0</v>
      </c>
      <c r="K1437" t="s">
        <v>16</v>
      </c>
      <c r="L1437" t="s">
        <v>16</v>
      </c>
      <c r="M1437">
        <f>IF(Table1[[#This Row],[ألغى الاشتراك]]="نعم",1,0)</f>
        <v>1</v>
      </c>
      <c r="N1437">
        <f>IF(Table1[[#This Row],[وسيلة الدفع]]="بطاقة",1,0)</f>
        <v>0</v>
      </c>
      <c r="O1437">
        <f>IF(Table1[[#This Row],[وسيلة الدفع]]="محفظة",1,0)</f>
        <v>0</v>
      </c>
      <c r="P1437">
        <f>IF(Table1[[#This Row],[وسيلة الدفع]]="تحويل",1,0)</f>
        <v>1</v>
      </c>
      <c r="Q1437">
        <f>IF(Table1[[#This Row],[حضر التهيئة]]="نعم",1,0)</f>
        <v>1</v>
      </c>
      <c r="R1437">
        <f>IF(Table1[[#This Row],[دورة الفوترة]]="شهري",1,0)</f>
        <v>1</v>
      </c>
    </row>
    <row r="1438" spans="1:18" x14ac:dyDescent="0.25">
      <c r="A1438" t="s">
        <v>1458</v>
      </c>
      <c r="B1438" s="1">
        <v>45505</v>
      </c>
      <c r="C1438" t="s">
        <v>13</v>
      </c>
      <c r="D1438">
        <v>89</v>
      </c>
      <c r="E1438" t="s">
        <v>20</v>
      </c>
      <c r="F1438">
        <v>3</v>
      </c>
      <c r="G1438" t="s">
        <v>15</v>
      </c>
      <c r="H1438">
        <v>1</v>
      </c>
      <c r="I1438">
        <v>49</v>
      </c>
      <c r="J1438">
        <v>25</v>
      </c>
      <c r="K1438" t="s">
        <v>17</v>
      </c>
      <c r="L1438" t="s">
        <v>17</v>
      </c>
      <c r="M1438">
        <f>IF(Table1[[#This Row],[ألغى الاشتراك]]="نعم",1,0)</f>
        <v>0</v>
      </c>
      <c r="N1438">
        <f>IF(Table1[[#This Row],[وسيلة الدفع]]="بطاقة",1,0)</f>
        <v>1</v>
      </c>
      <c r="O1438">
        <f>IF(Table1[[#This Row],[وسيلة الدفع]]="محفظة",1,0)</f>
        <v>0</v>
      </c>
      <c r="P1438">
        <f>IF(Table1[[#This Row],[وسيلة الدفع]]="تحويل",1,0)</f>
        <v>0</v>
      </c>
      <c r="Q1438">
        <f>IF(Table1[[#This Row],[حضر التهيئة]]="نعم",1,0)</f>
        <v>0</v>
      </c>
      <c r="R1438">
        <f>IF(Table1[[#This Row],[دورة الفوترة]]="شهري",1,0)</f>
        <v>0</v>
      </c>
    </row>
    <row r="1439" spans="1:18" x14ac:dyDescent="0.25">
      <c r="A1439" t="s">
        <v>1459</v>
      </c>
      <c r="B1439" s="1">
        <v>45910</v>
      </c>
      <c r="C1439" t="s">
        <v>13</v>
      </c>
      <c r="D1439">
        <v>89</v>
      </c>
      <c r="E1439" t="s">
        <v>14</v>
      </c>
      <c r="F1439">
        <v>23</v>
      </c>
      <c r="G1439" t="s">
        <v>21</v>
      </c>
      <c r="H1439">
        <v>0</v>
      </c>
      <c r="I1439">
        <v>9</v>
      </c>
      <c r="J1439">
        <v>0</v>
      </c>
      <c r="K1439" t="s">
        <v>17</v>
      </c>
      <c r="L1439" t="s">
        <v>17</v>
      </c>
      <c r="M1439">
        <f>IF(Table1[[#This Row],[ألغى الاشتراك]]="نعم",1,0)</f>
        <v>0</v>
      </c>
      <c r="N1439">
        <f>IF(Table1[[#This Row],[وسيلة الدفع]]="بطاقة",1,0)</f>
        <v>0</v>
      </c>
      <c r="O1439">
        <f>IF(Table1[[#This Row],[وسيلة الدفع]]="محفظة",1,0)</f>
        <v>1</v>
      </c>
      <c r="P1439">
        <f>IF(Table1[[#This Row],[وسيلة الدفع]]="تحويل",1,0)</f>
        <v>0</v>
      </c>
      <c r="Q1439">
        <f>IF(Table1[[#This Row],[حضر التهيئة]]="نعم",1,0)</f>
        <v>0</v>
      </c>
      <c r="R1439">
        <f>IF(Table1[[#This Row],[دورة الفوترة]]="شهري",1,0)</f>
        <v>1</v>
      </c>
    </row>
    <row r="1440" spans="1:18" x14ac:dyDescent="0.25">
      <c r="A1440" t="s">
        <v>1460</v>
      </c>
      <c r="B1440" s="1">
        <v>45576</v>
      </c>
      <c r="C1440" t="s">
        <v>13</v>
      </c>
      <c r="D1440">
        <v>89</v>
      </c>
      <c r="E1440" t="s">
        <v>20</v>
      </c>
      <c r="F1440">
        <v>12</v>
      </c>
      <c r="G1440" t="s">
        <v>21</v>
      </c>
      <c r="H1440">
        <v>2</v>
      </c>
      <c r="I1440">
        <v>30</v>
      </c>
      <c r="J1440">
        <v>0</v>
      </c>
      <c r="K1440" t="s">
        <v>16</v>
      </c>
      <c r="L1440" t="s">
        <v>17</v>
      </c>
      <c r="M1440">
        <f>IF(Table1[[#This Row],[ألغى الاشتراك]]="نعم",1,0)</f>
        <v>0</v>
      </c>
      <c r="N1440">
        <f>IF(Table1[[#This Row],[وسيلة الدفع]]="بطاقة",1,0)</f>
        <v>0</v>
      </c>
      <c r="O1440">
        <f>IF(Table1[[#This Row],[وسيلة الدفع]]="محفظة",1,0)</f>
        <v>1</v>
      </c>
      <c r="P1440">
        <f>IF(Table1[[#This Row],[وسيلة الدفع]]="تحويل",1,0)</f>
        <v>0</v>
      </c>
      <c r="Q1440">
        <f>IF(Table1[[#This Row],[حضر التهيئة]]="نعم",1,0)</f>
        <v>1</v>
      </c>
      <c r="R1440">
        <f>IF(Table1[[#This Row],[دورة الفوترة]]="شهري",1,0)</f>
        <v>0</v>
      </c>
    </row>
    <row r="1441" spans="1:18" x14ac:dyDescent="0.25">
      <c r="A1441" t="s">
        <v>1461</v>
      </c>
      <c r="B1441" s="1">
        <v>45846</v>
      </c>
      <c r="C1441" t="s">
        <v>13</v>
      </c>
      <c r="D1441">
        <v>89</v>
      </c>
      <c r="E1441" t="s">
        <v>20</v>
      </c>
      <c r="F1441">
        <v>1</v>
      </c>
      <c r="G1441" t="s">
        <v>21</v>
      </c>
      <c r="H1441">
        <v>2</v>
      </c>
      <c r="I1441">
        <v>15</v>
      </c>
      <c r="J1441">
        <v>0</v>
      </c>
      <c r="K1441" t="s">
        <v>17</v>
      </c>
      <c r="L1441" t="s">
        <v>17</v>
      </c>
      <c r="M1441">
        <f>IF(Table1[[#This Row],[ألغى الاشتراك]]="نعم",1,0)</f>
        <v>0</v>
      </c>
      <c r="N1441">
        <f>IF(Table1[[#This Row],[وسيلة الدفع]]="بطاقة",1,0)</f>
        <v>0</v>
      </c>
      <c r="O1441">
        <f>IF(Table1[[#This Row],[وسيلة الدفع]]="محفظة",1,0)</f>
        <v>1</v>
      </c>
      <c r="P1441">
        <f>IF(Table1[[#This Row],[وسيلة الدفع]]="تحويل",1,0)</f>
        <v>0</v>
      </c>
      <c r="Q1441">
        <f>IF(Table1[[#This Row],[حضر التهيئة]]="نعم",1,0)</f>
        <v>0</v>
      </c>
      <c r="R1441">
        <f>IF(Table1[[#This Row],[دورة الفوترة]]="شهري",1,0)</f>
        <v>0</v>
      </c>
    </row>
    <row r="1442" spans="1:18" x14ac:dyDescent="0.25">
      <c r="A1442" t="s">
        <v>1462</v>
      </c>
      <c r="B1442" s="1">
        <v>45509</v>
      </c>
      <c r="C1442" t="s">
        <v>19</v>
      </c>
      <c r="D1442">
        <v>189</v>
      </c>
      <c r="E1442" t="s">
        <v>14</v>
      </c>
      <c r="F1442">
        <v>30</v>
      </c>
      <c r="G1442" t="s">
        <v>21</v>
      </c>
      <c r="H1442">
        <v>0</v>
      </c>
      <c r="I1442">
        <v>14</v>
      </c>
      <c r="J1442">
        <v>0</v>
      </c>
      <c r="K1442" t="s">
        <v>17</v>
      </c>
      <c r="L1442" t="s">
        <v>17</v>
      </c>
      <c r="M1442">
        <f>IF(Table1[[#This Row],[ألغى الاشتراك]]="نعم",1,0)</f>
        <v>0</v>
      </c>
      <c r="N1442">
        <f>IF(Table1[[#This Row],[وسيلة الدفع]]="بطاقة",1,0)</f>
        <v>0</v>
      </c>
      <c r="O1442">
        <f>IF(Table1[[#This Row],[وسيلة الدفع]]="محفظة",1,0)</f>
        <v>1</v>
      </c>
      <c r="P1442">
        <f>IF(Table1[[#This Row],[وسيلة الدفع]]="تحويل",1,0)</f>
        <v>0</v>
      </c>
      <c r="Q1442">
        <f>IF(Table1[[#This Row],[حضر التهيئة]]="نعم",1,0)</f>
        <v>0</v>
      </c>
      <c r="R1442">
        <f>IF(Table1[[#This Row],[دورة الفوترة]]="شهري",1,0)</f>
        <v>1</v>
      </c>
    </row>
    <row r="1443" spans="1:18" x14ac:dyDescent="0.25">
      <c r="A1443" t="s">
        <v>1463</v>
      </c>
      <c r="B1443" s="1">
        <v>45803</v>
      </c>
      <c r="C1443" t="s">
        <v>19</v>
      </c>
      <c r="D1443">
        <v>189</v>
      </c>
      <c r="E1443" t="s">
        <v>14</v>
      </c>
      <c r="F1443">
        <v>19</v>
      </c>
      <c r="G1443" t="s">
        <v>21</v>
      </c>
      <c r="H1443">
        <v>1</v>
      </c>
      <c r="I1443">
        <v>53</v>
      </c>
      <c r="J1443">
        <v>0</v>
      </c>
      <c r="K1443" t="s">
        <v>17</v>
      </c>
      <c r="L1443" t="s">
        <v>17</v>
      </c>
      <c r="M1443">
        <f>IF(Table1[[#This Row],[ألغى الاشتراك]]="نعم",1,0)</f>
        <v>0</v>
      </c>
      <c r="N1443">
        <f>IF(Table1[[#This Row],[وسيلة الدفع]]="بطاقة",1,0)</f>
        <v>0</v>
      </c>
      <c r="O1443">
        <f>IF(Table1[[#This Row],[وسيلة الدفع]]="محفظة",1,0)</f>
        <v>1</v>
      </c>
      <c r="P1443">
        <f>IF(Table1[[#This Row],[وسيلة الدفع]]="تحويل",1,0)</f>
        <v>0</v>
      </c>
      <c r="Q1443">
        <f>IF(Table1[[#This Row],[حضر التهيئة]]="نعم",1,0)</f>
        <v>0</v>
      </c>
      <c r="R1443">
        <f>IF(Table1[[#This Row],[دورة الفوترة]]="شهري",1,0)</f>
        <v>1</v>
      </c>
    </row>
    <row r="1444" spans="1:18" x14ac:dyDescent="0.25">
      <c r="A1444" t="s">
        <v>1464</v>
      </c>
      <c r="B1444" s="1">
        <v>45329</v>
      </c>
      <c r="C1444" t="s">
        <v>28</v>
      </c>
      <c r="D1444">
        <v>39</v>
      </c>
      <c r="E1444" t="s">
        <v>14</v>
      </c>
      <c r="F1444">
        <v>4</v>
      </c>
      <c r="G1444" t="s">
        <v>23</v>
      </c>
      <c r="H1444">
        <v>2</v>
      </c>
      <c r="I1444">
        <v>32</v>
      </c>
      <c r="J1444">
        <v>0</v>
      </c>
      <c r="K1444" t="s">
        <v>17</v>
      </c>
      <c r="L1444" t="s">
        <v>17</v>
      </c>
      <c r="M1444">
        <f>IF(Table1[[#This Row],[ألغى الاشتراك]]="نعم",1,0)</f>
        <v>0</v>
      </c>
      <c r="N1444">
        <f>IF(Table1[[#This Row],[وسيلة الدفع]]="بطاقة",1,0)</f>
        <v>0</v>
      </c>
      <c r="O1444">
        <f>IF(Table1[[#This Row],[وسيلة الدفع]]="محفظة",1,0)</f>
        <v>0</v>
      </c>
      <c r="P1444">
        <f>IF(Table1[[#This Row],[وسيلة الدفع]]="تحويل",1,0)</f>
        <v>1</v>
      </c>
      <c r="Q1444">
        <f>IF(Table1[[#This Row],[حضر التهيئة]]="نعم",1,0)</f>
        <v>0</v>
      </c>
      <c r="R1444">
        <f>IF(Table1[[#This Row],[دورة الفوترة]]="شهري",1,0)</f>
        <v>1</v>
      </c>
    </row>
    <row r="1445" spans="1:18" x14ac:dyDescent="0.25">
      <c r="A1445" t="s">
        <v>1465</v>
      </c>
      <c r="B1445" s="1">
        <v>45387</v>
      </c>
      <c r="C1445" t="s">
        <v>13</v>
      </c>
      <c r="D1445">
        <v>89</v>
      </c>
      <c r="E1445" t="s">
        <v>14</v>
      </c>
      <c r="F1445">
        <v>7</v>
      </c>
      <c r="G1445" t="s">
        <v>15</v>
      </c>
      <c r="H1445">
        <v>2</v>
      </c>
      <c r="I1445">
        <v>7</v>
      </c>
      <c r="J1445">
        <v>25</v>
      </c>
      <c r="K1445" t="s">
        <v>16</v>
      </c>
      <c r="L1445" t="s">
        <v>17</v>
      </c>
      <c r="M1445">
        <f>IF(Table1[[#This Row],[ألغى الاشتراك]]="نعم",1,0)</f>
        <v>0</v>
      </c>
      <c r="N1445">
        <f>IF(Table1[[#This Row],[وسيلة الدفع]]="بطاقة",1,0)</f>
        <v>1</v>
      </c>
      <c r="O1445">
        <f>IF(Table1[[#This Row],[وسيلة الدفع]]="محفظة",1,0)</f>
        <v>0</v>
      </c>
      <c r="P1445">
        <f>IF(Table1[[#This Row],[وسيلة الدفع]]="تحويل",1,0)</f>
        <v>0</v>
      </c>
      <c r="Q1445">
        <f>IF(Table1[[#This Row],[حضر التهيئة]]="نعم",1,0)</f>
        <v>1</v>
      </c>
      <c r="R1445">
        <f>IF(Table1[[#This Row],[دورة الفوترة]]="شهري",1,0)</f>
        <v>1</v>
      </c>
    </row>
    <row r="1446" spans="1:18" x14ac:dyDescent="0.25">
      <c r="A1446" t="s">
        <v>1466</v>
      </c>
      <c r="B1446" s="1">
        <v>45918</v>
      </c>
      <c r="C1446" t="s">
        <v>19</v>
      </c>
      <c r="D1446">
        <v>189</v>
      </c>
      <c r="E1446" t="s">
        <v>20</v>
      </c>
      <c r="F1446">
        <v>17</v>
      </c>
      <c r="G1446" t="s">
        <v>21</v>
      </c>
      <c r="H1446">
        <v>1</v>
      </c>
      <c r="I1446">
        <v>31</v>
      </c>
      <c r="J1446">
        <v>0</v>
      </c>
      <c r="K1446" t="s">
        <v>16</v>
      </c>
      <c r="L1446" t="s">
        <v>17</v>
      </c>
      <c r="M1446">
        <f>IF(Table1[[#This Row],[ألغى الاشتراك]]="نعم",1,0)</f>
        <v>0</v>
      </c>
      <c r="N1446">
        <f>IF(Table1[[#This Row],[وسيلة الدفع]]="بطاقة",1,0)</f>
        <v>0</v>
      </c>
      <c r="O1446">
        <f>IF(Table1[[#This Row],[وسيلة الدفع]]="محفظة",1,0)</f>
        <v>1</v>
      </c>
      <c r="P1446">
        <f>IF(Table1[[#This Row],[وسيلة الدفع]]="تحويل",1,0)</f>
        <v>0</v>
      </c>
      <c r="Q1446">
        <f>IF(Table1[[#This Row],[حضر التهيئة]]="نعم",1,0)</f>
        <v>1</v>
      </c>
      <c r="R1446">
        <f>IF(Table1[[#This Row],[دورة الفوترة]]="شهري",1,0)</f>
        <v>0</v>
      </c>
    </row>
    <row r="1447" spans="1:18" x14ac:dyDescent="0.25">
      <c r="A1447" t="s">
        <v>1467</v>
      </c>
      <c r="B1447" s="1">
        <v>45728</v>
      </c>
      <c r="C1447" t="s">
        <v>28</v>
      </c>
      <c r="D1447">
        <v>39</v>
      </c>
      <c r="E1447" t="s">
        <v>14</v>
      </c>
      <c r="F1447">
        <v>6</v>
      </c>
      <c r="G1447" t="s">
        <v>23</v>
      </c>
      <c r="H1447">
        <v>0</v>
      </c>
      <c r="I1447">
        <v>44</v>
      </c>
      <c r="J1447">
        <v>15</v>
      </c>
      <c r="K1447" t="s">
        <v>17</v>
      </c>
      <c r="L1447" t="s">
        <v>17</v>
      </c>
      <c r="M1447">
        <f>IF(Table1[[#This Row],[ألغى الاشتراك]]="نعم",1,0)</f>
        <v>0</v>
      </c>
      <c r="N1447">
        <f>IF(Table1[[#This Row],[وسيلة الدفع]]="بطاقة",1,0)</f>
        <v>0</v>
      </c>
      <c r="O1447">
        <f>IF(Table1[[#This Row],[وسيلة الدفع]]="محفظة",1,0)</f>
        <v>0</v>
      </c>
      <c r="P1447">
        <f>IF(Table1[[#This Row],[وسيلة الدفع]]="تحويل",1,0)</f>
        <v>1</v>
      </c>
      <c r="Q1447">
        <f>IF(Table1[[#This Row],[حضر التهيئة]]="نعم",1,0)</f>
        <v>0</v>
      </c>
      <c r="R1447">
        <f>IF(Table1[[#This Row],[دورة الفوترة]]="شهري",1,0)</f>
        <v>1</v>
      </c>
    </row>
    <row r="1448" spans="1:18" x14ac:dyDescent="0.25">
      <c r="A1448" t="s">
        <v>1468</v>
      </c>
      <c r="B1448" s="1">
        <v>45910</v>
      </c>
      <c r="C1448" t="s">
        <v>28</v>
      </c>
      <c r="D1448">
        <v>39</v>
      </c>
      <c r="E1448" t="s">
        <v>20</v>
      </c>
      <c r="F1448">
        <v>28</v>
      </c>
      <c r="G1448" t="s">
        <v>23</v>
      </c>
      <c r="H1448">
        <v>1</v>
      </c>
      <c r="I1448">
        <v>52</v>
      </c>
      <c r="J1448">
        <v>5</v>
      </c>
      <c r="K1448" t="s">
        <v>17</v>
      </c>
      <c r="L1448" t="s">
        <v>17</v>
      </c>
      <c r="M1448">
        <f>IF(Table1[[#This Row],[ألغى الاشتراك]]="نعم",1,0)</f>
        <v>0</v>
      </c>
      <c r="N1448">
        <f>IF(Table1[[#This Row],[وسيلة الدفع]]="بطاقة",1,0)</f>
        <v>0</v>
      </c>
      <c r="O1448">
        <f>IF(Table1[[#This Row],[وسيلة الدفع]]="محفظة",1,0)</f>
        <v>0</v>
      </c>
      <c r="P1448">
        <f>IF(Table1[[#This Row],[وسيلة الدفع]]="تحويل",1,0)</f>
        <v>1</v>
      </c>
      <c r="Q1448">
        <f>IF(Table1[[#This Row],[حضر التهيئة]]="نعم",1,0)</f>
        <v>0</v>
      </c>
      <c r="R1448">
        <f>IF(Table1[[#This Row],[دورة الفوترة]]="شهري",1,0)</f>
        <v>0</v>
      </c>
    </row>
    <row r="1449" spans="1:18" x14ac:dyDescent="0.25">
      <c r="A1449" t="s">
        <v>1469</v>
      </c>
      <c r="B1449" s="1">
        <v>45337</v>
      </c>
      <c r="C1449" t="s">
        <v>13</v>
      </c>
      <c r="D1449">
        <v>89</v>
      </c>
      <c r="E1449" t="s">
        <v>14</v>
      </c>
      <c r="F1449">
        <v>18</v>
      </c>
      <c r="G1449" t="s">
        <v>15</v>
      </c>
      <c r="H1449">
        <v>1</v>
      </c>
      <c r="I1449">
        <v>6</v>
      </c>
      <c r="J1449">
        <v>0</v>
      </c>
      <c r="K1449" t="s">
        <v>17</v>
      </c>
      <c r="L1449" t="s">
        <v>17</v>
      </c>
      <c r="M1449">
        <f>IF(Table1[[#This Row],[ألغى الاشتراك]]="نعم",1,0)</f>
        <v>0</v>
      </c>
      <c r="N1449">
        <f>IF(Table1[[#This Row],[وسيلة الدفع]]="بطاقة",1,0)</f>
        <v>1</v>
      </c>
      <c r="O1449">
        <f>IF(Table1[[#This Row],[وسيلة الدفع]]="محفظة",1,0)</f>
        <v>0</v>
      </c>
      <c r="P1449">
        <f>IF(Table1[[#This Row],[وسيلة الدفع]]="تحويل",1,0)</f>
        <v>0</v>
      </c>
      <c r="Q1449">
        <f>IF(Table1[[#This Row],[حضر التهيئة]]="نعم",1,0)</f>
        <v>0</v>
      </c>
      <c r="R1449">
        <f>IF(Table1[[#This Row],[دورة الفوترة]]="شهري",1,0)</f>
        <v>1</v>
      </c>
    </row>
    <row r="1450" spans="1:18" x14ac:dyDescent="0.25">
      <c r="A1450" t="s">
        <v>1470</v>
      </c>
      <c r="B1450" s="1">
        <v>45744</v>
      </c>
      <c r="C1450" t="s">
        <v>19</v>
      </c>
      <c r="D1450">
        <v>189</v>
      </c>
      <c r="E1450" t="s">
        <v>14</v>
      </c>
      <c r="F1450">
        <v>3</v>
      </c>
      <c r="G1450" t="s">
        <v>21</v>
      </c>
      <c r="H1450">
        <v>0</v>
      </c>
      <c r="I1450">
        <v>13</v>
      </c>
      <c r="J1450">
        <v>0</v>
      </c>
      <c r="K1450" t="s">
        <v>16</v>
      </c>
      <c r="L1450" t="s">
        <v>17</v>
      </c>
      <c r="M1450">
        <f>IF(Table1[[#This Row],[ألغى الاشتراك]]="نعم",1,0)</f>
        <v>0</v>
      </c>
      <c r="N1450">
        <f>IF(Table1[[#This Row],[وسيلة الدفع]]="بطاقة",1,0)</f>
        <v>0</v>
      </c>
      <c r="O1450">
        <f>IF(Table1[[#This Row],[وسيلة الدفع]]="محفظة",1,0)</f>
        <v>1</v>
      </c>
      <c r="P1450">
        <f>IF(Table1[[#This Row],[وسيلة الدفع]]="تحويل",1,0)</f>
        <v>0</v>
      </c>
      <c r="Q1450">
        <f>IF(Table1[[#This Row],[حضر التهيئة]]="نعم",1,0)</f>
        <v>1</v>
      </c>
      <c r="R1450">
        <f>IF(Table1[[#This Row],[دورة الفوترة]]="شهري",1,0)</f>
        <v>1</v>
      </c>
    </row>
    <row r="1451" spans="1:18" x14ac:dyDescent="0.25">
      <c r="A1451" t="s">
        <v>1471</v>
      </c>
      <c r="B1451" s="1">
        <v>45635</v>
      </c>
      <c r="C1451" t="s">
        <v>19</v>
      </c>
      <c r="D1451">
        <v>189</v>
      </c>
      <c r="E1451" t="s">
        <v>14</v>
      </c>
      <c r="F1451">
        <v>12</v>
      </c>
      <c r="G1451" t="s">
        <v>15</v>
      </c>
      <c r="H1451">
        <v>2</v>
      </c>
      <c r="I1451">
        <v>46</v>
      </c>
      <c r="J1451">
        <v>0</v>
      </c>
      <c r="K1451" t="s">
        <v>16</v>
      </c>
      <c r="L1451" t="s">
        <v>17</v>
      </c>
      <c r="M1451">
        <f>IF(Table1[[#This Row],[ألغى الاشتراك]]="نعم",1,0)</f>
        <v>0</v>
      </c>
      <c r="N1451">
        <f>IF(Table1[[#This Row],[وسيلة الدفع]]="بطاقة",1,0)</f>
        <v>1</v>
      </c>
      <c r="O1451">
        <f>IF(Table1[[#This Row],[وسيلة الدفع]]="محفظة",1,0)</f>
        <v>0</v>
      </c>
      <c r="P1451">
        <f>IF(Table1[[#This Row],[وسيلة الدفع]]="تحويل",1,0)</f>
        <v>0</v>
      </c>
      <c r="Q1451">
        <f>IF(Table1[[#This Row],[حضر التهيئة]]="نعم",1,0)</f>
        <v>1</v>
      </c>
      <c r="R1451">
        <f>IF(Table1[[#This Row],[دورة الفوترة]]="شهري",1,0)</f>
        <v>1</v>
      </c>
    </row>
    <row r="1452" spans="1:18" x14ac:dyDescent="0.25">
      <c r="A1452" t="s">
        <v>1472</v>
      </c>
      <c r="B1452" s="1">
        <v>45679</v>
      </c>
      <c r="C1452" t="s">
        <v>19</v>
      </c>
      <c r="D1452">
        <v>189</v>
      </c>
      <c r="E1452" t="s">
        <v>14</v>
      </c>
      <c r="F1452">
        <v>1</v>
      </c>
      <c r="G1452" t="s">
        <v>21</v>
      </c>
      <c r="H1452">
        <v>11</v>
      </c>
      <c r="I1452">
        <v>47</v>
      </c>
      <c r="J1452">
        <v>0</v>
      </c>
      <c r="K1452" t="s">
        <v>17</v>
      </c>
      <c r="L1452" t="s">
        <v>17</v>
      </c>
      <c r="M1452">
        <f>IF(Table1[[#This Row],[ألغى الاشتراك]]="نعم",1,0)</f>
        <v>0</v>
      </c>
      <c r="N1452">
        <f>IF(Table1[[#This Row],[وسيلة الدفع]]="بطاقة",1,0)</f>
        <v>0</v>
      </c>
      <c r="O1452">
        <f>IF(Table1[[#This Row],[وسيلة الدفع]]="محفظة",1,0)</f>
        <v>1</v>
      </c>
      <c r="P1452">
        <f>IF(Table1[[#This Row],[وسيلة الدفع]]="تحويل",1,0)</f>
        <v>0</v>
      </c>
      <c r="Q1452">
        <f>IF(Table1[[#This Row],[حضر التهيئة]]="نعم",1,0)</f>
        <v>0</v>
      </c>
      <c r="R1452">
        <f>IF(Table1[[#This Row],[دورة الفوترة]]="شهري",1,0)</f>
        <v>1</v>
      </c>
    </row>
    <row r="1453" spans="1:18" x14ac:dyDescent="0.25">
      <c r="A1453" t="s">
        <v>1473</v>
      </c>
      <c r="B1453" s="1">
        <v>45720</v>
      </c>
      <c r="C1453" t="s">
        <v>13</v>
      </c>
      <c r="D1453">
        <v>89</v>
      </c>
      <c r="E1453" t="s">
        <v>14</v>
      </c>
      <c r="F1453">
        <v>16</v>
      </c>
      <c r="G1453" t="s">
        <v>21</v>
      </c>
      <c r="H1453">
        <v>9</v>
      </c>
      <c r="I1453">
        <v>42</v>
      </c>
      <c r="J1453">
        <v>15</v>
      </c>
      <c r="K1453" t="s">
        <v>17</v>
      </c>
      <c r="L1453" t="s">
        <v>17</v>
      </c>
      <c r="M1453">
        <f>IF(Table1[[#This Row],[ألغى الاشتراك]]="نعم",1,0)</f>
        <v>0</v>
      </c>
      <c r="N1453">
        <f>IF(Table1[[#This Row],[وسيلة الدفع]]="بطاقة",1,0)</f>
        <v>0</v>
      </c>
      <c r="O1453">
        <f>IF(Table1[[#This Row],[وسيلة الدفع]]="محفظة",1,0)</f>
        <v>1</v>
      </c>
      <c r="P1453">
        <f>IF(Table1[[#This Row],[وسيلة الدفع]]="تحويل",1,0)</f>
        <v>0</v>
      </c>
      <c r="Q1453">
        <f>IF(Table1[[#This Row],[حضر التهيئة]]="نعم",1,0)</f>
        <v>0</v>
      </c>
      <c r="R1453">
        <f>IF(Table1[[#This Row],[دورة الفوترة]]="شهري",1,0)</f>
        <v>1</v>
      </c>
    </row>
    <row r="1454" spans="1:18" x14ac:dyDescent="0.25">
      <c r="A1454" t="s">
        <v>1474</v>
      </c>
      <c r="B1454" s="1">
        <v>45407</v>
      </c>
      <c r="C1454" t="s">
        <v>28</v>
      </c>
      <c r="D1454">
        <v>39</v>
      </c>
      <c r="E1454" t="s">
        <v>14</v>
      </c>
      <c r="F1454">
        <v>28</v>
      </c>
      <c r="G1454" t="s">
        <v>21</v>
      </c>
      <c r="H1454">
        <v>0</v>
      </c>
      <c r="I1454">
        <v>54</v>
      </c>
      <c r="J1454">
        <v>0</v>
      </c>
      <c r="K1454" t="s">
        <v>16</v>
      </c>
      <c r="L1454" t="s">
        <v>17</v>
      </c>
      <c r="M1454">
        <f>IF(Table1[[#This Row],[ألغى الاشتراك]]="نعم",1,0)</f>
        <v>0</v>
      </c>
      <c r="N1454">
        <f>IF(Table1[[#This Row],[وسيلة الدفع]]="بطاقة",1,0)</f>
        <v>0</v>
      </c>
      <c r="O1454">
        <f>IF(Table1[[#This Row],[وسيلة الدفع]]="محفظة",1,0)</f>
        <v>1</v>
      </c>
      <c r="P1454">
        <f>IF(Table1[[#This Row],[وسيلة الدفع]]="تحويل",1,0)</f>
        <v>0</v>
      </c>
      <c r="Q1454">
        <f>IF(Table1[[#This Row],[حضر التهيئة]]="نعم",1,0)</f>
        <v>1</v>
      </c>
      <c r="R1454">
        <f>IF(Table1[[#This Row],[دورة الفوترة]]="شهري",1,0)</f>
        <v>1</v>
      </c>
    </row>
    <row r="1455" spans="1:18" x14ac:dyDescent="0.25">
      <c r="A1455" t="s">
        <v>1475</v>
      </c>
      <c r="B1455" s="1">
        <v>45918</v>
      </c>
      <c r="C1455" t="s">
        <v>13</v>
      </c>
      <c r="D1455">
        <v>89</v>
      </c>
      <c r="E1455" t="s">
        <v>20</v>
      </c>
      <c r="F1455">
        <v>27</v>
      </c>
      <c r="G1455" t="s">
        <v>21</v>
      </c>
      <c r="H1455">
        <v>1</v>
      </c>
      <c r="I1455">
        <v>15</v>
      </c>
      <c r="J1455">
        <v>0</v>
      </c>
      <c r="K1455" t="s">
        <v>16</v>
      </c>
      <c r="L1455" t="s">
        <v>17</v>
      </c>
      <c r="M1455">
        <f>IF(Table1[[#This Row],[ألغى الاشتراك]]="نعم",1,0)</f>
        <v>0</v>
      </c>
      <c r="N1455">
        <f>IF(Table1[[#This Row],[وسيلة الدفع]]="بطاقة",1,0)</f>
        <v>0</v>
      </c>
      <c r="O1455">
        <f>IF(Table1[[#This Row],[وسيلة الدفع]]="محفظة",1,0)</f>
        <v>1</v>
      </c>
      <c r="P1455">
        <f>IF(Table1[[#This Row],[وسيلة الدفع]]="تحويل",1,0)</f>
        <v>0</v>
      </c>
      <c r="Q1455">
        <f>IF(Table1[[#This Row],[حضر التهيئة]]="نعم",1,0)</f>
        <v>1</v>
      </c>
      <c r="R1455">
        <f>IF(Table1[[#This Row],[دورة الفوترة]]="شهري",1,0)</f>
        <v>0</v>
      </c>
    </row>
    <row r="1456" spans="1:18" x14ac:dyDescent="0.25">
      <c r="A1456" t="s">
        <v>1476</v>
      </c>
      <c r="B1456" s="1">
        <v>45349</v>
      </c>
      <c r="C1456" t="s">
        <v>19</v>
      </c>
      <c r="D1456">
        <v>189</v>
      </c>
      <c r="E1456" t="s">
        <v>20</v>
      </c>
      <c r="F1456">
        <v>14</v>
      </c>
      <c r="G1456" t="s">
        <v>15</v>
      </c>
      <c r="H1456">
        <v>0</v>
      </c>
      <c r="I1456">
        <v>42</v>
      </c>
      <c r="J1456">
        <v>0</v>
      </c>
      <c r="K1456" t="s">
        <v>17</v>
      </c>
      <c r="L1456" t="s">
        <v>16</v>
      </c>
      <c r="M1456">
        <f>IF(Table1[[#This Row],[ألغى الاشتراك]]="نعم",1,0)</f>
        <v>1</v>
      </c>
      <c r="N1456">
        <f>IF(Table1[[#This Row],[وسيلة الدفع]]="بطاقة",1,0)</f>
        <v>1</v>
      </c>
      <c r="O1456">
        <f>IF(Table1[[#This Row],[وسيلة الدفع]]="محفظة",1,0)</f>
        <v>0</v>
      </c>
      <c r="P1456">
        <f>IF(Table1[[#This Row],[وسيلة الدفع]]="تحويل",1,0)</f>
        <v>0</v>
      </c>
      <c r="Q1456">
        <f>IF(Table1[[#This Row],[حضر التهيئة]]="نعم",1,0)</f>
        <v>0</v>
      </c>
      <c r="R1456">
        <f>IF(Table1[[#This Row],[دورة الفوترة]]="شهري",1,0)</f>
        <v>0</v>
      </c>
    </row>
    <row r="1457" spans="1:18" x14ac:dyDescent="0.25">
      <c r="A1457" t="s">
        <v>1477</v>
      </c>
      <c r="B1457" s="1">
        <v>45977</v>
      </c>
      <c r="C1457" t="s">
        <v>19</v>
      </c>
      <c r="D1457">
        <v>189</v>
      </c>
      <c r="E1457" t="s">
        <v>14</v>
      </c>
      <c r="F1457">
        <v>1</v>
      </c>
      <c r="G1457" t="s">
        <v>23</v>
      </c>
      <c r="H1457">
        <v>8</v>
      </c>
      <c r="I1457">
        <v>35</v>
      </c>
      <c r="J1457">
        <v>0</v>
      </c>
      <c r="K1457" t="s">
        <v>17</v>
      </c>
      <c r="L1457" t="s">
        <v>16</v>
      </c>
      <c r="M1457">
        <f>IF(Table1[[#This Row],[ألغى الاشتراك]]="نعم",1,0)</f>
        <v>1</v>
      </c>
      <c r="N1457">
        <f>IF(Table1[[#This Row],[وسيلة الدفع]]="بطاقة",1,0)</f>
        <v>0</v>
      </c>
      <c r="O1457">
        <f>IF(Table1[[#This Row],[وسيلة الدفع]]="محفظة",1,0)</f>
        <v>0</v>
      </c>
      <c r="P1457">
        <f>IF(Table1[[#This Row],[وسيلة الدفع]]="تحويل",1,0)</f>
        <v>1</v>
      </c>
      <c r="Q1457">
        <f>IF(Table1[[#This Row],[حضر التهيئة]]="نعم",1,0)</f>
        <v>0</v>
      </c>
      <c r="R1457">
        <f>IF(Table1[[#This Row],[دورة الفوترة]]="شهري",1,0)</f>
        <v>1</v>
      </c>
    </row>
    <row r="1458" spans="1:18" x14ac:dyDescent="0.25">
      <c r="A1458" t="s">
        <v>1478</v>
      </c>
      <c r="B1458" s="1">
        <v>45639</v>
      </c>
      <c r="C1458" t="s">
        <v>19</v>
      </c>
      <c r="D1458">
        <v>189</v>
      </c>
      <c r="E1458" t="s">
        <v>14</v>
      </c>
      <c r="F1458">
        <v>12</v>
      </c>
      <c r="G1458" t="s">
        <v>15</v>
      </c>
      <c r="H1458">
        <v>1</v>
      </c>
      <c r="I1458">
        <v>26</v>
      </c>
      <c r="J1458">
        <v>0</v>
      </c>
      <c r="K1458" t="s">
        <v>17</v>
      </c>
      <c r="L1458" t="s">
        <v>17</v>
      </c>
      <c r="M1458">
        <f>IF(Table1[[#This Row],[ألغى الاشتراك]]="نعم",1,0)</f>
        <v>0</v>
      </c>
      <c r="N1458">
        <f>IF(Table1[[#This Row],[وسيلة الدفع]]="بطاقة",1,0)</f>
        <v>1</v>
      </c>
      <c r="O1458">
        <f>IF(Table1[[#This Row],[وسيلة الدفع]]="محفظة",1,0)</f>
        <v>0</v>
      </c>
      <c r="P1458">
        <f>IF(Table1[[#This Row],[وسيلة الدفع]]="تحويل",1,0)</f>
        <v>0</v>
      </c>
      <c r="Q1458">
        <f>IF(Table1[[#This Row],[حضر التهيئة]]="نعم",1,0)</f>
        <v>0</v>
      </c>
      <c r="R1458">
        <f>IF(Table1[[#This Row],[دورة الفوترة]]="شهري",1,0)</f>
        <v>1</v>
      </c>
    </row>
    <row r="1459" spans="1:18" x14ac:dyDescent="0.25">
      <c r="A1459" t="s">
        <v>1479</v>
      </c>
      <c r="B1459" s="1">
        <v>45659</v>
      </c>
      <c r="C1459" t="s">
        <v>19</v>
      </c>
      <c r="D1459">
        <v>189</v>
      </c>
      <c r="E1459" t="s">
        <v>20</v>
      </c>
      <c r="F1459">
        <v>9</v>
      </c>
      <c r="G1459" t="s">
        <v>23</v>
      </c>
      <c r="H1459">
        <v>3</v>
      </c>
      <c r="I1459">
        <v>5</v>
      </c>
      <c r="J1459">
        <v>0</v>
      </c>
      <c r="K1459" t="s">
        <v>17</v>
      </c>
      <c r="L1459" t="s">
        <v>17</v>
      </c>
      <c r="M1459">
        <f>IF(Table1[[#This Row],[ألغى الاشتراك]]="نعم",1,0)</f>
        <v>0</v>
      </c>
      <c r="N1459">
        <f>IF(Table1[[#This Row],[وسيلة الدفع]]="بطاقة",1,0)</f>
        <v>0</v>
      </c>
      <c r="O1459">
        <f>IF(Table1[[#This Row],[وسيلة الدفع]]="محفظة",1,0)</f>
        <v>0</v>
      </c>
      <c r="P1459">
        <f>IF(Table1[[#This Row],[وسيلة الدفع]]="تحويل",1,0)</f>
        <v>1</v>
      </c>
      <c r="Q1459">
        <f>IF(Table1[[#This Row],[حضر التهيئة]]="نعم",1,0)</f>
        <v>0</v>
      </c>
      <c r="R1459">
        <f>IF(Table1[[#This Row],[دورة الفوترة]]="شهري",1,0)</f>
        <v>0</v>
      </c>
    </row>
    <row r="1460" spans="1:18" x14ac:dyDescent="0.25">
      <c r="A1460" t="s">
        <v>1480</v>
      </c>
      <c r="B1460" s="1">
        <v>45965</v>
      </c>
      <c r="C1460" t="s">
        <v>28</v>
      </c>
      <c r="D1460">
        <v>39</v>
      </c>
      <c r="E1460" t="s">
        <v>20</v>
      </c>
      <c r="F1460">
        <v>18</v>
      </c>
      <c r="G1460" t="s">
        <v>15</v>
      </c>
      <c r="H1460">
        <v>0</v>
      </c>
      <c r="I1460">
        <v>48</v>
      </c>
      <c r="J1460">
        <v>15</v>
      </c>
      <c r="K1460" t="s">
        <v>16</v>
      </c>
      <c r="L1460" t="s">
        <v>17</v>
      </c>
      <c r="M1460">
        <f>IF(Table1[[#This Row],[ألغى الاشتراك]]="نعم",1,0)</f>
        <v>0</v>
      </c>
      <c r="N1460">
        <f>IF(Table1[[#This Row],[وسيلة الدفع]]="بطاقة",1,0)</f>
        <v>1</v>
      </c>
      <c r="O1460">
        <f>IF(Table1[[#This Row],[وسيلة الدفع]]="محفظة",1,0)</f>
        <v>0</v>
      </c>
      <c r="P1460">
        <f>IF(Table1[[#This Row],[وسيلة الدفع]]="تحويل",1,0)</f>
        <v>0</v>
      </c>
      <c r="Q1460">
        <f>IF(Table1[[#This Row],[حضر التهيئة]]="نعم",1,0)</f>
        <v>1</v>
      </c>
      <c r="R1460">
        <f>IF(Table1[[#This Row],[دورة الفوترة]]="شهري",1,0)</f>
        <v>0</v>
      </c>
    </row>
    <row r="1461" spans="1:18" x14ac:dyDescent="0.25">
      <c r="A1461" t="s">
        <v>1481</v>
      </c>
      <c r="B1461" s="1">
        <v>45505</v>
      </c>
      <c r="C1461" t="s">
        <v>13</v>
      </c>
      <c r="D1461">
        <v>89</v>
      </c>
      <c r="E1461" t="s">
        <v>14</v>
      </c>
      <c r="F1461">
        <v>24</v>
      </c>
      <c r="G1461" t="s">
        <v>15</v>
      </c>
      <c r="H1461">
        <v>2</v>
      </c>
      <c r="I1461">
        <v>4</v>
      </c>
      <c r="J1461">
        <v>0</v>
      </c>
      <c r="K1461" t="s">
        <v>16</v>
      </c>
      <c r="L1461" t="s">
        <v>16</v>
      </c>
      <c r="M1461">
        <f>IF(Table1[[#This Row],[ألغى الاشتراك]]="نعم",1,0)</f>
        <v>1</v>
      </c>
      <c r="N1461">
        <f>IF(Table1[[#This Row],[وسيلة الدفع]]="بطاقة",1,0)</f>
        <v>1</v>
      </c>
      <c r="O1461">
        <f>IF(Table1[[#This Row],[وسيلة الدفع]]="محفظة",1,0)</f>
        <v>0</v>
      </c>
      <c r="P1461">
        <f>IF(Table1[[#This Row],[وسيلة الدفع]]="تحويل",1,0)</f>
        <v>0</v>
      </c>
      <c r="Q1461">
        <f>IF(Table1[[#This Row],[حضر التهيئة]]="نعم",1,0)</f>
        <v>1</v>
      </c>
      <c r="R1461">
        <f>IF(Table1[[#This Row],[دورة الفوترة]]="شهري",1,0)</f>
        <v>1</v>
      </c>
    </row>
    <row r="1462" spans="1:18" x14ac:dyDescent="0.25">
      <c r="A1462" t="s">
        <v>1482</v>
      </c>
      <c r="B1462" s="1">
        <v>45671</v>
      </c>
      <c r="C1462" t="s">
        <v>19</v>
      </c>
      <c r="D1462">
        <v>189</v>
      </c>
      <c r="E1462" t="s">
        <v>20</v>
      </c>
      <c r="F1462">
        <v>29</v>
      </c>
      <c r="G1462" t="s">
        <v>21</v>
      </c>
      <c r="H1462">
        <v>1</v>
      </c>
      <c r="I1462">
        <v>39</v>
      </c>
      <c r="J1462">
        <v>0</v>
      </c>
      <c r="K1462" t="s">
        <v>16</v>
      </c>
      <c r="L1462" t="s">
        <v>17</v>
      </c>
      <c r="M1462">
        <f>IF(Table1[[#This Row],[ألغى الاشتراك]]="نعم",1,0)</f>
        <v>0</v>
      </c>
      <c r="N1462">
        <f>IF(Table1[[#This Row],[وسيلة الدفع]]="بطاقة",1,0)</f>
        <v>0</v>
      </c>
      <c r="O1462">
        <f>IF(Table1[[#This Row],[وسيلة الدفع]]="محفظة",1,0)</f>
        <v>1</v>
      </c>
      <c r="P1462">
        <f>IF(Table1[[#This Row],[وسيلة الدفع]]="تحويل",1,0)</f>
        <v>0</v>
      </c>
      <c r="Q1462">
        <f>IF(Table1[[#This Row],[حضر التهيئة]]="نعم",1,0)</f>
        <v>1</v>
      </c>
      <c r="R1462">
        <f>IF(Table1[[#This Row],[دورة الفوترة]]="شهري",1,0)</f>
        <v>0</v>
      </c>
    </row>
    <row r="1463" spans="1:18" x14ac:dyDescent="0.25">
      <c r="A1463" t="s">
        <v>1483</v>
      </c>
      <c r="B1463" s="1">
        <v>45728</v>
      </c>
      <c r="C1463" t="s">
        <v>19</v>
      </c>
      <c r="D1463">
        <v>189</v>
      </c>
      <c r="E1463" t="s">
        <v>14</v>
      </c>
      <c r="F1463">
        <v>12</v>
      </c>
      <c r="G1463" t="s">
        <v>15</v>
      </c>
      <c r="H1463">
        <v>1</v>
      </c>
      <c r="I1463">
        <v>10</v>
      </c>
      <c r="J1463">
        <v>15</v>
      </c>
      <c r="K1463" t="s">
        <v>17</v>
      </c>
      <c r="L1463" t="s">
        <v>17</v>
      </c>
      <c r="M1463">
        <f>IF(Table1[[#This Row],[ألغى الاشتراك]]="نعم",1,0)</f>
        <v>0</v>
      </c>
      <c r="N1463">
        <f>IF(Table1[[#This Row],[وسيلة الدفع]]="بطاقة",1,0)</f>
        <v>1</v>
      </c>
      <c r="O1463">
        <f>IF(Table1[[#This Row],[وسيلة الدفع]]="محفظة",1,0)</f>
        <v>0</v>
      </c>
      <c r="P1463">
        <f>IF(Table1[[#This Row],[وسيلة الدفع]]="تحويل",1,0)</f>
        <v>0</v>
      </c>
      <c r="Q1463">
        <f>IF(Table1[[#This Row],[حضر التهيئة]]="نعم",1,0)</f>
        <v>0</v>
      </c>
      <c r="R1463">
        <f>IF(Table1[[#This Row],[دورة الفوترة]]="شهري",1,0)</f>
        <v>1</v>
      </c>
    </row>
    <row r="1464" spans="1:18" x14ac:dyDescent="0.25">
      <c r="A1464" t="s">
        <v>1484</v>
      </c>
      <c r="B1464" s="1">
        <v>45679</v>
      </c>
      <c r="C1464" t="s">
        <v>13</v>
      </c>
      <c r="D1464">
        <v>89</v>
      </c>
      <c r="E1464" t="s">
        <v>20</v>
      </c>
      <c r="F1464">
        <v>4</v>
      </c>
      <c r="G1464" t="s">
        <v>15</v>
      </c>
      <c r="H1464">
        <v>2</v>
      </c>
      <c r="I1464">
        <v>48</v>
      </c>
      <c r="J1464">
        <v>5</v>
      </c>
      <c r="K1464" t="s">
        <v>17</v>
      </c>
      <c r="L1464" t="s">
        <v>17</v>
      </c>
      <c r="M1464">
        <f>IF(Table1[[#This Row],[ألغى الاشتراك]]="نعم",1,0)</f>
        <v>0</v>
      </c>
      <c r="N1464">
        <f>IF(Table1[[#This Row],[وسيلة الدفع]]="بطاقة",1,0)</f>
        <v>1</v>
      </c>
      <c r="O1464">
        <f>IF(Table1[[#This Row],[وسيلة الدفع]]="محفظة",1,0)</f>
        <v>0</v>
      </c>
      <c r="P1464">
        <f>IF(Table1[[#This Row],[وسيلة الدفع]]="تحويل",1,0)</f>
        <v>0</v>
      </c>
      <c r="Q1464">
        <f>IF(Table1[[#This Row],[حضر التهيئة]]="نعم",1,0)</f>
        <v>0</v>
      </c>
      <c r="R1464">
        <f>IF(Table1[[#This Row],[دورة الفوترة]]="شهري",1,0)</f>
        <v>0</v>
      </c>
    </row>
    <row r="1465" spans="1:18" x14ac:dyDescent="0.25">
      <c r="A1465" t="s">
        <v>1485</v>
      </c>
      <c r="B1465" s="1">
        <v>45720</v>
      </c>
      <c r="C1465" t="s">
        <v>13</v>
      </c>
      <c r="D1465">
        <v>89</v>
      </c>
      <c r="E1465" t="s">
        <v>20</v>
      </c>
      <c r="F1465">
        <v>22</v>
      </c>
      <c r="G1465" t="s">
        <v>23</v>
      </c>
      <c r="H1465">
        <v>2</v>
      </c>
      <c r="I1465">
        <v>18</v>
      </c>
      <c r="J1465">
        <v>15</v>
      </c>
      <c r="K1465" t="s">
        <v>16</v>
      </c>
      <c r="L1465" t="s">
        <v>17</v>
      </c>
      <c r="M1465">
        <f>IF(Table1[[#This Row],[ألغى الاشتراك]]="نعم",1,0)</f>
        <v>0</v>
      </c>
      <c r="N1465">
        <f>IF(Table1[[#This Row],[وسيلة الدفع]]="بطاقة",1,0)</f>
        <v>0</v>
      </c>
      <c r="O1465">
        <f>IF(Table1[[#This Row],[وسيلة الدفع]]="محفظة",1,0)</f>
        <v>0</v>
      </c>
      <c r="P1465">
        <f>IF(Table1[[#This Row],[وسيلة الدفع]]="تحويل",1,0)</f>
        <v>1</v>
      </c>
      <c r="Q1465">
        <f>IF(Table1[[#This Row],[حضر التهيئة]]="نعم",1,0)</f>
        <v>1</v>
      </c>
      <c r="R1465">
        <f>IF(Table1[[#This Row],[دورة الفوترة]]="شهري",1,0)</f>
        <v>0</v>
      </c>
    </row>
    <row r="1466" spans="1:18" x14ac:dyDescent="0.25">
      <c r="A1466" t="s">
        <v>1486</v>
      </c>
      <c r="B1466" s="1">
        <v>45509</v>
      </c>
      <c r="C1466" t="s">
        <v>19</v>
      </c>
      <c r="D1466">
        <v>189</v>
      </c>
      <c r="E1466" t="s">
        <v>20</v>
      </c>
      <c r="F1466">
        <v>2</v>
      </c>
      <c r="G1466" t="s">
        <v>15</v>
      </c>
      <c r="H1466">
        <v>2</v>
      </c>
      <c r="I1466">
        <v>20</v>
      </c>
      <c r="J1466">
        <v>0</v>
      </c>
      <c r="K1466" t="s">
        <v>17</v>
      </c>
      <c r="L1466" t="s">
        <v>17</v>
      </c>
      <c r="M1466">
        <f>IF(Table1[[#This Row],[ألغى الاشتراك]]="نعم",1,0)</f>
        <v>0</v>
      </c>
      <c r="N1466">
        <f>IF(Table1[[#This Row],[وسيلة الدفع]]="بطاقة",1,0)</f>
        <v>1</v>
      </c>
      <c r="O1466">
        <f>IF(Table1[[#This Row],[وسيلة الدفع]]="محفظة",1,0)</f>
        <v>0</v>
      </c>
      <c r="P1466">
        <f>IF(Table1[[#This Row],[وسيلة الدفع]]="تحويل",1,0)</f>
        <v>0</v>
      </c>
      <c r="Q1466">
        <f>IF(Table1[[#This Row],[حضر التهيئة]]="نعم",1,0)</f>
        <v>0</v>
      </c>
      <c r="R1466">
        <f>IF(Table1[[#This Row],[دورة الفوترة]]="شهري",1,0)</f>
        <v>0</v>
      </c>
    </row>
    <row r="1467" spans="1:18" x14ac:dyDescent="0.25">
      <c r="A1467" t="s">
        <v>1487</v>
      </c>
      <c r="B1467" s="1">
        <v>45922</v>
      </c>
      <c r="C1467" t="s">
        <v>13</v>
      </c>
      <c r="D1467">
        <v>89</v>
      </c>
      <c r="E1467" t="s">
        <v>14</v>
      </c>
      <c r="F1467">
        <v>15</v>
      </c>
      <c r="G1467" t="s">
        <v>15</v>
      </c>
      <c r="H1467">
        <v>1</v>
      </c>
      <c r="I1467">
        <v>13</v>
      </c>
      <c r="J1467">
        <v>0</v>
      </c>
      <c r="K1467" t="s">
        <v>17</v>
      </c>
      <c r="L1467" t="s">
        <v>17</v>
      </c>
      <c r="M1467">
        <f>IF(Table1[[#This Row],[ألغى الاشتراك]]="نعم",1,0)</f>
        <v>0</v>
      </c>
      <c r="N1467">
        <f>IF(Table1[[#This Row],[وسيلة الدفع]]="بطاقة",1,0)</f>
        <v>1</v>
      </c>
      <c r="O1467">
        <f>IF(Table1[[#This Row],[وسيلة الدفع]]="محفظة",1,0)</f>
        <v>0</v>
      </c>
      <c r="P1467">
        <f>IF(Table1[[#This Row],[وسيلة الدفع]]="تحويل",1,0)</f>
        <v>0</v>
      </c>
      <c r="Q1467">
        <f>IF(Table1[[#This Row],[حضر التهيئة]]="نعم",1,0)</f>
        <v>0</v>
      </c>
      <c r="R1467">
        <f>IF(Table1[[#This Row],[دورة الفوترة]]="شهري",1,0)</f>
        <v>1</v>
      </c>
    </row>
    <row r="1468" spans="1:18" x14ac:dyDescent="0.25">
      <c r="A1468" t="s">
        <v>1488</v>
      </c>
      <c r="B1468" s="1">
        <v>45454</v>
      </c>
      <c r="C1468" t="s">
        <v>13</v>
      </c>
      <c r="D1468">
        <v>89</v>
      </c>
      <c r="E1468" t="s">
        <v>14</v>
      </c>
      <c r="F1468">
        <v>22</v>
      </c>
      <c r="G1468" t="s">
        <v>21</v>
      </c>
      <c r="H1468">
        <v>5</v>
      </c>
      <c r="I1468">
        <v>22</v>
      </c>
      <c r="J1468">
        <v>0</v>
      </c>
      <c r="K1468" t="s">
        <v>16</v>
      </c>
      <c r="L1468" t="s">
        <v>17</v>
      </c>
      <c r="M1468">
        <f>IF(Table1[[#This Row],[ألغى الاشتراك]]="نعم",1,0)</f>
        <v>0</v>
      </c>
      <c r="N1468">
        <f>IF(Table1[[#This Row],[وسيلة الدفع]]="بطاقة",1,0)</f>
        <v>0</v>
      </c>
      <c r="O1468">
        <f>IF(Table1[[#This Row],[وسيلة الدفع]]="محفظة",1,0)</f>
        <v>1</v>
      </c>
      <c r="P1468">
        <f>IF(Table1[[#This Row],[وسيلة الدفع]]="تحويل",1,0)</f>
        <v>0</v>
      </c>
      <c r="Q1468">
        <f>IF(Table1[[#This Row],[حضر التهيئة]]="نعم",1,0)</f>
        <v>1</v>
      </c>
      <c r="R1468">
        <f>IF(Table1[[#This Row],[دورة الفوترة]]="شهري",1,0)</f>
        <v>1</v>
      </c>
    </row>
    <row r="1469" spans="1:18" x14ac:dyDescent="0.25">
      <c r="A1469" t="s">
        <v>1489</v>
      </c>
      <c r="B1469" s="1">
        <v>45973</v>
      </c>
      <c r="C1469" t="s">
        <v>28</v>
      </c>
      <c r="D1469">
        <v>39</v>
      </c>
      <c r="E1469" t="s">
        <v>20</v>
      </c>
      <c r="F1469">
        <v>9</v>
      </c>
      <c r="G1469" t="s">
        <v>15</v>
      </c>
      <c r="H1469">
        <v>1</v>
      </c>
      <c r="I1469">
        <v>57</v>
      </c>
      <c r="J1469">
        <v>0</v>
      </c>
      <c r="K1469" t="s">
        <v>16</v>
      </c>
      <c r="L1469" t="s">
        <v>17</v>
      </c>
      <c r="M1469">
        <f>IF(Table1[[#This Row],[ألغى الاشتراك]]="نعم",1,0)</f>
        <v>0</v>
      </c>
      <c r="N1469">
        <f>IF(Table1[[#This Row],[وسيلة الدفع]]="بطاقة",1,0)</f>
        <v>1</v>
      </c>
      <c r="O1469">
        <f>IF(Table1[[#This Row],[وسيلة الدفع]]="محفظة",1,0)</f>
        <v>0</v>
      </c>
      <c r="P1469">
        <f>IF(Table1[[#This Row],[وسيلة الدفع]]="تحويل",1,0)</f>
        <v>0</v>
      </c>
      <c r="Q1469">
        <f>IF(Table1[[#This Row],[حضر التهيئة]]="نعم",1,0)</f>
        <v>1</v>
      </c>
      <c r="R1469">
        <f>IF(Table1[[#This Row],[دورة الفوترة]]="شهري",1,0)</f>
        <v>0</v>
      </c>
    </row>
    <row r="1470" spans="1:18" x14ac:dyDescent="0.25">
      <c r="A1470" t="s">
        <v>1490</v>
      </c>
      <c r="B1470" s="1">
        <v>45383</v>
      </c>
      <c r="C1470" t="s">
        <v>28</v>
      </c>
      <c r="D1470">
        <v>39</v>
      </c>
      <c r="E1470" t="s">
        <v>14</v>
      </c>
      <c r="F1470">
        <v>24</v>
      </c>
      <c r="G1470" t="s">
        <v>23</v>
      </c>
      <c r="H1470">
        <v>4</v>
      </c>
      <c r="I1470">
        <v>8</v>
      </c>
      <c r="J1470">
        <v>0</v>
      </c>
      <c r="K1470" t="s">
        <v>17</v>
      </c>
      <c r="L1470" t="s">
        <v>17</v>
      </c>
      <c r="M1470">
        <f>IF(Table1[[#This Row],[ألغى الاشتراك]]="نعم",1,0)</f>
        <v>0</v>
      </c>
      <c r="N1470">
        <f>IF(Table1[[#This Row],[وسيلة الدفع]]="بطاقة",1,0)</f>
        <v>0</v>
      </c>
      <c r="O1470">
        <f>IF(Table1[[#This Row],[وسيلة الدفع]]="محفظة",1,0)</f>
        <v>0</v>
      </c>
      <c r="P1470">
        <f>IF(Table1[[#This Row],[وسيلة الدفع]]="تحويل",1,0)</f>
        <v>1</v>
      </c>
      <c r="Q1470">
        <f>IF(Table1[[#This Row],[حضر التهيئة]]="نعم",1,0)</f>
        <v>0</v>
      </c>
      <c r="R1470">
        <f>IF(Table1[[#This Row],[دورة الفوترة]]="شهري",1,0)</f>
        <v>1</v>
      </c>
    </row>
    <row r="1471" spans="1:18" x14ac:dyDescent="0.25">
      <c r="A1471" t="s">
        <v>1491</v>
      </c>
      <c r="B1471" s="1">
        <v>45906</v>
      </c>
      <c r="C1471" t="s">
        <v>13</v>
      </c>
      <c r="D1471">
        <v>89</v>
      </c>
      <c r="E1471" t="s">
        <v>20</v>
      </c>
      <c r="F1471">
        <v>7</v>
      </c>
      <c r="G1471" t="s">
        <v>23</v>
      </c>
      <c r="H1471">
        <v>0</v>
      </c>
      <c r="I1471">
        <v>37</v>
      </c>
      <c r="J1471">
        <v>0</v>
      </c>
      <c r="K1471" t="s">
        <v>17</v>
      </c>
      <c r="L1471" t="s">
        <v>16</v>
      </c>
      <c r="M1471">
        <f>IF(Table1[[#This Row],[ألغى الاشتراك]]="نعم",1,0)</f>
        <v>1</v>
      </c>
      <c r="N1471">
        <f>IF(Table1[[#This Row],[وسيلة الدفع]]="بطاقة",1,0)</f>
        <v>0</v>
      </c>
      <c r="O1471">
        <f>IF(Table1[[#This Row],[وسيلة الدفع]]="محفظة",1,0)</f>
        <v>0</v>
      </c>
      <c r="P1471">
        <f>IF(Table1[[#This Row],[وسيلة الدفع]]="تحويل",1,0)</f>
        <v>1</v>
      </c>
      <c r="Q1471">
        <f>IF(Table1[[#This Row],[حضر التهيئة]]="نعم",1,0)</f>
        <v>0</v>
      </c>
      <c r="R1471">
        <f>IF(Table1[[#This Row],[دورة الفوترة]]="شهري",1,0)</f>
        <v>0</v>
      </c>
    </row>
    <row r="1472" spans="1:18" x14ac:dyDescent="0.25">
      <c r="A1472" t="s">
        <v>1492</v>
      </c>
      <c r="B1472" s="1">
        <v>45720</v>
      </c>
      <c r="C1472" t="s">
        <v>28</v>
      </c>
      <c r="D1472">
        <v>39</v>
      </c>
      <c r="E1472" t="s">
        <v>14</v>
      </c>
      <c r="F1472">
        <v>12</v>
      </c>
      <c r="G1472" t="s">
        <v>15</v>
      </c>
      <c r="H1472">
        <v>0</v>
      </c>
      <c r="I1472">
        <v>26</v>
      </c>
      <c r="J1472">
        <v>15</v>
      </c>
      <c r="K1472" t="s">
        <v>17</v>
      </c>
      <c r="L1472" t="s">
        <v>17</v>
      </c>
      <c r="M1472">
        <f>IF(Table1[[#This Row],[ألغى الاشتراك]]="نعم",1,0)</f>
        <v>0</v>
      </c>
      <c r="N1472">
        <f>IF(Table1[[#This Row],[وسيلة الدفع]]="بطاقة",1,0)</f>
        <v>1</v>
      </c>
      <c r="O1472">
        <f>IF(Table1[[#This Row],[وسيلة الدفع]]="محفظة",1,0)</f>
        <v>0</v>
      </c>
      <c r="P1472">
        <f>IF(Table1[[#This Row],[وسيلة الدفع]]="تحويل",1,0)</f>
        <v>0</v>
      </c>
      <c r="Q1472">
        <f>IF(Table1[[#This Row],[حضر التهيئة]]="نعم",1,0)</f>
        <v>0</v>
      </c>
      <c r="R1472">
        <f>IF(Table1[[#This Row],[دورة الفوترة]]="شهري",1,0)</f>
        <v>1</v>
      </c>
    </row>
    <row r="1473" spans="1:18" x14ac:dyDescent="0.25">
      <c r="A1473" t="s">
        <v>1493</v>
      </c>
      <c r="B1473" s="1">
        <v>45407</v>
      </c>
      <c r="C1473" t="s">
        <v>13</v>
      </c>
      <c r="D1473">
        <v>89</v>
      </c>
      <c r="E1473" t="s">
        <v>20</v>
      </c>
      <c r="F1473">
        <v>26</v>
      </c>
      <c r="G1473" t="s">
        <v>21</v>
      </c>
      <c r="H1473">
        <v>1</v>
      </c>
      <c r="I1473">
        <v>24</v>
      </c>
      <c r="J1473">
        <v>0</v>
      </c>
      <c r="K1473" t="s">
        <v>16</v>
      </c>
      <c r="L1473" t="s">
        <v>17</v>
      </c>
      <c r="M1473">
        <f>IF(Table1[[#This Row],[ألغى الاشتراك]]="نعم",1,0)</f>
        <v>0</v>
      </c>
      <c r="N1473">
        <f>IF(Table1[[#This Row],[وسيلة الدفع]]="بطاقة",1,0)</f>
        <v>0</v>
      </c>
      <c r="O1473">
        <f>IF(Table1[[#This Row],[وسيلة الدفع]]="محفظة",1,0)</f>
        <v>1</v>
      </c>
      <c r="P1473">
        <f>IF(Table1[[#This Row],[وسيلة الدفع]]="تحويل",1,0)</f>
        <v>0</v>
      </c>
      <c r="Q1473">
        <f>IF(Table1[[#This Row],[حضر التهيئة]]="نعم",1,0)</f>
        <v>1</v>
      </c>
      <c r="R1473">
        <f>IF(Table1[[#This Row],[دورة الفوترة]]="شهري",1,0)</f>
        <v>0</v>
      </c>
    </row>
    <row r="1474" spans="1:18" x14ac:dyDescent="0.25">
      <c r="A1474" t="s">
        <v>1494</v>
      </c>
      <c r="B1474" s="1">
        <v>45663</v>
      </c>
      <c r="C1474" t="s">
        <v>19</v>
      </c>
      <c r="D1474">
        <v>189</v>
      </c>
      <c r="E1474" t="s">
        <v>20</v>
      </c>
      <c r="F1474">
        <v>7</v>
      </c>
      <c r="G1474" t="s">
        <v>23</v>
      </c>
      <c r="H1474">
        <v>0</v>
      </c>
      <c r="I1474">
        <v>15</v>
      </c>
      <c r="J1474">
        <v>0</v>
      </c>
      <c r="K1474" t="s">
        <v>16</v>
      </c>
      <c r="L1474" t="s">
        <v>17</v>
      </c>
      <c r="M1474">
        <f>IF(Table1[[#This Row],[ألغى الاشتراك]]="نعم",1,0)</f>
        <v>0</v>
      </c>
      <c r="N1474">
        <f>IF(Table1[[#This Row],[وسيلة الدفع]]="بطاقة",1,0)</f>
        <v>0</v>
      </c>
      <c r="O1474">
        <f>IF(Table1[[#This Row],[وسيلة الدفع]]="محفظة",1,0)</f>
        <v>0</v>
      </c>
      <c r="P1474">
        <f>IF(Table1[[#This Row],[وسيلة الدفع]]="تحويل",1,0)</f>
        <v>1</v>
      </c>
      <c r="Q1474">
        <f>IF(Table1[[#This Row],[حضر التهيئة]]="نعم",1,0)</f>
        <v>1</v>
      </c>
      <c r="R1474">
        <f>IF(Table1[[#This Row],[دورة الفوترة]]="شهري",1,0)</f>
        <v>0</v>
      </c>
    </row>
    <row r="1475" spans="1:18" x14ac:dyDescent="0.25">
      <c r="A1475" t="s">
        <v>1495</v>
      </c>
      <c r="B1475" s="1">
        <v>45325</v>
      </c>
      <c r="C1475" t="s">
        <v>13</v>
      </c>
      <c r="D1475">
        <v>89</v>
      </c>
      <c r="E1475" t="s">
        <v>20</v>
      </c>
      <c r="F1475">
        <v>30</v>
      </c>
      <c r="G1475" t="s">
        <v>15</v>
      </c>
      <c r="H1475">
        <v>0</v>
      </c>
      <c r="I1475">
        <v>58</v>
      </c>
      <c r="J1475">
        <v>0</v>
      </c>
      <c r="K1475" t="s">
        <v>16</v>
      </c>
      <c r="L1475" t="s">
        <v>17</v>
      </c>
      <c r="M1475">
        <f>IF(Table1[[#This Row],[ألغى الاشتراك]]="نعم",1,0)</f>
        <v>0</v>
      </c>
      <c r="N1475">
        <f>IF(Table1[[#This Row],[وسيلة الدفع]]="بطاقة",1,0)</f>
        <v>1</v>
      </c>
      <c r="O1475">
        <f>IF(Table1[[#This Row],[وسيلة الدفع]]="محفظة",1,0)</f>
        <v>0</v>
      </c>
      <c r="P1475">
        <f>IF(Table1[[#This Row],[وسيلة الدفع]]="تحويل",1,0)</f>
        <v>0</v>
      </c>
      <c r="Q1475">
        <f>IF(Table1[[#This Row],[حضر التهيئة]]="نعم",1,0)</f>
        <v>1</v>
      </c>
      <c r="R1475">
        <f>IF(Table1[[#This Row],[دورة الفوترة]]="شهري",1,0)</f>
        <v>0</v>
      </c>
    </row>
    <row r="1476" spans="1:18" x14ac:dyDescent="0.25">
      <c r="A1476" t="s">
        <v>1496</v>
      </c>
      <c r="B1476" s="1">
        <v>45969</v>
      </c>
      <c r="C1476" t="s">
        <v>13</v>
      </c>
      <c r="D1476">
        <v>89</v>
      </c>
      <c r="E1476" t="s">
        <v>20</v>
      </c>
      <c r="F1476">
        <v>1</v>
      </c>
      <c r="G1476" t="s">
        <v>21</v>
      </c>
      <c r="H1476">
        <v>0</v>
      </c>
      <c r="I1476">
        <v>39</v>
      </c>
      <c r="J1476">
        <v>0</v>
      </c>
      <c r="K1476" t="s">
        <v>16</v>
      </c>
      <c r="L1476" t="s">
        <v>17</v>
      </c>
      <c r="M1476">
        <f>IF(Table1[[#This Row],[ألغى الاشتراك]]="نعم",1,0)</f>
        <v>0</v>
      </c>
      <c r="N1476">
        <f>IF(Table1[[#This Row],[وسيلة الدفع]]="بطاقة",1,0)</f>
        <v>0</v>
      </c>
      <c r="O1476">
        <f>IF(Table1[[#This Row],[وسيلة الدفع]]="محفظة",1,0)</f>
        <v>1</v>
      </c>
      <c r="P1476">
        <f>IF(Table1[[#This Row],[وسيلة الدفع]]="تحويل",1,0)</f>
        <v>0</v>
      </c>
      <c r="Q1476">
        <f>IF(Table1[[#This Row],[حضر التهيئة]]="نعم",1,0)</f>
        <v>1</v>
      </c>
      <c r="R1476">
        <f>IF(Table1[[#This Row],[دورة الفوترة]]="شهري",1,0)</f>
        <v>0</v>
      </c>
    </row>
    <row r="1477" spans="1:18" x14ac:dyDescent="0.25">
      <c r="A1477" t="s">
        <v>1497</v>
      </c>
      <c r="B1477" s="1">
        <v>45525</v>
      </c>
      <c r="C1477" t="s">
        <v>19</v>
      </c>
      <c r="D1477">
        <v>189</v>
      </c>
      <c r="E1477" t="s">
        <v>20</v>
      </c>
      <c r="F1477">
        <v>22</v>
      </c>
      <c r="G1477" t="s">
        <v>23</v>
      </c>
      <c r="H1477">
        <v>10</v>
      </c>
      <c r="I1477">
        <v>58</v>
      </c>
      <c r="J1477">
        <v>0</v>
      </c>
      <c r="K1477" t="s">
        <v>17</v>
      </c>
      <c r="L1477" t="s">
        <v>16</v>
      </c>
      <c r="M1477">
        <f>IF(Table1[[#This Row],[ألغى الاشتراك]]="نعم",1,0)</f>
        <v>1</v>
      </c>
      <c r="N1477">
        <f>IF(Table1[[#This Row],[وسيلة الدفع]]="بطاقة",1,0)</f>
        <v>0</v>
      </c>
      <c r="O1477">
        <f>IF(Table1[[#This Row],[وسيلة الدفع]]="محفظة",1,0)</f>
        <v>0</v>
      </c>
      <c r="P1477">
        <f>IF(Table1[[#This Row],[وسيلة الدفع]]="تحويل",1,0)</f>
        <v>1</v>
      </c>
      <c r="Q1477">
        <f>IF(Table1[[#This Row],[حضر التهيئة]]="نعم",1,0)</f>
        <v>0</v>
      </c>
      <c r="R1477">
        <f>IF(Table1[[#This Row],[دورة الفوترة]]="شهري",1,0)</f>
        <v>0</v>
      </c>
    </row>
    <row r="1478" spans="1:18" x14ac:dyDescent="0.25">
      <c r="A1478" t="s">
        <v>1498</v>
      </c>
      <c r="B1478" s="1">
        <v>45667</v>
      </c>
      <c r="C1478" t="s">
        <v>13</v>
      </c>
      <c r="D1478">
        <v>89</v>
      </c>
      <c r="E1478" t="s">
        <v>14</v>
      </c>
      <c r="F1478">
        <v>21</v>
      </c>
      <c r="G1478" t="s">
        <v>23</v>
      </c>
      <c r="H1478">
        <v>0</v>
      </c>
      <c r="I1478">
        <v>31</v>
      </c>
      <c r="J1478">
        <v>0</v>
      </c>
      <c r="K1478" t="s">
        <v>17</v>
      </c>
      <c r="L1478" t="s">
        <v>17</v>
      </c>
      <c r="M1478">
        <f>IF(Table1[[#This Row],[ألغى الاشتراك]]="نعم",1,0)</f>
        <v>0</v>
      </c>
      <c r="N1478">
        <f>IF(Table1[[#This Row],[وسيلة الدفع]]="بطاقة",1,0)</f>
        <v>0</v>
      </c>
      <c r="O1478">
        <f>IF(Table1[[#This Row],[وسيلة الدفع]]="محفظة",1,0)</f>
        <v>0</v>
      </c>
      <c r="P1478">
        <f>IF(Table1[[#This Row],[وسيلة الدفع]]="تحويل",1,0)</f>
        <v>1</v>
      </c>
      <c r="Q1478">
        <f>IF(Table1[[#This Row],[حضر التهيئة]]="نعم",1,0)</f>
        <v>0</v>
      </c>
      <c r="R1478">
        <f>IF(Table1[[#This Row],[دورة الفوترة]]="شهري",1,0)</f>
        <v>1</v>
      </c>
    </row>
    <row r="1479" spans="1:18" x14ac:dyDescent="0.25">
      <c r="A1479" t="s">
        <v>1499</v>
      </c>
      <c r="B1479" s="1">
        <v>45329</v>
      </c>
      <c r="C1479" t="s">
        <v>19</v>
      </c>
      <c r="D1479">
        <v>189</v>
      </c>
      <c r="E1479" t="s">
        <v>14</v>
      </c>
      <c r="F1479">
        <v>14</v>
      </c>
      <c r="G1479" t="s">
        <v>23</v>
      </c>
      <c r="H1479">
        <v>2</v>
      </c>
      <c r="I1479">
        <v>48</v>
      </c>
      <c r="J1479">
        <v>0</v>
      </c>
      <c r="K1479" t="s">
        <v>16</v>
      </c>
      <c r="L1479" t="s">
        <v>17</v>
      </c>
      <c r="M1479">
        <f>IF(Table1[[#This Row],[ألغى الاشتراك]]="نعم",1,0)</f>
        <v>0</v>
      </c>
      <c r="N1479">
        <f>IF(Table1[[#This Row],[وسيلة الدفع]]="بطاقة",1,0)</f>
        <v>0</v>
      </c>
      <c r="O1479">
        <f>IF(Table1[[#This Row],[وسيلة الدفع]]="محفظة",1,0)</f>
        <v>0</v>
      </c>
      <c r="P1479">
        <f>IF(Table1[[#This Row],[وسيلة الدفع]]="تحويل",1,0)</f>
        <v>1</v>
      </c>
      <c r="Q1479">
        <f>IF(Table1[[#This Row],[حضر التهيئة]]="نعم",1,0)</f>
        <v>1</v>
      </c>
      <c r="R1479">
        <f>IF(Table1[[#This Row],[دورة الفوترة]]="شهري",1,0)</f>
        <v>1</v>
      </c>
    </row>
    <row r="1480" spans="1:18" x14ac:dyDescent="0.25">
      <c r="A1480" t="s">
        <v>1500</v>
      </c>
      <c r="B1480" s="1">
        <v>45965</v>
      </c>
      <c r="C1480" t="s">
        <v>28</v>
      </c>
      <c r="D1480">
        <v>39</v>
      </c>
      <c r="E1480" t="s">
        <v>14</v>
      </c>
      <c r="F1480">
        <v>25</v>
      </c>
      <c r="G1480" t="s">
        <v>21</v>
      </c>
      <c r="H1480">
        <v>1</v>
      </c>
      <c r="I1480">
        <v>17</v>
      </c>
      <c r="J1480">
        <v>0</v>
      </c>
      <c r="K1480" t="s">
        <v>16</v>
      </c>
      <c r="L1480" t="s">
        <v>17</v>
      </c>
      <c r="M1480">
        <f>IF(Table1[[#This Row],[ألغى الاشتراك]]="نعم",1,0)</f>
        <v>0</v>
      </c>
      <c r="N1480">
        <f>IF(Table1[[#This Row],[وسيلة الدفع]]="بطاقة",1,0)</f>
        <v>0</v>
      </c>
      <c r="O1480">
        <f>IF(Table1[[#This Row],[وسيلة الدفع]]="محفظة",1,0)</f>
        <v>1</v>
      </c>
      <c r="P1480">
        <f>IF(Table1[[#This Row],[وسيلة الدفع]]="تحويل",1,0)</f>
        <v>0</v>
      </c>
      <c r="Q1480">
        <f>IF(Table1[[#This Row],[حضر التهيئة]]="نعم",1,0)</f>
        <v>1</v>
      </c>
      <c r="R1480">
        <f>IF(Table1[[#This Row],[دورة الفوترة]]="شهري",1,0)</f>
        <v>1</v>
      </c>
    </row>
    <row r="1481" spans="1:18" x14ac:dyDescent="0.25">
      <c r="A1481" t="s">
        <v>1501</v>
      </c>
      <c r="B1481" s="1">
        <v>45387</v>
      </c>
      <c r="C1481" t="s">
        <v>19</v>
      </c>
      <c r="D1481">
        <v>189</v>
      </c>
      <c r="E1481" t="s">
        <v>20</v>
      </c>
      <c r="F1481">
        <v>30</v>
      </c>
      <c r="G1481" t="s">
        <v>15</v>
      </c>
      <c r="H1481">
        <v>9</v>
      </c>
      <c r="I1481">
        <v>44</v>
      </c>
      <c r="J1481">
        <v>0</v>
      </c>
      <c r="K1481" t="s">
        <v>17</v>
      </c>
      <c r="L1481" t="s">
        <v>17</v>
      </c>
      <c r="M1481">
        <f>IF(Table1[[#This Row],[ألغى الاشتراك]]="نعم",1,0)</f>
        <v>0</v>
      </c>
      <c r="N1481">
        <f>IF(Table1[[#This Row],[وسيلة الدفع]]="بطاقة",1,0)</f>
        <v>1</v>
      </c>
      <c r="O1481">
        <f>IF(Table1[[#This Row],[وسيلة الدفع]]="محفظة",1,0)</f>
        <v>0</v>
      </c>
      <c r="P1481">
        <f>IF(Table1[[#This Row],[وسيلة الدفع]]="تحويل",1,0)</f>
        <v>0</v>
      </c>
      <c r="Q1481">
        <f>IF(Table1[[#This Row],[حضر التهيئة]]="نعم",1,0)</f>
        <v>0</v>
      </c>
      <c r="R1481">
        <f>IF(Table1[[#This Row],[دورة الفوترة]]="شهري",1,0)</f>
        <v>0</v>
      </c>
    </row>
    <row r="1482" spans="1:18" x14ac:dyDescent="0.25">
      <c r="A1482" t="s">
        <v>1502</v>
      </c>
      <c r="B1482" s="1">
        <v>45783</v>
      </c>
      <c r="C1482" t="s">
        <v>13</v>
      </c>
      <c r="D1482">
        <v>89</v>
      </c>
      <c r="E1482" t="s">
        <v>20</v>
      </c>
      <c r="F1482">
        <v>1</v>
      </c>
      <c r="G1482" t="s">
        <v>15</v>
      </c>
      <c r="H1482">
        <v>5</v>
      </c>
      <c r="I1482">
        <v>27</v>
      </c>
      <c r="J1482">
        <v>0</v>
      </c>
      <c r="K1482" t="s">
        <v>16</v>
      </c>
      <c r="L1482" t="s">
        <v>17</v>
      </c>
      <c r="M1482">
        <f>IF(Table1[[#This Row],[ألغى الاشتراك]]="نعم",1,0)</f>
        <v>0</v>
      </c>
      <c r="N1482">
        <f>IF(Table1[[#This Row],[وسيلة الدفع]]="بطاقة",1,0)</f>
        <v>1</v>
      </c>
      <c r="O1482">
        <f>IF(Table1[[#This Row],[وسيلة الدفع]]="محفظة",1,0)</f>
        <v>0</v>
      </c>
      <c r="P1482">
        <f>IF(Table1[[#This Row],[وسيلة الدفع]]="تحويل",1,0)</f>
        <v>0</v>
      </c>
      <c r="Q1482">
        <f>IF(Table1[[#This Row],[حضر التهيئة]]="نعم",1,0)</f>
        <v>1</v>
      </c>
      <c r="R1482">
        <f>IF(Table1[[#This Row],[دورة الفوترة]]="شهري",1,0)</f>
        <v>0</v>
      </c>
    </row>
    <row r="1483" spans="1:18" x14ac:dyDescent="0.25">
      <c r="A1483" t="s">
        <v>1503</v>
      </c>
      <c r="B1483" s="1">
        <v>45446</v>
      </c>
      <c r="C1483" t="s">
        <v>19</v>
      </c>
      <c r="D1483">
        <v>189</v>
      </c>
      <c r="E1483" t="s">
        <v>20</v>
      </c>
      <c r="F1483">
        <v>24</v>
      </c>
      <c r="G1483" t="s">
        <v>23</v>
      </c>
      <c r="H1483">
        <v>0</v>
      </c>
      <c r="I1483">
        <v>14</v>
      </c>
      <c r="J1483">
        <v>0</v>
      </c>
      <c r="K1483" t="s">
        <v>17</v>
      </c>
      <c r="L1483" t="s">
        <v>17</v>
      </c>
      <c r="M1483">
        <f>IF(Table1[[#This Row],[ألغى الاشتراك]]="نعم",1,0)</f>
        <v>0</v>
      </c>
      <c r="N1483">
        <f>IF(Table1[[#This Row],[وسيلة الدفع]]="بطاقة",1,0)</f>
        <v>0</v>
      </c>
      <c r="O1483">
        <f>IF(Table1[[#This Row],[وسيلة الدفع]]="محفظة",1,0)</f>
        <v>0</v>
      </c>
      <c r="P1483">
        <f>IF(Table1[[#This Row],[وسيلة الدفع]]="تحويل",1,0)</f>
        <v>1</v>
      </c>
      <c r="Q1483">
        <f>IF(Table1[[#This Row],[حضر التهيئة]]="نعم",1,0)</f>
        <v>0</v>
      </c>
      <c r="R1483">
        <f>IF(Table1[[#This Row],[دورة الفوترة]]="شهري",1,0)</f>
        <v>0</v>
      </c>
    </row>
    <row r="1484" spans="1:18" x14ac:dyDescent="0.25">
      <c r="A1484" t="s">
        <v>1504</v>
      </c>
      <c r="B1484" s="1">
        <v>45842</v>
      </c>
      <c r="C1484" t="s">
        <v>28</v>
      </c>
      <c r="D1484">
        <v>39</v>
      </c>
      <c r="E1484" t="s">
        <v>14</v>
      </c>
      <c r="F1484">
        <v>19</v>
      </c>
      <c r="G1484" t="s">
        <v>15</v>
      </c>
      <c r="H1484">
        <v>1</v>
      </c>
      <c r="I1484">
        <v>25</v>
      </c>
      <c r="J1484">
        <v>0</v>
      </c>
      <c r="K1484" t="s">
        <v>16</v>
      </c>
      <c r="L1484" t="s">
        <v>17</v>
      </c>
      <c r="M1484">
        <f>IF(Table1[[#This Row],[ألغى الاشتراك]]="نعم",1,0)</f>
        <v>0</v>
      </c>
      <c r="N1484">
        <f>IF(Table1[[#This Row],[وسيلة الدفع]]="بطاقة",1,0)</f>
        <v>1</v>
      </c>
      <c r="O1484">
        <f>IF(Table1[[#This Row],[وسيلة الدفع]]="محفظة",1,0)</f>
        <v>0</v>
      </c>
      <c r="P1484">
        <f>IF(Table1[[#This Row],[وسيلة الدفع]]="تحويل",1,0)</f>
        <v>0</v>
      </c>
      <c r="Q1484">
        <f>IF(Table1[[#This Row],[حضر التهيئة]]="نعم",1,0)</f>
        <v>1</v>
      </c>
      <c r="R1484">
        <f>IF(Table1[[#This Row],[دورة الفوترة]]="شهري",1,0)</f>
        <v>1</v>
      </c>
    </row>
    <row r="1485" spans="1:18" x14ac:dyDescent="0.25">
      <c r="A1485" t="s">
        <v>1505</v>
      </c>
      <c r="B1485" s="1">
        <v>45679</v>
      </c>
      <c r="C1485" t="s">
        <v>13</v>
      </c>
      <c r="D1485">
        <v>89</v>
      </c>
      <c r="E1485" t="s">
        <v>20</v>
      </c>
      <c r="F1485">
        <v>30</v>
      </c>
      <c r="G1485" t="s">
        <v>23</v>
      </c>
      <c r="H1485">
        <v>11</v>
      </c>
      <c r="I1485">
        <v>36</v>
      </c>
      <c r="J1485">
        <v>5</v>
      </c>
      <c r="K1485" t="s">
        <v>16</v>
      </c>
      <c r="L1485" t="s">
        <v>17</v>
      </c>
      <c r="M1485">
        <f>IF(Table1[[#This Row],[ألغى الاشتراك]]="نعم",1,0)</f>
        <v>0</v>
      </c>
      <c r="N1485">
        <f>IF(Table1[[#This Row],[وسيلة الدفع]]="بطاقة",1,0)</f>
        <v>0</v>
      </c>
      <c r="O1485">
        <f>IF(Table1[[#This Row],[وسيلة الدفع]]="محفظة",1,0)</f>
        <v>0</v>
      </c>
      <c r="P1485">
        <f>IF(Table1[[#This Row],[وسيلة الدفع]]="تحويل",1,0)</f>
        <v>1</v>
      </c>
      <c r="Q1485">
        <f>IF(Table1[[#This Row],[حضر التهيئة]]="نعم",1,0)</f>
        <v>1</v>
      </c>
      <c r="R1485">
        <f>IF(Table1[[#This Row],[دورة الفوترة]]="شهري",1,0)</f>
        <v>0</v>
      </c>
    </row>
    <row r="1486" spans="1:18" x14ac:dyDescent="0.25">
      <c r="A1486" t="s">
        <v>1506</v>
      </c>
      <c r="B1486" s="1">
        <v>45846</v>
      </c>
      <c r="C1486" t="s">
        <v>13</v>
      </c>
      <c r="D1486">
        <v>89</v>
      </c>
      <c r="E1486" t="s">
        <v>14</v>
      </c>
      <c r="F1486">
        <v>8</v>
      </c>
      <c r="G1486" t="s">
        <v>21</v>
      </c>
      <c r="H1486">
        <v>2</v>
      </c>
      <c r="I1486">
        <v>20</v>
      </c>
      <c r="J1486">
        <v>15</v>
      </c>
      <c r="K1486" t="s">
        <v>16</v>
      </c>
      <c r="L1486" t="s">
        <v>17</v>
      </c>
      <c r="M1486">
        <f>IF(Table1[[#This Row],[ألغى الاشتراك]]="نعم",1,0)</f>
        <v>0</v>
      </c>
      <c r="N1486">
        <f>IF(Table1[[#This Row],[وسيلة الدفع]]="بطاقة",1,0)</f>
        <v>0</v>
      </c>
      <c r="O1486">
        <f>IF(Table1[[#This Row],[وسيلة الدفع]]="محفظة",1,0)</f>
        <v>1</v>
      </c>
      <c r="P1486">
        <f>IF(Table1[[#This Row],[وسيلة الدفع]]="تحويل",1,0)</f>
        <v>0</v>
      </c>
      <c r="Q1486">
        <f>IF(Table1[[#This Row],[حضر التهيئة]]="نعم",1,0)</f>
        <v>1</v>
      </c>
      <c r="R1486">
        <f>IF(Table1[[#This Row],[دورة الفوترة]]="شهري",1,0)</f>
        <v>1</v>
      </c>
    </row>
    <row r="1487" spans="1:18" x14ac:dyDescent="0.25">
      <c r="A1487" t="s">
        <v>1507</v>
      </c>
      <c r="B1487" s="1">
        <v>45627</v>
      </c>
      <c r="C1487" t="s">
        <v>13</v>
      </c>
      <c r="D1487">
        <v>89</v>
      </c>
      <c r="E1487" t="s">
        <v>20</v>
      </c>
      <c r="F1487">
        <v>12</v>
      </c>
      <c r="G1487" t="s">
        <v>15</v>
      </c>
      <c r="H1487">
        <v>0</v>
      </c>
      <c r="I1487">
        <v>20</v>
      </c>
      <c r="J1487">
        <v>0</v>
      </c>
      <c r="K1487" t="s">
        <v>17</v>
      </c>
      <c r="L1487" t="s">
        <v>17</v>
      </c>
      <c r="M1487">
        <f>IF(Table1[[#This Row],[ألغى الاشتراك]]="نعم",1,0)</f>
        <v>0</v>
      </c>
      <c r="N1487">
        <f>IF(Table1[[#This Row],[وسيلة الدفع]]="بطاقة",1,0)</f>
        <v>1</v>
      </c>
      <c r="O1487">
        <f>IF(Table1[[#This Row],[وسيلة الدفع]]="محفظة",1,0)</f>
        <v>0</v>
      </c>
      <c r="P1487">
        <f>IF(Table1[[#This Row],[وسيلة الدفع]]="تحويل",1,0)</f>
        <v>0</v>
      </c>
      <c r="Q1487">
        <f>IF(Table1[[#This Row],[حضر التهيئة]]="نعم",1,0)</f>
        <v>0</v>
      </c>
      <c r="R1487">
        <f>IF(Table1[[#This Row],[دورة الفوترة]]="شهري",1,0)</f>
        <v>0</v>
      </c>
    </row>
    <row r="1488" spans="1:18" x14ac:dyDescent="0.25">
      <c r="A1488" t="s">
        <v>1508</v>
      </c>
      <c r="B1488" s="1">
        <v>45675</v>
      </c>
      <c r="C1488" t="s">
        <v>19</v>
      </c>
      <c r="D1488">
        <v>189</v>
      </c>
      <c r="E1488" t="s">
        <v>14</v>
      </c>
      <c r="F1488">
        <v>25</v>
      </c>
      <c r="G1488" t="s">
        <v>15</v>
      </c>
      <c r="H1488">
        <v>2</v>
      </c>
      <c r="I1488">
        <v>9</v>
      </c>
      <c r="J1488">
        <v>0</v>
      </c>
      <c r="K1488" t="s">
        <v>16</v>
      </c>
      <c r="L1488" t="s">
        <v>17</v>
      </c>
      <c r="M1488">
        <f>IF(Table1[[#This Row],[ألغى الاشتراك]]="نعم",1,0)</f>
        <v>0</v>
      </c>
      <c r="N1488">
        <f>IF(Table1[[#This Row],[وسيلة الدفع]]="بطاقة",1,0)</f>
        <v>1</v>
      </c>
      <c r="O1488">
        <f>IF(Table1[[#This Row],[وسيلة الدفع]]="محفظة",1,0)</f>
        <v>0</v>
      </c>
      <c r="P1488">
        <f>IF(Table1[[#This Row],[وسيلة الدفع]]="تحويل",1,0)</f>
        <v>0</v>
      </c>
      <c r="Q1488">
        <f>IF(Table1[[#This Row],[حضر التهيئة]]="نعم",1,0)</f>
        <v>1</v>
      </c>
      <c r="R1488">
        <f>IF(Table1[[#This Row],[دورة الفوترة]]="شهري",1,0)</f>
        <v>1</v>
      </c>
    </row>
    <row r="1489" spans="1:18" x14ac:dyDescent="0.25">
      <c r="A1489" t="s">
        <v>1509</v>
      </c>
      <c r="B1489" s="1">
        <v>45584</v>
      </c>
      <c r="C1489" t="s">
        <v>13</v>
      </c>
      <c r="D1489">
        <v>89</v>
      </c>
      <c r="E1489" t="s">
        <v>14</v>
      </c>
      <c r="F1489">
        <v>22</v>
      </c>
      <c r="G1489" t="s">
        <v>23</v>
      </c>
      <c r="H1489">
        <v>8</v>
      </c>
      <c r="I1489">
        <v>30</v>
      </c>
      <c r="J1489">
        <v>0</v>
      </c>
      <c r="K1489" t="s">
        <v>16</v>
      </c>
      <c r="L1489" t="s">
        <v>17</v>
      </c>
      <c r="M1489">
        <f>IF(Table1[[#This Row],[ألغى الاشتراك]]="نعم",1,0)</f>
        <v>0</v>
      </c>
      <c r="N1489">
        <f>IF(Table1[[#This Row],[وسيلة الدفع]]="بطاقة",1,0)</f>
        <v>0</v>
      </c>
      <c r="O1489">
        <f>IF(Table1[[#This Row],[وسيلة الدفع]]="محفظة",1,0)</f>
        <v>0</v>
      </c>
      <c r="P1489">
        <f>IF(Table1[[#This Row],[وسيلة الدفع]]="تحويل",1,0)</f>
        <v>1</v>
      </c>
      <c r="Q1489">
        <f>IF(Table1[[#This Row],[حضر التهيئة]]="نعم",1,0)</f>
        <v>1</v>
      </c>
      <c r="R1489">
        <f>IF(Table1[[#This Row],[دورة الفوترة]]="شهري",1,0)</f>
        <v>1</v>
      </c>
    </row>
    <row r="1490" spans="1:18" x14ac:dyDescent="0.25">
      <c r="A1490" t="s">
        <v>1510</v>
      </c>
      <c r="B1490" s="1">
        <v>45643</v>
      </c>
      <c r="C1490" t="s">
        <v>13</v>
      </c>
      <c r="D1490">
        <v>89</v>
      </c>
      <c r="E1490" t="s">
        <v>14</v>
      </c>
      <c r="F1490">
        <v>23</v>
      </c>
      <c r="G1490" t="s">
        <v>21</v>
      </c>
      <c r="H1490">
        <v>1</v>
      </c>
      <c r="I1490">
        <v>13</v>
      </c>
      <c r="J1490">
        <v>25</v>
      </c>
      <c r="K1490" t="s">
        <v>17</v>
      </c>
      <c r="L1490" t="s">
        <v>17</v>
      </c>
      <c r="M1490">
        <f>IF(Table1[[#This Row],[ألغى الاشتراك]]="نعم",1,0)</f>
        <v>0</v>
      </c>
      <c r="N1490">
        <f>IF(Table1[[#This Row],[وسيلة الدفع]]="بطاقة",1,0)</f>
        <v>0</v>
      </c>
      <c r="O1490">
        <f>IF(Table1[[#This Row],[وسيلة الدفع]]="محفظة",1,0)</f>
        <v>1</v>
      </c>
      <c r="P1490">
        <f>IF(Table1[[#This Row],[وسيلة الدفع]]="تحويل",1,0)</f>
        <v>0</v>
      </c>
      <c r="Q1490">
        <f>IF(Table1[[#This Row],[حضر التهيئة]]="نعم",1,0)</f>
        <v>0</v>
      </c>
      <c r="R1490">
        <f>IF(Table1[[#This Row],[دورة الفوترة]]="شهري",1,0)</f>
        <v>1</v>
      </c>
    </row>
    <row r="1491" spans="1:18" x14ac:dyDescent="0.25">
      <c r="A1491" t="s">
        <v>1511</v>
      </c>
      <c r="B1491" s="1">
        <v>45803</v>
      </c>
      <c r="C1491" t="s">
        <v>19</v>
      </c>
      <c r="D1491">
        <v>189</v>
      </c>
      <c r="E1491" t="s">
        <v>14</v>
      </c>
      <c r="F1491">
        <v>7</v>
      </c>
      <c r="G1491" t="s">
        <v>23</v>
      </c>
      <c r="H1491">
        <v>0</v>
      </c>
      <c r="I1491">
        <v>21</v>
      </c>
      <c r="J1491">
        <v>0</v>
      </c>
      <c r="K1491" t="s">
        <v>17</v>
      </c>
      <c r="L1491" t="s">
        <v>17</v>
      </c>
      <c r="M1491">
        <f>IF(Table1[[#This Row],[ألغى الاشتراك]]="نعم",1,0)</f>
        <v>0</v>
      </c>
      <c r="N1491">
        <f>IF(Table1[[#This Row],[وسيلة الدفع]]="بطاقة",1,0)</f>
        <v>0</v>
      </c>
      <c r="O1491">
        <f>IF(Table1[[#This Row],[وسيلة الدفع]]="محفظة",1,0)</f>
        <v>0</v>
      </c>
      <c r="P1491">
        <f>IF(Table1[[#This Row],[وسيلة الدفع]]="تحويل",1,0)</f>
        <v>1</v>
      </c>
      <c r="Q1491">
        <f>IF(Table1[[#This Row],[حضر التهيئة]]="نعم",1,0)</f>
        <v>0</v>
      </c>
      <c r="R1491">
        <f>IF(Table1[[#This Row],[دورة الفوترة]]="شهري",1,0)</f>
        <v>1</v>
      </c>
    </row>
    <row r="1492" spans="1:18" x14ac:dyDescent="0.25">
      <c r="A1492" t="s">
        <v>1512</v>
      </c>
      <c r="B1492" s="1">
        <v>45744</v>
      </c>
      <c r="C1492" t="s">
        <v>19</v>
      </c>
      <c r="D1492">
        <v>189</v>
      </c>
      <c r="E1492" t="s">
        <v>14</v>
      </c>
      <c r="F1492">
        <v>28</v>
      </c>
      <c r="G1492" t="s">
        <v>23</v>
      </c>
      <c r="H1492">
        <v>2</v>
      </c>
      <c r="I1492">
        <v>4</v>
      </c>
      <c r="J1492">
        <v>15</v>
      </c>
      <c r="K1492" t="s">
        <v>16</v>
      </c>
      <c r="L1492" t="s">
        <v>17</v>
      </c>
      <c r="M1492">
        <f>IF(Table1[[#This Row],[ألغى الاشتراك]]="نعم",1,0)</f>
        <v>0</v>
      </c>
      <c r="N1492">
        <f>IF(Table1[[#This Row],[وسيلة الدفع]]="بطاقة",1,0)</f>
        <v>0</v>
      </c>
      <c r="O1492">
        <f>IF(Table1[[#This Row],[وسيلة الدفع]]="محفظة",1,0)</f>
        <v>0</v>
      </c>
      <c r="P1492">
        <f>IF(Table1[[#This Row],[وسيلة الدفع]]="تحويل",1,0)</f>
        <v>1</v>
      </c>
      <c r="Q1492">
        <f>IF(Table1[[#This Row],[حضر التهيئة]]="نعم",1,0)</f>
        <v>1</v>
      </c>
      <c r="R1492">
        <f>IF(Table1[[#This Row],[دورة الفوترة]]="شهري",1,0)</f>
        <v>1</v>
      </c>
    </row>
    <row r="1493" spans="1:18" x14ac:dyDescent="0.25">
      <c r="A1493" t="s">
        <v>1513</v>
      </c>
      <c r="B1493" s="1">
        <v>45513</v>
      </c>
      <c r="C1493" t="s">
        <v>28</v>
      </c>
      <c r="D1493">
        <v>39</v>
      </c>
      <c r="E1493" t="s">
        <v>14</v>
      </c>
      <c r="F1493">
        <v>12</v>
      </c>
      <c r="G1493" t="s">
        <v>21</v>
      </c>
      <c r="H1493">
        <v>1</v>
      </c>
      <c r="I1493">
        <v>14</v>
      </c>
      <c r="J1493">
        <v>0</v>
      </c>
      <c r="K1493" t="s">
        <v>17</v>
      </c>
      <c r="L1493" t="s">
        <v>17</v>
      </c>
      <c r="M1493">
        <f>IF(Table1[[#This Row],[ألغى الاشتراك]]="نعم",1,0)</f>
        <v>0</v>
      </c>
      <c r="N1493">
        <f>IF(Table1[[#This Row],[وسيلة الدفع]]="بطاقة",1,0)</f>
        <v>0</v>
      </c>
      <c r="O1493">
        <f>IF(Table1[[#This Row],[وسيلة الدفع]]="محفظة",1,0)</f>
        <v>1</v>
      </c>
      <c r="P1493">
        <f>IF(Table1[[#This Row],[وسيلة الدفع]]="تحويل",1,0)</f>
        <v>0</v>
      </c>
      <c r="Q1493">
        <f>IF(Table1[[#This Row],[حضر التهيئة]]="نعم",1,0)</f>
        <v>0</v>
      </c>
      <c r="R1493">
        <f>IF(Table1[[#This Row],[دورة الفوترة]]="شهري",1,0)</f>
        <v>1</v>
      </c>
    </row>
    <row r="1494" spans="1:18" x14ac:dyDescent="0.25">
      <c r="A1494" t="s">
        <v>1514</v>
      </c>
      <c r="B1494" s="1">
        <v>45787</v>
      </c>
      <c r="C1494" t="s">
        <v>13</v>
      </c>
      <c r="D1494">
        <v>89</v>
      </c>
      <c r="E1494" t="s">
        <v>20</v>
      </c>
      <c r="F1494">
        <v>9</v>
      </c>
      <c r="G1494" t="s">
        <v>15</v>
      </c>
      <c r="H1494">
        <v>1</v>
      </c>
      <c r="I1494">
        <v>27</v>
      </c>
      <c r="J1494">
        <v>0</v>
      </c>
      <c r="K1494" t="s">
        <v>16</v>
      </c>
      <c r="L1494" t="s">
        <v>17</v>
      </c>
      <c r="M1494">
        <f>IF(Table1[[#This Row],[ألغى الاشتراك]]="نعم",1,0)</f>
        <v>0</v>
      </c>
      <c r="N1494">
        <f>IF(Table1[[#This Row],[وسيلة الدفع]]="بطاقة",1,0)</f>
        <v>1</v>
      </c>
      <c r="O1494">
        <f>IF(Table1[[#This Row],[وسيلة الدفع]]="محفظة",1,0)</f>
        <v>0</v>
      </c>
      <c r="P1494">
        <f>IF(Table1[[#This Row],[وسيلة الدفع]]="تحويل",1,0)</f>
        <v>0</v>
      </c>
      <c r="Q1494">
        <f>IF(Table1[[#This Row],[حضر التهيئة]]="نعم",1,0)</f>
        <v>1</v>
      </c>
      <c r="R1494">
        <f>IF(Table1[[#This Row],[دورة الفوترة]]="شهري",1,0)</f>
        <v>0</v>
      </c>
    </row>
    <row r="1495" spans="1:18" x14ac:dyDescent="0.25">
      <c r="A1495" t="s">
        <v>1515</v>
      </c>
      <c r="B1495" s="1">
        <v>45572</v>
      </c>
      <c r="C1495" t="s">
        <v>19</v>
      </c>
      <c r="D1495">
        <v>189</v>
      </c>
      <c r="E1495" t="s">
        <v>14</v>
      </c>
      <c r="F1495">
        <v>16</v>
      </c>
      <c r="G1495" t="s">
        <v>21</v>
      </c>
      <c r="H1495">
        <v>3</v>
      </c>
      <c r="I1495">
        <v>34</v>
      </c>
      <c r="J1495">
        <v>0</v>
      </c>
      <c r="K1495" t="s">
        <v>16</v>
      </c>
      <c r="L1495" t="s">
        <v>17</v>
      </c>
      <c r="M1495">
        <f>IF(Table1[[#This Row],[ألغى الاشتراك]]="نعم",1,0)</f>
        <v>0</v>
      </c>
      <c r="N1495">
        <f>IF(Table1[[#This Row],[وسيلة الدفع]]="بطاقة",1,0)</f>
        <v>0</v>
      </c>
      <c r="O1495">
        <f>IF(Table1[[#This Row],[وسيلة الدفع]]="محفظة",1,0)</f>
        <v>1</v>
      </c>
      <c r="P1495">
        <f>IF(Table1[[#This Row],[وسيلة الدفع]]="تحويل",1,0)</f>
        <v>0</v>
      </c>
      <c r="Q1495">
        <f>IF(Table1[[#This Row],[حضر التهيئة]]="نعم",1,0)</f>
        <v>1</v>
      </c>
      <c r="R1495">
        <f>IF(Table1[[#This Row],[دورة الفوترة]]="شهري",1,0)</f>
        <v>1</v>
      </c>
    </row>
    <row r="1496" spans="1:18" x14ac:dyDescent="0.25">
      <c r="A1496" t="s">
        <v>1516</v>
      </c>
      <c r="B1496" s="1">
        <v>45969</v>
      </c>
      <c r="C1496" t="s">
        <v>13</v>
      </c>
      <c r="D1496">
        <v>89</v>
      </c>
      <c r="E1496" t="s">
        <v>14</v>
      </c>
      <c r="F1496">
        <v>17</v>
      </c>
      <c r="G1496" t="s">
        <v>23</v>
      </c>
      <c r="H1496">
        <v>8</v>
      </c>
      <c r="I1496">
        <v>33</v>
      </c>
      <c r="J1496">
        <v>0</v>
      </c>
      <c r="K1496" t="s">
        <v>16</v>
      </c>
      <c r="L1496" t="s">
        <v>17</v>
      </c>
      <c r="M1496">
        <f>IF(Table1[[#This Row],[ألغى الاشتراك]]="نعم",1,0)</f>
        <v>0</v>
      </c>
      <c r="N1496">
        <f>IF(Table1[[#This Row],[وسيلة الدفع]]="بطاقة",1,0)</f>
        <v>0</v>
      </c>
      <c r="O1496">
        <f>IF(Table1[[#This Row],[وسيلة الدفع]]="محفظة",1,0)</f>
        <v>0</v>
      </c>
      <c r="P1496">
        <f>IF(Table1[[#This Row],[وسيلة الدفع]]="تحويل",1,0)</f>
        <v>1</v>
      </c>
      <c r="Q1496">
        <f>IF(Table1[[#This Row],[حضر التهيئة]]="نعم",1,0)</f>
        <v>1</v>
      </c>
      <c r="R1496">
        <f>IF(Table1[[#This Row],[دورة الفوترة]]="شهري",1,0)</f>
        <v>1</v>
      </c>
    </row>
    <row r="1497" spans="1:18" x14ac:dyDescent="0.25">
      <c r="A1497" t="s">
        <v>1517</v>
      </c>
      <c r="B1497" s="1">
        <v>45914</v>
      </c>
      <c r="C1497" t="s">
        <v>13</v>
      </c>
      <c r="D1497">
        <v>89</v>
      </c>
      <c r="E1497" t="s">
        <v>14</v>
      </c>
      <c r="F1497">
        <v>8</v>
      </c>
      <c r="G1497" t="s">
        <v>23</v>
      </c>
      <c r="H1497">
        <v>9</v>
      </c>
      <c r="I1497">
        <v>14</v>
      </c>
      <c r="J1497">
        <v>5</v>
      </c>
      <c r="K1497" t="s">
        <v>17</v>
      </c>
      <c r="L1497" t="s">
        <v>17</v>
      </c>
      <c r="M1497">
        <f>IF(Table1[[#This Row],[ألغى الاشتراك]]="نعم",1,0)</f>
        <v>0</v>
      </c>
      <c r="N1497">
        <f>IF(Table1[[#This Row],[وسيلة الدفع]]="بطاقة",1,0)</f>
        <v>0</v>
      </c>
      <c r="O1497">
        <f>IF(Table1[[#This Row],[وسيلة الدفع]]="محفظة",1,0)</f>
        <v>0</v>
      </c>
      <c r="P1497">
        <f>IF(Table1[[#This Row],[وسيلة الدفع]]="تحويل",1,0)</f>
        <v>1</v>
      </c>
      <c r="Q1497">
        <f>IF(Table1[[#This Row],[حضر التهيئة]]="نعم",1,0)</f>
        <v>0</v>
      </c>
      <c r="R1497">
        <f>IF(Table1[[#This Row],[دورة الفوترة]]="شهري",1,0)</f>
        <v>1</v>
      </c>
    </row>
    <row r="1498" spans="1:18" x14ac:dyDescent="0.25">
      <c r="A1498" t="s">
        <v>1518</v>
      </c>
      <c r="B1498" s="1">
        <v>45858</v>
      </c>
      <c r="C1498" t="s">
        <v>13</v>
      </c>
      <c r="D1498">
        <v>89</v>
      </c>
      <c r="E1498" t="s">
        <v>20</v>
      </c>
      <c r="F1498">
        <v>4</v>
      </c>
      <c r="G1498" t="s">
        <v>23</v>
      </c>
      <c r="H1498">
        <v>1</v>
      </c>
      <c r="I1498">
        <v>24</v>
      </c>
      <c r="J1498">
        <v>15</v>
      </c>
      <c r="K1498" t="s">
        <v>16</v>
      </c>
      <c r="L1498" t="s">
        <v>17</v>
      </c>
      <c r="M1498">
        <f>IF(Table1[[#This Row],[ألغى الاشتراك]]="نعم",1,0)</f>
        <v>0</v>
      </c>
      <c r="N1498">
        <f>IF(Table1[[#This Row],[وسيلة الدفع]]="بطاقة",1,0)</f>
        <v>0</v>
      </c>
      <c r="O1498">
        <f>IF(Table1[[#This Row],[وسيلة الدفع]]="محفظة",1,0)</f>
        <v>0</v>
      </c>
      <c r="P1498">
        <f>IF(Table1[[#This Row],[وسيلة الدفع]]="تحويل",1,0)</f>
        <v>1</v>
      </c>
      <c r="Q1498">
        <f>IF(Table1[[#This Row],[حضر التهيئة]]="نعم",1,0)</f>
        <v>1</v>
      </c>
      <c r="R1498">
        <f>IF(Table1[[#This Row],[دورة الفوترة]]="شهري",1,0)</f>
        <v>0</v>
      </c>
    </row>
    <row r="1499" spans="1:18" x14ac:dyDescent="0.25">
      <c r="A1499" t="s">
        <v>1519</v>
      </c>
      <c r="B1499" s="1">
        <v>45627</v>
      </c>
      <c r="C1499" t="s">
        <v>19</v>
      </c>
      <c r="D1499">
        <v>189</v>
      </c>
      <c r="E1499" t="s">
        <v>14</v>
      </c>
      <c r="F1499">
        <v>6</v>
      </c>
      <c r="G1499" t="s">
        <v>23</v>
      </c>
      <c r="H1499">
        <v>4</v>
      </c>
      <c r="I1499">
        <v>14</v>
      </c>
      <c r="J1499">
        <v>0</v>
      </c>
      <c r="K1499" t="s">
        <v>16</v>
      </c>
      <c r="L1499" t="s">
        <v>17</v>
      </c>
      <c r="M1499">
        <f>IF(Table1[[#This Row],[ألغى الاشتراك]]="نعم",1,0)</f>
        <v>0</v>
      </c>
      <c r="N1499">
        <f>IF(Table1[[#This Row],[وسيلة الدفع]]="بطاقة",1,0)</f>
        <v>0</v>
      </c>
      <c r="O1499">
        <f>IF(Table1[[#This Row],[وسيلة الدفع]]="محفظة",1,0)</f>
        <v>0</v>
      </c>
      <c r="P1499">
        <f>IF(Table1[[#This Row],[وسيلة الدفع]]="تحويل",1,0)</f>
        <v>1</v>
      </c>
      <c r="Q1499">
        <f>IF(Table1[[#This Row],[حضر التهيئة]]="نعم",1,0)</f>
        <v>1</v>
      </c>
      <c r="R1499">
        <f>IF(Table1[[#This Row],[دورة الفوترة]]="شهري",1,0)</f>
        <v>1</v>
      </c>
    </row>
    <row r="1500" spans="1:18" x14ac:dyDescent="0.25">
      <c r="A1500" t="s">
        <v>1520</v>
      </c>
      <c r="B1500" s="1">
        <v>45803</v>
      </c>
      <c r="C1500" t="s">
        <v>28</v>
      </c>
      <c r="D1500">
        <v>39</v>
      </c>
      <c r="E1500" t="s">
        <v>14</v>
      </c>
      <c r="F1500">
        <v>7</v>
      </c>
      <c r="G1500" t="s">
        <v>15</v>
      </c>
      <c r="H1500">
        <v>2</v>
      </c>
      <c r="I1500">
        <v>19</v>
      </c>
      <c r="J1500">
        <v>0</v>
      </c>
      <c r="K1500" t="s">
        <v>17</v>
      </c>
      <c r="L1500" t="s">
        <v>17</v>
      </c>
      <c r="M1500">
        <f>IF(Table1[[#This Row],[ألغى الاشتراك]]="نعم",1,0)</f>
        <v>0</v>
      </c>
      <c r="N1500">
        <f>IF(Table1[[#This Row],[وسيلة الدفع]]="بطاقة",1,0)</f>
        <v>1</v>
      </c>
      <c r="O1500">
        <f>IF(Table1[[#This Row],[وسيلة الدفع]]="محفظة",1,0)</f>
        <v>0</v>
      </c>
      <c r="P1500">
        <f>IF(Table1[[#This Row],[وسيلة الدفع]]="تحويل",1,0)</f>
        <v>0</v>
      </c>
      <c r="Q1500">
        <f>IF(Table1[[#This Row],[حضر التهيئة]]="نعم",1,0)</f>
        <v>0</v>
      </c>
      <c r="R1500">
        <f>IF(Table1[[#This Row],[دورة الفوترة]]="شهري",1,0)</f>
        <v>1</v>
      </c>
    </row>
    <row r="1501" spans="1:18" x14ac:dyDescent="0.25">
      <c r="A1501" t="s">
        <v>1521</v>
      </c>
      <c r="B1501" s="1">
        <v>45592</v>
      </c>
      <c r="C1501" t="s">
        <v>28</v>
      </c>
      <c r="D1501">
        <v>39</v>
      </c>
      <c r="E1501" t="s">
        <v>20</v>
      </c>
      <c r="F1501">
        <v>18</v>
      </c>
      <c r="G1501" t="s">
        <v>21</v>
      </c>
      <c r="H1501">
        <v>2</v>
      </c>
      <c r="I1501">
        <v>38</v>
      </c>
      <c r="J1501">
        <v>0</v>
      </c>
      <c r="K1501" t="s">
        <v>16</v>
      </c>
      <c r="L1501" t="s">
        <v>17</v>
      </c>
      <c r="M1501">
        <f>IF(Table1[[#This Row],[ألغى الاشتراك]]="نعم",1,0)</f>
        <v>0</v>
      </c>
      <c r="N1501">
        <f>IF(Table1[[#This Row],[وسيلة الدفع]]="بطاقة",1,0)</f>
        <v>0</v>
      </c>
      <c r="O1501">
        <f>IF(Table1[[#This Row],[وسيلة الدفع]]="محفظة",1,0)</f>
        <v>1</v>
      </c>
      <c r="P1501">
        <f>IF(Table1[[#This Row],[وسيلة الدفع]]="تحويل",1,0)</f>
        <v>0</v>
      </c>
      <c r="Q1501">
        <f>IF(Table1[[#This Row],[حضر التهيئة]]="نعم",1,0)</f>
        <v>1</v>
      </c>
      <c r="R1501">
        <f>IF(Table1[[#This Row],[دورة الفوترة]]="شهري",1,0)</f>
        <v>0</v>
      </c>
    </row>
    <row r="1502" spans="1:18" x14ac:dyDescent="0.25">
      <c r="A1502" t="s">
        <v>1522</v>
      </c>
      <c r="B1502" s="1">
        <v>45724</v>
      </c>
      <c r="C1502" t="s">
        <v>19</v>
      </c>
      <c r="D1502">
        <v>189</v>
      </c>
      <c r="E1502" t="s">
        <v>20</v>
      </c>
      <c r="F1502">
        <v>19</v>
      </c>
      <c r="G1502" t="s">
        <v>21</v>
      </c>
      <c r="H1502">
        <v>9</v>
      </c>
      <c r="I1502">
        <v>13</v>
      </c>
      <c r="J1502">
        <v>0</v>
      </c>
      <c r="K1502" t="s">
        <v>17</v>
      </c>
      <c r="L1502" t="s">
        <v>17</v>
      </c>
      <c r="M1502">
        <f>IF(Table1[[#This Row],[ألغى الاشتراك]]="نعم",1,0)</f>
        <v>0</v>
      </c>
      <c r="N1502">
        <f>IF(Table1[[#This Row],[وسيلة الدفع]]="بطاقة",1,0)</f>
        <v>0</v>
      </c>
      <c r="O1502">
        <f>IF(Table1[[#This Row],[وسيلة الدفع]]="محفظة",1,0)</f>
        <v>1</v>
      </c>
      <c r="P1502">
        <f>IF(Table1[[#This Row],[وسيلة الدفع]]="تحويل",1,0)</f>
        <v>0</v>
      </c>
      <c r="Q1502">
        <f>IF(Table1[[#This Row],[حضر التهيئة]]="نعم",1,0)</f>
        <v>0</v>
      </c>
      <c r="R1502">
        <f>IF(Table1[[#This Row],[دورة الفوترة]]="شهري",1,0)</f>
        <v>0</v>
      </c>
    </row>
    <row r="1503" spans="1:18" x14ac:dyDescent="0.25">
      <c r="A1503" t="s">
        <v>1523</v>
      </c>
      <c r="B1503" s="1">
        <v>45799</v>
      </c>
      <c r="C1503" t="s">
        <v>13</v>
      </c>
      <c r="D1503">
        <v>89</v>
      </c>
      <c r="E1503" t="s">
        <v>14</v>
      </c>
      <c r="F1503">
        <v>24</v>
      </c>
      <c r="G1503" t="s">
        <v>21</v>
      </c>
      <c r="H1503">
        <v>0</v>
      </c>
      <c r="I1503">
        <v>12</v>
      </c>
      <c r="J1503">
        <v>5</v>
      </c>
      <c r="K1503" t="s">
        <v>17</v>
      </c>
      <c r="L1503" t="s">
        <v>17</v>
      </c>
      <c r="M1503">
        <f>IF(Table1[[#This Row],[ألغى الاشتراك]]="نعم",1,0)</f>
        <v>0</v>
      </c>
      <c r="N1503">
        <f>IF(Table1[[#This Row],[وسيلة الدفع]]="بطاقة",1,0)</f>
        <v>0</v>
      </c>
      <c r="O1503">
        <f>IF(Table1[[#This Row],[وسيلة الدفع]]="محفظة",1,0)</f>
        <v>1</v>
      </c>
      <c r="P1503">
        <f>IF(Table1[[#This Row],[وسيلة الدفع]]="تحويل",1,0)</f>
        <v>0</v>
      </c>
      <c r="Q1503">
        <f>IF(Table1[[#This Row],[حضر التهيئة]]="نعم",1,0)</f>
        <v>0</v>
      </c>
      <c r="R1503">
        <f>IF(Table1[[#This Row],[دورة الفوترة]]="شهري",1,0)</f>
        <v>1</v>
      </c>
    </row>
    <row r="1504" spans="1:18" x14ac:dyDescent="0.25">
      <c r="A1504" t="s">
        <v>1524</v>
      </c>
      <c r="B1504" s="1">
        <v>45454</v>
      </c>
      <c r="C1504" t="s">
        <v>13</v>
      </c>
      <c r="D1504">
        <v>89</v>
      </c>
      <c r="E1504" t="s">
        <v>14</v>
      </c>
      <c r="F1504">
        <v>26</v>
      </c>
      <c r="G1504" t="s">
        <v>23</v>
      </c>
      <c r="H1504">
        <v>1</v>
      </c>
      <c r="I1504">
        <v>4</v>
      </c>
      <c r="J1504">
        <v>0</v>
      </c>
      <c r="K1504" t="s">
        <v>17</v>
      </c>
      <c r="L1504" t="s">
        <v>17</v>
      </c>
      <c r="M1504">
        <f>IF(Table1[[#This Row],[ألغى الاشتراك]]="نعم",1,0)</f>
        <v>0</v>
      </c>
      <c r="N1504">
        <f>IF(Table1[[#This Row],[وسيلة الدفع]]="بطاقة",1,0)</f>
        <v>0</v>
      </c>
      <c r="O1504">
        <f>IF(Table1[[#This Row],[وسيلة الدفع]]="محفظة",1,0)</f>
        <v>0</v>
      </c>
      <c r="P1504">
        <f>IF(Table1[[#This Row],[وسيلة الدفع]]="تحويل",1,0)</f>
        <v>1</v>
      </c>
      <c r="Q1504">
        <f>IF(Table1[[#This Row],[حضر التهيئة]]="نعم",1,0)</f>
        <v>0</v>
      </c>
      <c r="R1504">
        <f>IF(Table1[[#This Row],[دورة الفوترة]]="شهري",1,0)</f>
        <v>1</v>
      </c>
    </row>
    <row r="1505" spans="1:18" x14ac:dyDescent="0.25">
      <c r="A1505" t="s">
        <v>1525</v>
      </c>
      <c r="B1505" s="1">
        <v>45744</v>
      </c>
      <c r="C1505" t="s">
        <v>13</v>
      </c>
      <c r="D1505">
        <v>89</v>
      </c>
      <c r="E1505" t="s">
        <v>14</v>
      </c>
      <c r="F1505">
        <v>17</v>
      </c>
      <c r="G1505" t="s">
        <v>21</v>
      </c>
      <c r="H1505">
        <v>1</v>
      </c>
      <c r="I1505">
        <v>45</v>
      </c>
      <c r="J1505">
        <v>0</v>
      </c>
      <c r="K1505" t="s">
        <v>17</v>
      </c>
      <c r="L1505" t="s">
        <v>17</v>
      </c>
      <c r="M1505">
        <f>IF(Table1[[#This Row],[ألغى الاشتراك]]="نعم",1,0)</f>
        <v>0</v>
      </c>
      <c r="N1505">
        <f>IF(Table1[[#This Row],[وسيلة الدفع]]="بطاقة",1,0)</f>
        <v>0</v>
      </c>
      <c r="O1505">
        <f>IF(Table1[[#This Row],[وسيلة الدفع]]="محفظة",1,0)</f>
        <v>1</v>
      </c>
      <c r="P1505">
        <f>IF(Table1[[#This Row],[وسيلة الدفع]]="تحويل",1,0)</f>
        <v>0</v>
      </c>
      <c r="Q1505">
        <f>IF(Table1[[#This Row],[حضر التهيئة]]="نعم",1,0)</f>
        <v>0</v>
      </c>
      <c r="R1505">
        <f>IF(Table1[[#This Row],[دورة الفوترة]]="شهري",1,0)</f>
        <v>1</v>
      </c>
    </row>
    <row r="1506" spans="1:18" x14ac:dyDescent="0.25">
      <c r="A1506" t="s">
        <v>1526</v>
      </c>
      <c r="B1506" s="1">
        <v>45525</v>
      </c>
      <c r="C1506" t="s">
        <v>13</v>
      </c>
      <c r="D1506">
        <v>89</v>
      </c>
      <c r="E1506" t="s">
        <v>14</v>
      </c>
      <c r="F1506">
        <v>20</v>
      </c>
      <c r="G1506" t="s">
        <v>15</v>
      </c>
      <c r="H1506">
        <v>10</v>
      </c>
      <c r="I1506">
        <v>6</v>
      </c>
      <c r="J1506">
        <v>0</v>
      </c>
      <c r="K1506" t="s">
        <v>16</v>
      </c>
      <c r="L1506" t="s">
        <v>17</v>
      </c>
      <c r="M1506">
        <f>IF(Table1[[#This Row],[ألغى الاشتراك]]="نعم",1,0)</f>
        <v>0</v>
      </c>
      <c r="N1506">
        <f>IF(Table1[[#This Row],[وسيلة الدفع]]="بطاقة",1,0)</f>
        <v>1</v>
      </c>
      <c r="O1506">
        <f>IF(Table1[[#This Row],[وسيلة الدفع]]="محفظة",1,0)</f>
        <v>0</v>
      </c>
      <c r="P1506">
        <f>IF(Table1[[#This Row],[وسيلة الدفع]]="تحويل",1,0)</f>
        <v>0</v>
      </c>
      <c r="Q1506">
        <f>IF(Table1[[#This Row],[حضر التهيئة]]="نعم",1,0)</f>
        <v>1</v>
      </c>
      <c r="R1506">
        <f>IF(Table1[[#This Row],[دورة الفوترة]]="شهري",1,0)</f>
        <v>1</v>
      </c>
    </row>
    <row r="1507" spans="1:18" x14ac:dyDescent="0.25">
      <c r="A1507" t="s">
        <v>1527</v>
      </c>
      <c r="B1507" s="1">
        <v>45675</v>
      </c>
      <c r="C1507" t="s">
        <v>13</v>
      </c>
      <c r="D1507">
        <v>89</v>
      </c>
      <c r="E1507" t="s">
        <v>20</v>
      </c>
      <c r="F1507">
        <v>21</v>
      </c>
      <c r="G1507" t="s">
        <v>21</v>
      </c>
      <c r="H1507">
        <v>0</v>
      </c>
      <c r="I1507">
        <v>31</v>
      </c>
      <c r="J1507">
        <v>0</v>
      </c>
      <c r="K1507" t="s">
        <v>16</v>
      </c>
      <c r="L1507" t="s">
        <v>17</v>
      </c>
      <c r="M1507">
        <f>IF(Table1[[#This Row],[ألغى الاشتراك]]="نعم",1,0)</f>
        <v>0</v>
      </c>
      <c r="N1507">
        <f>IF(Table1[[#This Row],[وسيلة الدفع]]="بطاقة",1,0)</f>
        <v>0</v>
      </c>
      <c r="O1507">
        <f>IF(Table1[[#This Row],[وسيلة الدفع]]="محفظة",1,0)</f>
        <v>1</v>
      </c>
      <c r="P1507">
        <f>IF(Table1[[#This Row],[وسيلة الدفع]]="تحويل",1,0)</f>
        <v>0</v>
      </c>
      <c r="Q1507">
        <f>IF(Table1[[#This Row],[حضر التهيئة]]="نعم",1,0)</f>
        <v>1</v>
      </c>
      <c r="R1507">
        <f>IF(Table1[[#This Row],[دورة الفوترة]]="شهري",1,0)</f>
        <v>0</v>
      </c>
    </row>
    <row r="1508" spans="1:18" x14ac:dyDescent="0.25">
      <c r="A1508" t="s">
        <v>1528</v>
      </c>
      <c r="B1508" s="1">
        <v>45345</v>
      </c>
      <c r="C1508" t="s">
        <v>13</v>
      </c>
      <c r="D1508">
        <v>89</v>
      </c>
      <c r="E1508" t="s">
        <v>14</v>
      </c>
      <c r="F1508">
        <v>26</v>
      </c>
      <c r="G1508" t="s">
        <v>21</v>
      </c>
      <c r="H1508">
        <v>0</v>
      </c>
      <c r="I1508">
        <v>56</v>
      </c>
      <c r="J1508">
        <v>0</v>
      </c>
      <c r="K1508" t="s">
        <v>16</v>
      </c>
      <c r="L1508" t="s">
        <v>17</v>
      </c>
      <c r="M1508">
        <f>IF(Table1[[#This Row],[ألغى الاشتراك]]="نعم",1,0)</f>
        <v>0</v>
      </c>
      <c r="N1508">
        <f>IF(Table1[[#This Row],[وسيلة الدفع]]="بطاقة",1,0)</f>
        <v>0</v>
      </c>
      <c r="O1508">
        <f>IF(Table1[[#This Row],[وسيلة الدفع]]="محفظة",1,0)</f>
        <v>1</v>
      </c>
      <c r="P1508">
        <f>IF(Table1[[#This Row],[وسيلة الدفع]]="تحويل",1,0)</f>
        <v>0</v>
      </c>
      <c r="Q1508">
        <f>IF(Table1[[#This Row],[حضر التهيئة]]="نعم",1,0)</f>
        <v>1</v>
      </c>
      <c r="R1508">
        <f>IF(Table1[[#This Row],[دورة الفوترة]]="شهري",1,0)</f>
        <v>1</v>
      </c>
    </row>
    <row r="1509" spans="1:18" x14ac:dyDescent="0.25">
      <c r="A1509" t="s">
        <v>1529</v>
      </c>
      <c r="B1509" s="1">
        <v>45744</v>
      </c>
      <c r="C1509" t="s">
        <v>19</v>
      </c>
      <c r="D1509">
        <v>189</v>
      </c>
      <c r="E1509" t="s">
        <v>20</v>
      </c>
      <c r="F1509">
        <v>27</v>
      </c>
      <c r="G1509" t="s">
        <v>21</v>
      </c>
      <c r="H1509">
        <v>0</v>
      </c>
      <c r="I1509">
        <v>23</v>
      </c>
      <c r="J1509">
        <v>0</v>
      </c>
      <c r="K1509" t="s">
        <v>17</v>
      </c>
      <c r="L1509" t="s">
        <v>17</v>
      </c>
      <c r="M1509">
        <f>IF(Table1[[#This Row],[ألغى الاشتراك]]="نعم",1,0)</f>
        <v>0</v>
      </c>
      <c r="N1509">
        <f>IF(Table1[[#This Row],[وسيلة الدفع]]="بطاقة",1,0)</f>
        <v>0</v>
      </c>
      <c r="O1509">
        <f>IF(Table1[[#This Row],[وسيلة الدفع]]="محفظة",1,0)</f>
        <v>1</v>
      </c>
      <c r="P1509">
        <f>IF(Table1[[#This Row],[وسيلة الدفع]]="تحويل",1,0)</f>
        <v>0</v>
      </c>
      <c r="Q1509">
        <f>IF(Table1[[#This Row],[حضر التهيئة]]="نعم",1,0)</f>
        <v>0</v>
      </c>
      <c r="R1509">
        <f>IF(Table1[[#This Row],[دورة الفوترة]]="شهري",1,0)</f>
        <v>0</v>
      </c>
    </row>
    <row r="1510" spans="1:18" x14ac:dyDescent="0.25">
      <c r="A1510" t="s">
        <v>1530</v>
      </c>
      <c r="B1510" s="1">
        <v>45643</v>
      </c>
      <c r="C1510" t="s">
        <v>28</v>
      </c>
      <c r="D1510">
        <v>39</v>
      </c>
      <c r="E1510" t="s">
        <v>20</v>
      </c>
      <c r="F1510">
        <v>16</v>
      </c>
      <c r="G1510" t="s">
        <v>23</v>
      </c>
      <c r="H1510">
        <v>3</v>
      </c>
      <c r="I1510">
        <v>14</v>
      </c>
      <c r="J1510">
        <v>0</v>
      </c>
      <c r="K1510" t="s">
        <v>16</v>
      </c>
      <c r="L1510" t="s">
        <v>17</v>
      </c>
      <c r="M1510">
        <f>IF(Table1[[#This Row],[ألغى الاشتراك]]="نعم",1,0)</f>
        <v>0</v>
      </c>
      <c r="N1510">
        <f>IF(Table1[[#This Row],[وسيلة الدفع]]="بطاقة",1,0)</f>
        <v>0</v>
      </c>
      <c r="O1510">
        <f>IF(Table1[[#This Row],[وسيلة الدفع]]="محفظة",1,0)</f>
        <v>0</v>
      </c>
      <c r="P1510">
        <f>IF(Table1[[#This Row],[وسيلة الدفع]]="تحويل",1,0)</f>
        <v>1</v>
      </c>
      <c r="Q1510">
        <f>IF(Table1[[#This Row],[حضر التهيئة]]="نعم",1,0)</f>
        <v>1</v>
      </c>
      <c r="R1510">
        <f>IF(Table1[[#This Row],[دورة الفوترة]]="شهري",1,0)</f>
        <v>0</v>
      </c>
    </row>
    <row r="1511" spans="1:18" x14ac:dyDescent="0.25">
      <c r="A1511" t="s">
        <v>1531</v>
      </c>
      <c r="B1511" s="1">
        <v>45683</v>
      </c>
      <c r="C1511" t="s">
        <v>13</v>
      </c>
      <c r="D1511">
        <v>89</v>
      </c>
      <c r="E1511" t="s">
        <v>14</v>
      </c>
      <c r="F1511">
        <v>17</v>
      </c>
      <c r="G1511" t="s">
        <v>15</v>
      </c>
      <c r="H1511">
        <v>7</v>
      </c>
      <c r="I1511">
        <v>47</v>
      </c>
      <c r="J1511">
        <v>0</v>
      </c>
      <c r="K1511" t="s">
        <v>16</v>
      </c>
      <c r="L1511" t="s">
        <v>17</v>
      </c>
      <c r="M1511">
        <f>IF(Table1[[#This Row],[ألغى الاشتراك]]="نعم",1,0)</f>
        <v>0</v>
      </c>
      <c r="N1511">
        <f>IF(Table1[[#This Row],[وسيلة الدفع]]="بطاقة",1,0)</f>
        <v>1</v>
      </c>
      <c r="O1511">
        <f>IF(Table1[[#This Row],[وسيلة الدفع]]="محفظة",1,0)</f>
        <v>0</v>
      </c>
      <c r="P1511">
        <f>IF(Table1[[#This Row],[وسيلة الدفع]]="تحويل",1,0)</f>
        <v>0</v>
      </c>
      <c r="Q1511">
        <f>IF(Table1[[#This Row],[حضر التهيئة]]="نعم",1,0)</f>
        <v>1</v>
      </c>
      <c r="R1511">
        <f>IF(Table1[[#This Row],[دورة الفوترة]]="شهري",1,0)</f>
        <v>1</v>
      </c>
    </row>
    <row r="1512" spans="1:18" x14ac:dyDescent="0.25">
      <c r="A1512" t="s">
        <v>1532</v>
      </c>
      <c r="B1512" s="1">
        <v>45454</v>
      </c>
      <c r="C1512" t="s">
        <v>13</v>
      </c>
      <c r="D1512">
        <v>89</v>
      </c>
      <c r="E1512" t="s">
        <v>14</v>
      </c>
      <c r="F1512">
        <v>28</v>
      </c>
      <c r="G1512" t="s">
        <v>15</v>
      </c>
      <c r="H1512">
        <v>9</v>
      </c>
      <c r="I1512">
        <v>4</v>
      </c>
      <c r="J1512">
        <v>0</v>
      </c>
      <c r="K1512" t="s">
        <v>17</v>
      </c>
      <c r="L1512" t="s">
        <v>17</v>
      </c>
      <c r="M1512">
        <f>IF(Table1[[#This Row],[ألغى الاشتراك]]="نعم",1,0)</f>
        <v>0</v>
      </c>
      <c r="N1512">
        <f>IF(Table1[[#This Row],[وسيلة الدفع]]="بطاقة",1,0)</f>
        <v>1</v>
      </c>
      <c r="O1512">
        <f>IF(Table1[[#This Row],[وسيلة الدفع]]="محفظة",1,0)</f>
        <v>0</v>
      </c>
      <c r="P1512">
        <f>IF(Table1[[#This Row],[وسيلة الدفع]]="تحويل",1,0)</f>
        <v>0</v>
      </c>
      <c r="Q1512">
        <f>IF(Table1[[#This Row],[حضر التهيئة]]="نعم",1,0)</f>
        <v>0</v>
      </c>
      <c r="R1512">
        <f>IF(Table1[[#This Row],[دورة الفوترة]]="شهري",1,0)</f>
        <v>1</v>
      </c>
    </row>
    <row r="1513" spans="1:18" x14ac:dyDescent="0.25">
      <c r="A1513" t="s">
        <v>1533</v>
      </c>
      <c r="B1513" s="1">
        <v>45724</v>
      </c>
      <c r="C1513" t="s">
        <v>28</v>
      </c>
      <c r="D1513">
        <v>39</v>
      </c>
      <c r="E1513" t="s">
        <v>14</v>
      </c>
      <c r="F1513">
        <v>15</v>
      </c>
      <c r="G1513" t="s">
        <v>23</v>
      </c>
      <c r="H1513">
        <v>0</v>
      </c>
      <c r="I1513">
        <v>25</v>
      </c>
      <c r="J1513">
        <v>0</v>
      </c>
      <c r="K1513" t="s">
        <v>17</v>
      </c>
      <c r="L1513" t="s">
        <v>17</v>
      </c>
      <c r="M1513">
        <f>IF(Table1[[#This Row],[ألغى الاشتراك]]="نعم",1,0)</f>
        <v>0</v>
      </c>
      <c r="N1513">
        <f>IF(Table1[[#This Row],[وسيلة الدفع]]="بطاقة",1,0)</f>
        <v>0</v>
      </c>
      <c r="O1513">
        <f>IF(Table1[[#This Row],[وسيلة الدفع]]="محفظة",1,0)</f>
        <v>0</v>
      </c>
      <c r="P1513">
        <f>IF(Table1[[#This Row],[وسيلة الدفع]]="تحويل",1,0)</f>
        <v>1</v>
      </c>
      <c r="Q1513">
        <f>IF(Table1[[#This Row],[حضر التهيئة]]="نعم",1,0)</f>
        <v>0</v>
      </c>
      <c r="R1513">
        <f>IF(Table1[[#This Row],[دورة الفوترة]]="شهري",1,0)</f>
        <v>1</v>
      </c>
    </row>
    <row r="1514" spans="1:18" x14ac:dyDescent="0.25">
      <c r="A1514" t="s">
        <v>1534</v>
      </c>
      <c r="B1514" s="1">
        <v>45509</v>
      </c>
      <c r="C1514" t="s">
        <v>19</v>
      </c>
      <c r="D1514">
        <v>189</v>
      </c>
      <c r="E1514" t="s">
        <v>14</v>
      </c>
      <c r="F1514">
        <v>16</v>
      </c>
      <c r="G1514" t="s">
        <v>23</v>
      </c>
      <c r="H1514">
        <v>7</v>
      </c>
      <c r="I1514">
        <v>2</v>
      </c>
      <c r="J1514">
        <v>0</v>
      </c>
      <c r="K1514" t="s">
        <v>17</v>
      </c>
      <c r="L1514" t="s">
        <v>17</v>
      </c>
      <c r="M1514">
        <f>IF(Table1[[#This Row],[ألغى الاشتراك]]="نعم",1,0)</f>
        <v>0</v>
      </c>
      <c r="N1514">
        <f>IF(Table1[[#This Row],[وسيلة الدفع]]="بطاقة",1,0)</f>
        <v>0</v>
      </c>
      <c r="O1514">
        <f>IF(Table1[[#This Row],[وسيلة الدفع]]="محفظة",1,0)</f>
        <v>0</v>
      </c>
      <c r="P1514">
        <f>IF(Table1[[#This Row],[وسيلة الدفع]]="تحويل",1,0)</f>
        <v>1</v>
      </c>
      <c r="Q1514">
        <f>IF(Table1[[#This Row],[حضر التهيئة]]="نعم",1,0)</f>
        <v>0</v>
      </c>
      <c r="R1514">
        <f>IF(Table1[[#This Row],[دورة الفوترة]]="شهري",1,0)</f>
        <v>1</v>
      </c>
    </row>
    <row r="1515" spans="1:18" x14ac:dyDescent="0.25">
      <c r="A1515" t="s">
        <v>1535</v>
      </c>
      <c r="B1515" s="1">
        <v>45454</v>
      </c>
      <c r="C1515" t="s">
        <v>19</v>
      </c>
      <c r="D1515">
        <v>189</v>
      </c>
      <c r="E1515" t="s">
        <v>14</v>
      </c>
      <c r="F1515">
        <v>29</v>
      </c>
      <c r="G1515" t="s">
        <v>23</v>
      </c>
      <c r="H1515">
        <v>0</v>
      </c>
      <c r="I1515">
        <v>49</v>
      </c>
      <c r="J1515">
        <v>10</v>
      </c>
      <c r="K1515" t="s">
        <v>17</v>
      </c>
      <c r="L1515" t="s">
        <v>17</v>
      </c>
      <c r="M1515">
        <f>IF(Table1[[#This Row],[ألغى الاشتراك]]="نعم",1,0)</f>
        <v>0</v>
      </c>
      <c r="N1515">
        <f>IF(Table1[[#This Row],[وسيلة الدفع]]="بطاقة",1,0)</f>
        <v>0</v>
      </c>
      <c r="O1515">
        <f>IF(Table1[[#This Row],[وسيلة الدفع]]="محفظة",1,0)</f>
        <v>0</v>
      </c>
      <c r="P1515">
        <f>IF(Table1[[#This Row],[وسيلة الدفع]]="تحويل",1,0)</f>
        <v>1</v>
      </c>
      <c r="Q1515">
        <f>IF(Table1[[#This Row],[حضر التهيئة]]="نعم",1,0)</f>
        <v>0</v>
      </c>
      <c r="R1515">
        <f>IF(Table1[[#This Row],[دورة الفوترة]]="شهري",1,0)</f>
        <v>1</v>
      </c>
    </row>
    <row r="1516" spans="1:18" x14ac:dyDescent="0.25">
      <c r="A1516" t="s">
        <v>1536</v>
      </c>
      <c r="B1516" s="1">
        <v>45858</v>
      </c>
      <c r="C1516" t="s">
        <v>13</v>
      </c>
      <c r="D1516">
        <v>89</v>
      </c>
      <c r="E1516" t="s">
        <v>14</v>
      </c>
      <c r="F1516">
        <v>19</v>
      </c>
      <c r="G1516" t="s">
        <v>23</v>
      </c>
      <c r="H1516">
        <v>1</v>
      </c>
      <c r="I1516">
        <v>47</v>
      </c>
      <c r="J1516">
        <v>0</v>
      </c>
      <c r="K1516" t="s">
        <v>17</v>
      </c>
      <c r="L1516" t="s">
        <v>17</v>
      </c>
      <c r="M1516">
        <f>IF(Table1[[#This Row],[ألغى الاشتراك]]="نعم",1,0)</f>
        <v>0</v>
      </c>
      <c r="N1516">
        <f>IF(Table1[[#This Row],[وسيلة الدفع]]="بطاقة",1,0)</f>
        <v>0</v>
      </c>
      <c r="O1516">
        <f>IF(Table1[[#This Row],[وسيلة الدفع]]="محفظة",1,0)</f>
        <v>0</v>
      </c>
      <c r="P1516">
        <f>IF(Table1[[#This Row],[وسيلة الدفع]]="تحويل",1,0)</f>
        <v>1</v>
      </c>
      <c r="Q1516">
        <f>IF(Table1[[#This Row],[حضر التهيئة]]="نعم",1,0)</f>
        <v>0</v>
      </c>
      <c r="R1516">
        <f>IF(Table1[[#This Row],[دورة الفوترة]]="شهري",1,0)</f>
        <v>1</v>
      </c>
    </row>
    <row r="1517" spans="1:18" x14ac:dyDescent="0.25">
      <c r="A1517" t="s">
        <v>1537</v>
      </c>
      <c r="B1517" s="1">
        <v>45647</v>
      </c>
      <c r="C1517" t="s">
        <v>28</v>
      </c>
      <c r="D1517">
        <v>39</v>
      </c>
      <c r="E1517" t="s">
        <v>20</v>
      </c>
      <c r="F1517">
        <v>22</v>
      </c>
      <c r="G1517" t="s">
        <v>15</v>
      </c>
      <c r="H1517">
        <v>2</v>
      </c>
      <c r="I1517">
        <v>42</v>
      </c>
      <c r="J1517">
        <v>0</v>
      </c>
      <c r="K1517" t="s">
        <v>17</v>
      </c>
      <c r="L1517" t="s">
        <v>17</v>
      </c>
      <c r="M1517">
        <f>IF(Table1[[#This Row],[ألغى الاشتراك]]="نعم",1,0)</f>
        <v>0</v>
      </c>
      <c r="N1517">
        <f>IF(Table1[[#This Row],[وسيلة الدفع]]="بطاقة",1,0)</f>
        <v>1</v>
      </c>
      <c r="O1517">
        <f>IF(Table1[[#This Row],[وسيلة الدفع]]="محفظة",1,0)</f>
        <v>0</v>
      </c>
      <c r="P1517">
        <f>IF(Table1[[#This Row],[وسيلة الدفع]]="تحويل",1,0)</f>
        <v>0</v>
      </c>
      <c r="Q1517">
        <f>IF(Table1[[#This Row],[حضر التهيئة]]="نعم",1,0)</f>
        <v>0</v>
      </c>
      <c r="R1517">
        <f>IF(Table1[[#This Row],[دورة الفوترة]]="شهري",1,0)</f>
        <v>0</v>
      </c>
    </row>
    <row r="1518" spans="1:18" x14ac:dyDescent="0.25">
      <c r="A1518" t="s">
        <v>1538</v>
      </c>
      <c r="B1518" s="1">
        <v>45329</v>
      </c>
      <c r="C1518" t="s">
        <v>28</v>
      </c>
      <c r="D1518">
        <v>39</v>
      </c>
      <c r="E1518" t="s">
        <v>20</v>
      </c>
      <c r="F1518">
        <v>7</v>
      </c>
      <c r="G1518" t="s">
        <v>15</v>
      </c>
      <c r="H1518">
        <v>3</v>
      </c>
      <c r="I1518">
        <v>13</v>
      </c>
      <c r="J1518">
        <v>10</v>
      </c>
      <c r="K1518" t="s">
        <v>17</v>
      </c>
      <c r="L1518" t="s">
        <v>17</v>
      </c>
      <c r="M1518">
        <f>IF(Table1[[#This Row],[ألغى الاشتراك]]="نعم",1,0)</f>
        <v>0</v>
      </c>
      <c r="N1518">
        <f>IF(Table1[[#This Row],[وسيلة الدفع]]="بطاقة",1,0)</f>
        <v>1</v>
      </c>
      <c r="O1518">
        <f>IF(Table1[[#This Row],[وسيلة الدفع]]="محفظة",1,0)</f>
        <v>0</v>
      </c>
      <c r="P1518">
        <f>IF(Table1[[#This Row],[وسيلة الدفع]]="تحويل",1,0)</f>
        <v>0</v>
      </c>
      <c r="Q1518">
        <f>IF(Table1[[#This Row],[حضر التهيئة]]="نعم",1,0)</f>
        <v>0</v>
      </c>
      <c r="R1518">
        <f>IF(Table1[[#This Row],[دورة الفوترة]]="شهري",1,0)</f>
        <v>0</v>
      </c>
    </row>
    <row r="1519" spans="1:18" x14ac:dyDescent="0.25">
      <c r="A1519" t="s">
        <v>1539</v>
      </c>
      <c r="B1519" s="1">
        <v>45399</v>
      </c>
      <c r="C1519" t="s">
        <v>28</v>
      </c>
      <c r="D1519">
        <v>39</v>
      </c>
      <c r="E1519" t="s">
        <v>14</v>
      </c>
      <c r="F1519">
        <v>3</v>
      </c>
      <c r="G1519" t="s">
        <v>15</v>
      </c>
      <c r="H1519">
        <v>0</v>
      </c>
      <c r="I1519">
        <v>41</v>
      </c>
      <c r="J1519">
        <v>25</v>
      </c>
      <c r="K1519" t="s">
        <v>16</v>
      </c>
      <c r="L1519" t="s">
        <v>17</v>
      </c>
      <c r="M1519">
        <f>IF(Table1[[#This Row],[ألغى الاشتراك]]="نعم",1,0)</f>
        <v>0</v>
      </c>
      <c r="N1519">
        <f>IF(Table1[[#This Row],[وسيلة الدفع]]="بطاقة",1,0)</f>
        <v>1</v>
      </c>
      <c r="O1519">
        <f>IF(Table1[[#This Row],[وسيلة الدفع]]="محفظة",1,0)</f>
        <v>0</v>
      </c>
      <c r="P1519">
        <f>IF(Table1[[#This Row],[وسيلة الدفع]]="تحويل",1,0)</f>
        <v>0</v>
      </c>
      <c r="Q1519">
        <f>IF(Table1[[#This Row],[حضر التهيئة]]="نعم",1,0)</f>
        <v>1</v>
      </c>
      <c r="R1519">
        <f>IF(Table1[[#This Row],[دورة الفوترة]]="شهري",1,0)</f>
        <v>1</v>
      </c>
    </row>
    <row r="1520" spans="1:18" x14ac:dyDescent="0.25">
      <c r="A1520" t="s">
        <v>1540</v>
      </c>
      <c r="B1520" s="1">
        <v>45910</v>
      </c>
      <c r="C1520" t="s">
        <v>28</v>
      </c>
      <c r="D1520">
        <v>39</v>
      </c>
      <c r="E1520" t="s">
        <v>14</v>
      </c>
      <c r="F1520">
        <v>9</v>
      </c>
      <c r="G1520" t="s">
        <v>15</v>
      </c>
      <c r="H1520">
        <v>0</v>
      </c>
      <c r="I1520">
        <v>27</v>
      </c>
      <c r="J1520">
        <v>0</v>
      </c>
      <c r="K1520" t="s">
        <v>16</v>
      </c>
      <c r="L1520" t="s">
        <v>17</v>
      </c>
      <c r="M1520">
        <f>IF(Table1[[#This Row],[ألغى الاشتراك]]="نعم",1,0)</f>
        <v>0</v>
      </c>
      <c r="N1520">
        <f>IF(Table1[[#This Row],[وسيلة الدفع]]="بطاقة",1,0)</f>
        <v>1</v>
      </c>
      <c r="O1520">
        <f>IF(Table1[[#This Row],[وسيلة الدفع]]="محفظة",1,0)</f>
        <v>0</v>
      </c>
      <c r="P1520">
        <f>IF(Table1[[#This Row],[وسيلة الدفع]]="تحويل",1,0)</f>
        <v>0</v>
      </c>
      <c r="Q1520">
        <f>IF(Table1[[#This Row],[حضر التهيئة]]="نعم",1,0)</f>
        <v>1</v>
      </c>
      <c r="R1520">
        <f>IF(Table1[[#This Row],[دورة الفوترة]]="شهري",1,0)</f>
        <v>1</v>
      </c>
    </row>
    <row r="1521" spans="1:18" x14ac:dyDescent="0.25">
      <c r="A1521" t="s">
        <v>1541</v>
      </c>
      <c r="B1521" s="1">
        <v>45454</v>
      </c>
      <c r="C1521" t="s">
        <v>19</v>
      </c>
      <c r="D1521">
        <v>189</v>
      </c>
      <c r="E1521" t="s">
        <v>14</v>
      </c>
      <c r="F1521">
        <v>30</v>
      </c>
      <c r="G1521" t="s">
        <v>23</v>
      </c>
      <c r="H1521">
        <v>2</v>
      </c>
      <c r="I1521">
        <v>16</v>
      </c>
      <c r="J1521">
        <v>0</v>
      </c>
      <c r="K1521" t="s">
        <v>16</v>
      </c>
      <c r="L1521" t="s">
        <v>17</v>
      </c>
      <c r="M1521">
        <f>IF(Table1[[#This Row],[ألغى الاشتراك]]="نعم",1,0)</f>
        <v>0</v>
      </c>
      <c r="N1521">
        <f>IF(Table1[[#This Row],[وسيلة الدفع]]="بطاقة",1,0)</f>
        <v>0</v>
      </c>
      <c r="O1521">
        <f>IF(Table1[[#This Row],[وسيلة الدفع]]="محفظة",1,0)</f>
        <v>0</v>
      </c>
      <c r="P1521">
        <f>IF(Table1[[#This Row],[وسيلة الدفع]]="تحويل",1,0)</f>
        <v>1</v>
      </c>
      <c r="Q1521">
        <f>IF(Table1[[#This Row],[حضر التهيئة]]="نعم",1,0)</f>
        <v>1</v>
      </c>
      <c r="R1521">
        <f>IF(Table1[[#This Row],[دورة الفوترة]]="شهري",1,0)</f>
        <v>1</v>
      </c>
    </row>
    <row r="1522" spans="1:18" x14ac:dyDescent="0.25">
      <c r="A1522" t="s">
        <v>1542</v>
      </c>
      <c r="B1522" s="1">
        <v>45858</v>
      </c>
      <c r="C1522" t="s">
        <v>19</v>
      </c>
      <c r="D1522">
        <v>189</v>
      </c>
      <c r="E1522" t="s">
        <v>14</v>
      </c>
      <c r="F1522">
        <v>15</v>
      </c>
      <c r="G1522" t="s">
        <v>23</v>
      </c>
      <c r="H1522">
        <v>0</v>
      </c>
      <c r="I1522">
        <v>17</v>
      </c>
      <c r="J1522">
        <v>0</v>
      </c>
      <c r="K1522" t="s">
        <v>17</v>
      </c>
      <c r="L1522" t="s">
        <v>17</v>
      </c>
      <c r="M1522">
        <f>IF(Table1[[#This Row],[ألغى الاشتراك]]="نعم",1,0)</f>
        <v>0</v>
      </c>
      <c r="N1522">
        <f>IF(Table1[[#This Row],[وسيلة الدفع]]="بطاقة",1,0)</f>
        <v>0</v>
      </c>
      <c r="O1522">
        <f>IF(Table1[[#This Row],[وسيلة الدفع]]="محفظة",1,0)</f>
        <v>0</v>
      </c>
      <c r="P1522">
        <f>IF(Table1[[#This Row],[وسيلة الدفع]]="تحويل",1,0)</f>
        <v>1</v>
      </c>
      <c r="Q1522">
        <f>IF(Table1[[#This Row],[حضر التهيئة]]="نعم",1,0)</f>
        <v>0</v>
      </c>
      <c r="R1522">
        <f>IF(Table1[[#This Row],[دورة الفوترة]]="شهري",1,0)</f>
        <v>1</v>
      </c>
    </row>
    <row r="1523" spans="1:18" x14ac:dyDescent="0.25">
      <c r="A1523" t="s">
        <v>1543</v>
      </c>
      <c r="B1523" s="1">
        <v>45513</v>
      </c>
      <c r="C1523" t="s">
        <v>19</v>
      </c>
      <c r="D1523">
        <v>189</v>
      </c>
      <c r="E1523" t="s">
        <v>14</v>
      </c>
      <c r="F1523">
        <v>18</v>
      </c>
      <c r="G1523" t="s">
        <v>15</v>
      </c>
      <c r="H1523">
        <v>1</v>
      </c>
      <c r="I1523">
        <v>20</v>
      </c>
      <c r="J1523">
        <v>0</v>
      </c>
      <c r="K1523" t="s">
        <v>17</v>
      </c>
      <c r="L1523" t="s">
        <v>17</v>
      </c>
      <c r="M1523">
        <f>IF(Table1[[#This Row],[ألغى الاشتراك]]="نعم",1,0)</f>
        <v>0</v>
      </c>
      <c r="N1523">
        <f>IF(Table1[[#This Row],[وسيلة الدفع]]="بطاقة",1,0)</f>
        <v>1</v>
      </c>
      <c r="O1523">
        <f>IF(Table1[[#This Row],[وسيلة الدفع]]="محفظة",1,0)</f>
        <v>0</v>
      </c>
      <c r="P1523">
        <f>IF(Table1[[#This Row],[وسيلة الدفع]]="تحويل",1,0)</f>
        <v>0</v>
      </c>
      <c r="Q1523">
        <f>IF(Table1[[#This Row],[حضر التهيئة]]="نعم",1,0)</f>
        <v>0</v>
      </c>
      <c r="R1523">
        <f>IF(Table1[[#This Row],[دورة الفوترة]]="شهري",1,0)</f>
        <v>1</v>
      </c>
    </row>
    <row r="1524" spans="1:18" x14ac:dyDescent="0.25">
      <c r="A1524" t="s">
        <v>1544</v>
      </c>
      <c r="B1524" s="1">
        <v>45466</v>
      </c>
      <c r="C1524" t="s">
        <v>28</v>
      </c>
      <c r="D1524">
        <v>39</v>
      </c>
      <c r="E1524" t="s">
        <v>14</v>
      </c>
      <c r="F1524">
        <v>21</v>
      </c>
      <c r="G1524" t="s">
        <v>23</v>
      </c>
      <c r="H1524">
        <v>2</v>
      </c>
      <c r="I1524">
        <v>19</v>
      </c>
      <c r="J1524">
        <v>10</v>
      </c>
      <c r="K1524" t="s">
        <v>16</v>
      </c>
      <c r="L1524" t="s">
        <v>17</v>
      </c>
      <c r="M1524">
        <f>IF(Table1[[#This Row],[ألغى الاشتراك]]="نعم",1,0)</f>
        <v>0</v>
      </c>
      <c r="N1524">
        <f>IF(Table1[[#This Row],[وسيلة الدفع]]="بطاقة",1,0)</f>
        <v>0</v>
      </c>
      <c r="O1524">
        <f>IF(Table1[[#This Row],[وسيلة الدفع]]="محفظة",1,0)</f>
        <v>0</v>
      </c>
      <c r="P1524">
        <f>IF(Table1[[#This Row],[وسيلة الدفع]]="تحويل",1,0)</f>
        <v>1</v>
      </c>
      <c r="Q1524">
        <f>IF(Table1[[#This Row],[حضر التهيئة]]="نعم",1,0)</f>
        <v>1</v>
      </c>
      <c r="R1524">
        <f>IF(Table1[[#This Row],[دورة الفوترة]]="شهري",1,0)</f>
        <v>1</v>
      </c>
    </row>
    <row r="1525" spans="1:18" x14ac:dyDescent="0.25">
      <c r="A1525" t="s">
        <v>1545</v>
      </c>
      <c r="B1525" s="1">
        <v>45858</v>
      </c>
      <c r="C1525" t="s">
        <v>19</v>
      </c>
      <c r="D1525">
        <v>189</v>
      </c>
      <c r="E1525" t="s">
        <v>14</v>
      </c>
      <c r="F1525">
        <v>3</v>
      </c>
      <c r="G1525" t="s">
        <v>21</v>
      </c>
      <c r="H1525">
        <v>2</v>
      </c>
      <c r="I1525">
        <v>21</v>
      </c>
      <c r="J1525">
        <v>0</v>
      </c>
      <c r="K1525" t="s">
        <v>17</v>
      </c>
      <c r="L1525" t="s">
        <v>16</v>
      </c>
      <c r="M1525">
        <f>IF(Table1[[#This Row],[ألغى الاشتراك]]="نعم",1,0)</f>
        <v>1</v>
      </c>
      <c r="N1525">
        <f>IF(Table1[[#This Row],[وسيلة الدفع]]="بطاقة",1,0)</f>
        <v>0</v>
      </c>
      <c r="O1525">
        <f>IF(Table1[[#This Row],[وسيلة الدفع]]="محفظة",1,0)</f>
        <v>1</v>
      </c>
      <c r="P1525">
        <f>IF(Table1[[#This Row],[وسيلة الدفع]]="تحويل",1,0)</f>
        <v>0</v>
      </c>
      <c r="Q1525">
        <f>IF(Table1[[#This Row],[حضر التهيئة]]="نعم",1,0)</f>
        <v>0</v>
      </c>
      <c r="R1525">
        <f>IF(Table1[[#This Row],[دورة الفوترة]]="شهري",1,0)</f>
        <v>1</v>
      </c>
    </row>
    <row r="1526" spans="1:18" x14ac:dyDescent="0.25">
      <c r="A1526" t="s">
        <v>1546</v>
      </c>
      <c r="B1526" s="1">
        <v>45517</v>
      </c>
      <c r="C1526" t="s">
        <v>19</v>
      </c>
      <c r="D1526">
        <v>189</v>
      </c>
      <c r="E1526" t="s">
        <v>14</v>
      </c>
      <c r="F1526">
        <v>18</v>
      </c>
      <c r="G1526" t="s">
        <v>15</v>
      </c>
      <c r="H1526">
        <v>2</v>
      </c>
      <c r="I1526">
        <v>42</v>
      </c>
      <c r="J1526">
        <v>0</v>
      </c>
      <c r="K1526" t="s">
        <v>16</v>
      </c>
      <c r="L1526" t="s">
        <v>17</v>
      </c>
      <c r="M1526">
        <f>IF(Table1[[#This Row],[ألغى الاشتراك]]="نعم",1,0)</f>
        <v>0</v>
      </c>
      <c r="N1526">
        <f>IF(Table1[[#This Row],[وسيلة الدفع]]="بطاقة",1,0)</f>
        <v>1</v>
      </c>
      <c r="O1526">
        <f>IF(Table1[[#This Row],[وسيلة الدفع]]="محفظة",1,0)</f>
        <v>0</v>
      </c>
      <c r="P1526">
        <f>IF(Table1[[#This Row],[وسيلة الدفع]]="تحويل",1,0)</f>
        <v>0</v>
      </c>
      <c r="Q1526">
        <f>IF(Table1[[#This Row],[حضر التهيئة]]="نعم",1,0)</f>
        <v>1</v>
      </c>
      <c r="R1526">
        <f>IF(Table1[[#This Row],[دورة الفوترة]]="شهري",1,0)</f>
        <v>1</v>
      </c>
    </row>
    <row r="1527" spans="1:18" x14ac:dyDescent="0.25">
      <c r="A1527" t="s">
        <v>1547</v>
      </c>
      <c r="B1527" s="1">
        <v>45345</v>
      </c>
      <c r="C1527" t="s">
        <v>28</v>
      </c>
      <c r="D1527">
        <v>39</v>
      </c>
      <c r="E1527" t="s">
        <v>20</v>
      </c>
      <c r="F1527">
        <v>11</v>
      </c>
      <c r="G1527" t="s">
        <v>23</v>
      </c>
      <c r="H1527">
        <v>0</v>
      </c>
      <c r="I1527">
        <v>29</v>
      </c>
      <c r="J1527">
        <v>10</v>
      </c>
      <c r="K1527" t="s">
        <v>17</v>
      </c>
      <c r="L1527" t="s">
        <v>17</v>
      </c>
      <c r="M1527">
        <f>IF(Table1[[#This Row],[ألغى الاشتراك]]="نعم",1,0)</f>
        <v>0</v>
      </c>
      <c r="N1527">
        <f>IF(Table1[[#This Row],[وسيلة الدفع]]="بطاقة",1,0)</f>
        <v>0</v>
      </c>
      <c r="O1527">
        <f>IF(Table1[[#This Row],[وسيلة الدفع]]="محفظة",1,0)</f>
        <v>0</v>
      </c>
      <c r="P1527">
        <f>IF(Table1[[#This Row],[وسيلة الدفع]]="تحويل",1,0)</f>
        <v>1</v>
      </c>
      <c r="Q1527">
        <f>IF(Table1[[#This Row],[حضر التهيئة]]="نعم",1,0)</f>
        <v>0</v>
      </c>
      <c r="R1527">
        <f>IF(Table1[[#This Row],[دورة الفوترة]]="شهري",1,0)</f>
        <v>0</v>
      </c>
    </row>
    <row r="1528" spans="1:18" x14ac:dyDescent="0.25">
      <c r="A1528" t="s">
        <v>1548</v>
      </c>
      <c r="B1528" s="1">
        <v>45862</v>
      </c>
      <c r="C1528" t="s">
        <v>28</v>
      </c>
      <c r="D1528">
        <v>39</v>
      </c>
      <c r="E1528" t="s">
        <v>14</v>
      </c>
      <c r="F1528">
        <v>29</v>
      </c>
      <c r="G1528" t="s">
        <v>21</v>
      </c>
      <c r="H1528">
        <v>9</v>
      </c>
      <c r="I1528">
        <v>25</v>
      </c>
      <c r="J1528">
        <v>0</v>
      </c>
      <c r="K1528" t="s">
        <v>16</v>
      </c>
      <c r="L1528" t="s">
        <v>17</v>
      </c>
      <c r="M1528">
        <f>IF(Table1[[#This Row],[ألغى الاشتراك]]="نعم",1,0)</f>
        <v>0</v>
      </c>
      <c r="N1528">
        <f>IF(Table1[[#This Row],[وسيلة الدفع]]="بطاقة",1,0)</f>
        <v>0</v>
      </c>
      <c r="O1528">
        <f>IF(Table1[[#This Row],[وسيلة الدفع]]="محفظة",1,0)</f>
        <v>1</v>
      </c>
      <c r="P1528">
        <f>IF(Table1[[#This Row],[وسيلة الدفع]]="تحويل",1,0)</f>
        <v>0</v>
      </c>
      <c r="Q1528">
        <f>IF(Table1[[#This Row],[حضر التهيئة]]="نعم",1,0)</f>
        <v>1</v>
      </c>
      <c r="R1528">
        <f>IF(Table1[[#This Row],[دورة الفوترة]]="شهري",1,0)</f>
        <v>1</v>
      </c>
    </row>
    <row r="1529" spans="1:18" x14ac:dyDescent="0.25">
      <c r="A1529" t="s">
        <v>1549</v>
      </c>
      <c r="B1529" s="1">
        <v>45906</v>
      </c>
      <c r="C1529" t="s">
        <v>13</v>
      </c>
      <c r="D1529">
        <v>89</v>
      </c>
      <c r="E1529" t="s">
        <v>14</v>
      </c>
      <c r="F1529">
        <v>18</v>
      </c>
      <c r="G1529" t="s">
        <v>23</v>
      </c>
      <c r="H1529">
        <v>8</v>
      </c>
      <c r="I1529">
        <v>14</v>
      </c>
      <c r="J1529">
        <v>5</v>
      </c>
      <c r="K1529" t="s">
        <v>16</v>
      </c>
      <c r="L1529" t="s">
        <v>16</v>
      </c>
      <c r="M1529">
        <f>IF(Table1[[#This Row],[ألغى الاشتراك]]="نعم",1,0)</f>
        <v>1</v>
      </c>
      <c r="N1529">
        <f>IF(Table1[[#This Row],[وسيلة الدفع]]="بطاقة",1,0)</f>
        <v>0</v>
      </c>
      <c r="O1529">
        <f>IF(Table1[[#This Row],[وسيلة الدفع]]="محفظة",1,0)</f>
        <v>0</v>
      </c>
      <c r="P1529">
        <f>IF(Table1[[#This Row],[وسيلة الدفع]]="تحويل",1,0)</f>
        <v>1</v>
      </c>
      <c r="Q1529">
        <f>IF(Table1[[#This Row],[حضر التهيئة]]="نعم",1,0)</f>
        <v>1</v>
      </c>
      <c r="R1529">
        <f>IF(Table1[[#This Row],[دورة الفوترة]]="شهري",1,0)</f>
        <v>1</v>
      </c>
    </row>
    <row r="1530" spans="1:18" x14ac:dyDescent="0.25">
      <c r="A1530" t="s">
        <v>1550</v>
      </c>
      <c r="B1530" s="1">
        <v>45446</v>
      </c>
      <c r="C1530" t="s">
        <v>13</v>
      </c>
      <c r="D1530">
        <v>89</v>
      </c>
      <c r="E1530" t="s">
        <v>14</v>
      </c>
      <c r="F1530">
        <v>26</v>
      </c>
      <c r="G1530" t="s">
        <v>15</v>
      </c>
      <c r="H1530">
        <v>1</v>
      </c>
      <c r="I1530">
        <v>16</v>
      </c>
      <c r="J1530">
        <v>0</v>
      </c>
      <c r="K1530" t="s">
        <v>16</v>
      </c>
      <c r="L1530" t="s">
        <v>17</v>
      </c>
      <c r="M1530">
        <f>IF(Table1[[#This Row],[ألغى الاشتراك]]="نعم",1,0)</f>
        <v>0</v>
      </c>
      <c r="N1530">
        <f>IF(Table1[[#This Row],[وسيلة الدفع]]="بطاقة",1,0)</f>
        <v>1</v>
      </c>
      <c r="O1530">
        <f>IF(Table1[[#This Row],[وسيلة الدفع]]="محفظة",1,0)</f>
        <v>0</v>
      </c>
      <c r="P1530">
        <f>IF(Table1[[#This Row],[وسيلة الدفع]]="تحويل",1,0)</f>
        <v>0</v>
      </c>
      <c r="Q1530">
        <f>IF(Table1[[#This Row],[حضر التهيئة]]="نعم",1,0)</f>
        <v>1</v>
      </c>
      <c r="R1530">
        <f>IF(Table1[[#This Row],[دورة الفوترة]]="شهري",1,0)</f>
        <v>1</v>
      </c>
    </row>
    <row r="1531" spans="1:18" x14ac:dyDescent="0.25">
      <c r="A1531" t="s">
        <v>1551</v>
      </c>
      <c r="B1531" s="1">
        <v>45842</v>
      </c>
      <c r="C1531" t="s">
        <v>19</v>
      </c>
      <c r="D1531">
        <v>189</v>
      </c>
      <c r="E1531" t="s">
        <v>20</v>
      </c>
      <c r="F1531">
        <v>3</v>
      </c>
      <c r="G1531" t="s">
        <v>23</v>
      </c>
      <c r="H1531">
        <v>11</v>
      </c>
      <c r="I1531">
        <v>11</v>
      </c>
      <c r="J1531">
        <v>0</v>
      </c>
      <c r="K1531" t="s">
        <v>16</v>
      </c>
      <c r="L1531" t="s">
        <v>17</v>
      </c>
      <c r="M1531">
        <f>IF(Table1[[#This Row],[ألغى الاشتراك]]="نعم",1,0)</f>
        <v>0</v>
      </c>
      <c r="N1531">
        <f>IF(Table1[[#This Row],[وسيلة الدفع]]="بطاقة",1,0)</f>
        <v>0</v>
      </c>
      <c r="O1531">
        <f>IF(Table1[[#This Row],[وسيلة الدفع]]="محفظة",1,0)</f>
        <v>0</v>
      </c>
      <c r="P1531">
        <f>IF(Table1[[#This Row],[وسيلة الدفع]]="تحويل",1,0)</f>
        <v>1</v>
      </c>
      <c r="Q1531">
        <f>IF(Table1[[#This Row],[حضر التهيئة]]="نعم",1,0)</f>
        <v>1</v>
      </c>
      <c r="R1531">
        <f>IF(Table1[[#This Row],[دورة الفوترة]]="شهري",1,0)</f>
        <v>0</v>
      </c>
    </row>
    <row r="1532" spans="1:18" x14ac:dyDescent="0.25">
      <c r="A1532" t="s">
        <v>1552</v>
      </c>
      <c r="B1532" s="1">
        <v>45627</v>
      </c>
      <c r="C1532" t="s">
        <v>28</v>
      </c>
      <c r="D1532">
        <v>39</v>
      </c>
      <c r="E1532" t="s">
        <v>20</v>
      </c>
      <c r="F1532">
        <v>28</v>
      </c>
      <c r="G1532" t="s">
        <v>15</v>
      </c>
      <c r="H1532">
        <v>2</v>
      </c>
      <c r="I1532">
        <v>16</v>
      </c>
      <c r="J1532">
        <v>0</v>
      </c>
      <c r="K1532" t="s">
        <v>17</v>
      </c>
      <c r="L1532" t="s">
        <v>16</v>
      </c>
      <c r="M1532">
        <f>IF(Table1[[#This Row],[ألغى الاشتراك]]="نعم",1,0)</f>
        <v>1</v>
      </c>
      <c r="N1532">
        <f>IF(Table1[[#This Row],[وسيلة الدفع]]="بطاقة",1,0)</f>
        <v>1</v>
      </c>
      <c r="O1532">
        <f>IF(Table1[[#This Row],[وسيلة الدفع]]="محفظة",1,0)</f>
        <v>0</v>
      </c>
      <c r="P1532">
        <f>IF(Table1[[#This Row],[وسيلة الدفع]]="تحويل",1,0)</f>
        <v>0</v>
      </c>
      <c r="Q1532">
        <f>IF(Table1[[#This Row],[حضر التهيئة]]="نعم",1,0)</f>
        <v>0</v>
      </c>
      <c r="R1532">
        <f>IF(Table1[[#This Row],[دورة الفوترة]]="شهري",1,0)</f>
        <v>0</v>
      </c>
    </row>
    <row r="1533" spans="1:18" x14ac:dyDescent="0.25">
      <c r="A1533" t="s">
        <v>1553</v>
      </c>
      <c r="B1533" s="1">
        <v>45902</v>
      </c>
      <c r="C1533" t="s">
        <v>13</v>
      </c>
      <c r="D1533">
        <v>89</v>
      </c>
      <c r="E1533" t="s">
        <v>14</v>
      </c>
      <c r="F1533">
        <v>11</v>
      </c>
      <c r="G1533" t="s">
        <v>15</v>
      </c>
      <c r="H1533">
        <v>1</v>
      </c>
      <c r="I1533">
        <v>3</v>
      </c>
      <c r="J1533">
        <v>0</v>
      </c>
      <c r="K1533" t="s">
        <v>16</v>
      </c>
      <c r="L1533" t="s">
        <v>17</v>
      </c>
      <c r="M1533">
        <f>IF(Table1[[#This Row],[ألغى الاشتراك]]="نعم",1,0)</f>
        <v>0</v>
      </c>
      <c r="N1533">
        <f>IF(Table1[[#This Row],[وسيلة الدفع]]="بطاقة",1,0)</f>
        <v>1</v>
      </c>
      <c r="O1533">
        <f>IF(Table1[[#This Row],[وسيلة الدفع]]="محفظة",1,0)</f>
        <v>0</v>
      </c>
      <c r="P1533">
        <f>IF(Table1[[#This Row],[وسيلة الدفع]]="تحويل",1,0)</f>
        <v>0</v>
      </c>
      <c r="Q1533">
        <f>IF(Table1[[#This Row],[حضر التهيئة]]="نعم",1,0)</f>
        <v>1</v>
      </c>
      <c r="R1533">
        <f>IF(Table1[[#This Row],[دورة الفوترة]]="شهري",1,0)</f>
        <v>1</v>
      </c>
    </row>
    <row r="1534" spans="1:18" x14ac:dyDescent="0.25">
      <c r="A1534" t="s">
        <v>1554</v>
      </c>
      <c r="B1534" s="1">
        <v>45345</v>
      </c>
      <c r="C1534" t="s">
        <v>19</v>
      </c>
      <c r="D1534">
        <v>189</v>
      </c>
      <c r="E1534" t="s">
        <v>20</v>
      </c>
      <c r="F1534">
        <v>24</v>
      </c>
      <c r="G1534" t="s">
        <v>21</v>
      </c>
      <c r="H1534">
        <v>1</v>
      </c>
      <c r="I1534">
        <v>20</v>
      </c>
      <c r="J1534">
        <v>0</v>
      </c>
      <c r="K1534" t="s">
        <v>17</v>
      </c>
      <c r="L1534" t="s">
        <v>17</v>
      </c>
      <c r="M1534">
        <f>IF(Table1[[#This Row],[ألغى الاشتراك]]="نعم",1,0)</f>
        <v>0</v>
      </c>
      <c r="N1534">
        <f>IF(Table1[[#This Row],[وسيلة الدفع]]="بطاقة",1,0)</f>
        <v>0</v>
      </c>
      <c r="O1534">
        <f>IF(Table1[[#This Row],[وسيلة الدفع]]="محفظة",1,0)</f>
        <v>1</v>
      </c>
      <c r="P1534">
        <f>IF(Table1[[#This Row],[وسيلة الدفع]]="تحويل",1,0)</f>
        <v>0</v>
      </c>
      <c r="Q1534">
        <f>IF(Table1[[#This Row],[حضر التهيئة]]="نعم",1,0)</f>
        <v>0</v>
      </c>
      <c r="R1534">
        <f>IF(Table1[[#This Row],[دورة الفوترة]]="شهري",1,0)</f>
        <v>0</v>
      </c>
    </row>
    <row r="1535" spans="1:18" x14ac:dyDescent="0.25">
      <c r="A1535" t="s">
        <v>1555</v>
      </c>
      <c r="B1535" s="1">
        <v>45842</v>
      </c>
      <c r="C1535" t="s">
        <v>28</v>
      </c>
      <c r="D1535">
        <v>39</v>
      </c>
      <c r="E1535" t="s">
        <v>14</v>
      </c>
      <c r="F1535">
        <v>23</v>
      </c>
      <c r="G1535" t="s">
        <v>23</v>
      </c>
      <c r="H1535">
        <v>1</v>
      </c>
      <c r="I1535">
        <v>43</v>
      </c>
      <c r="J1535">
        <v>0</v>
      </c>
      <c r="K1535" t="s">
        <v>16</v>
      </c>
      <c r="L1535" t="s">
        <v>17</v>
      </c>
      <c r="M1535">
        <f>IF(Table1[[#This Row],[ألغى الاشتراك]]="نعم",1,0)</f>
        <v>0</v>
      </c>
      <c r="N1535">
        <f>IF(Table1[[#This Row],[وسيلة الدفع]]="بطاقة",1,0)</f>
        <v>0</v>
      </c>
      <c r="O1535">
        <f>IF(Table1[[#This Row],[وسيلة الدفع]]="محفظة",1,0)</f>
        <v>0</v>
      </c>
      <c r="P1535">
        <f>IF(Table1[[#This Row],[وسيلة الدفع]]="تحويل",1,0)</f>
        <v>1</v>
      </c>
      <c r="Q1535">
        <f>IF(Table1[[#This Row],[حضر التهيئة]]="نعم",1,0)</f>
        <v>1</v>
      </c>
      <c r="R1535">
        <f>IF(Table1[[#This Row],[دورة الفوترة]]="شهري",1,0)</f>
        <v>1</v>
      </c>
    </row>
    <row r="1536" spans="1:18" x14ac:dyDescent="0.25">
      <c r="A1536" t="s">
        <v>1556</v>
      </c>
      <c r="B1536" s="1">
        <v>45663</v>
      </c>
      <c r="C1536" t="s">
        <v>28</v>
      </c>
      <c r="D1536">
        <v>39</v>
      </c>
      <c r="E1536" t="s">
        <v>14</v>
      </c>
      <c r="F1536">
        <v>24</v>
      </c>
      <c r="G1536" t="s">
        <v>23</v>
      </c>
      <c r="H1536">
        <v>2</v>
      </c>
      <c r="I1536">
        <v>56</v>
      </c>
      <c r="J1536">
        <v>5</v>
      </c>
      <c r="K1536" t="s">
        <v>17</v>
      </c>
      <c r="L1536" t="s">
        <v>17</v>
      </c>
      <c r="M1536">
        <f>IF(Table1[[#This Row],[ألغى الاشتراك]]="نعم",1,0)</f>
        <v>0</v>
      </c>
      <c r="N1536">
        <f>IF(Table1[[#This Row],[وسيلة الدفع]]="بطاقة",1,0)</f>
        <v>0</v>
      </c>
      <c r="O1536">
        <f>IF(Table1[[#This Row],[وسيلة الدفع]]="محفظة",1,0)</f>
        <v>0</v>
      </c>
      <c r="P1536">
        <f>IF(Table1[[#This Row],[وسيلة الدفع]]="تحويل",1,0)</f>
        <v>1</v>
      </c>
      <c r="Q1536">
        <f>IF(Table1[[#This Row],[حضر التهيئة]]="نعم",1,0)</f>
        <v>0</v>
      </c>
      <c r="R1536">
        <f>IF(Table1[[#This Row],[دورة الفوترة]]="شهري",1,0)</f>
        <v>1</v>
      </c>
    </row>
    <row r="1537" spans="1:18" x14ac:dyDescent="0.25">
      <c r="A1537" t="s">
        <v>1557</v>
      </c>
      <c r="B1537" s="1">
        <v>45588</v>
      </c>
      <c r="C1537" t="s">
        <v>28</v>
      </c>
      <c r="D1537">
        <v>39</v>
      </c>
      <c r="E1537" t="s">
        <v>20</v>
      </c>
      <c r="F1537">
        <v>8</v>
      </c>
      <c r="G1537" t="s">
        <v>15</v>
      </c>
      <c r="H1537">
        <v>2</v>
      </c>
      <c r="I1537">
        <v>10</v>
      </c>
      <c r="J1537">
        <v>0</v>
      </c>
      <c r="K1537" t="s">
        <v>17</v>
      </c>
      <c r="L1537" t="s">
        <v>17</v>
      </c>
      <c r="M1537">
        <f>IF(Table1[[#This Row],[ألغى الاشتراك]]="نعم",1,0)</f>
        <v>0</v>
      </c>
      <c r="N1537">
        <f>IF(Table1[[#This Row],[وسيلة الدفع]]="بطاقة",1,0)</f>
        <v>1</v>
      </c>
      <c r="O1537">
        <f>IF(Table1[[#This Row],[وسيلة الدفع]]="محفظة",1,0)</f>
        <v>0</v>
      </c>
      <c r="P1537">
        <f>IF(Table1[[#This Row],[وسيلة الدفع]]="تحويل",1,0)</f>
        <v>0</v>
      </c>
      <c r="Q1537">
        <f>IF(Table1[[#This Row],[حضر التهيئة]]="نعم",1,0)</f>
        <v>0</v>
      </c>
      <c r="R1537">
        <f>IF(Table1[[#This Row],[دورة الفوترة]]="شهري",1,0)</f>
        <v>0</v>
      </c>
    </row>
    <row r="1538" spans="1:18" x14ac:dyDescent="0.25">
      <c r="A1538" t="s">
        <v>1558</v>
      </c>
      <c r="B1538" s="1">
        <v>45850</v>
      </c>
      <c r="C1538" t="s">
        <v>28</v>
      </c>
      <c r="D1538">
        <v>39</v>
      </c>
      <c r="E1538" t="s">
        <v>14</v>
      </c>
      <c r="F1538">
        <v>3</v>
      </c>
      <c r="G1538" t="s">
        <v>23</v>
      </c>
      <c r="H1538">
        <v>0</v>
      </c>
      <c r="I1538">
        <v>29</v>
      </c>
      <c r="J1538">
        <v>0</v>
      </c>
      <c r="K1538" t="s">
        <v>16</v>
      </c>
      <c r="L1538" t="s">
        <v>17</v>
      </c>
      <c r="M1538">
        <f>IF(Table1[[#This Row],[ألغى الاشتراك]]="نعم",1,0)</f>
        <v>0</v>
      </c>
      <c r="N1538">
        <f>IF(Table1[[#This Row],[وسيلة الدفع]]="بطاقة",1,0)</f>
        <v>0</v>
      </c>
      <c r="O1538">
        <f>IF(Table1[[#This Row],[وسيلة الدفع]]="محفظة",1,0)</f>
        <v>0</v>
      </c>
      <c r="P1538">
        <f>IF(Table1[[#This Row],[وسيلة الدفع]]="تحويل",1,0)</f>
        <v>1</v>
      </c>
      <c r="Q1538">
        <f>IF(Table1[[#This Row],[حضر التهيئة]]="نعم",1,0)</f>
        <v>1</v>
      </c>
      <c r="R1538">
        <f>IF(Table1[[#This Row],[دورة الفوترة]]="شهري",1,0)</f>
        <v>1</v>
      </c>
    </row>
    <row r="1539" spans="1:18" x14ac:dyDescent="0.25">
      <c r="A1539" t="s">
        <v>1559</v>
      </c>
      <c r="B1539" s="1">
        <v>45391</v>
      </c>
      <c r="C1539" t="s">
        <v>19</v>
      </c>
      <c r="D1539">
        <v>189</v>
      </c>
      <c r="E1539" t="s">
        <v>20</v>
      </c>
      <c r="F1539">
        <v>2</v>
      </c>
      <c r="G1539" t="s">
        <v>15</v>
      </c>
      <c r="H1539">
        <v>0</v>
      </c>
      <c r="I1539">
        <v>6</v>
      </c>
      <c r="J1539">
        <v>0</v>
      </c>
      <c r="K1539" t="s">
        <v>16</v>
      </c>
      <c r="L1539" t="s">
        <v>17</v>
      </c>
      <c r="M1539">
        <f>IF(Table1[[#This Row],[ألغى الاشتراك]]="نعم",1,0)</f>
        <v>0</v>
      </c>
      <c r="N1539">
        <f>IF(Table1[[#This Row],[وسيلة الدفع]]="بطاقة",1,0)</f>
        <v>1</v>
      </c>
      <c r="O1539">
        <f>IF(Table1[[#This Row],[وسيلة الدفع]]="محفظة",1,0)</f>
        <v>0</v>
      </c>
      <c r="P1539">
        <f>IF(Table1[[#This Row],[وسيلة الدفع]]="تحويل",1,0)</f>
        <v>0</v>
      </c>
      <c r="Q1539">
        <f>IF(Table1[[#This Row],[حضر التهيئة]]="نعم",1,0)</f>
        <v>1</v>
      </c>
      <c r="R1539">
        <f>IF(Table1[[#This Row],[دورة الفوترة]]="شهري",1,0)</f>
        <v>0</v>
      </c>
    </row>
    <row r="1540" spans="1:18" x14ac:dyDescent="0.25">
      <c r="A1540" t="s">
        <v>1560</v>
      </c>
      <c r="B1540" s="1">
        <v>45663</v>
      </c>
      <c r="C1540" t="s">
        <v>13</v>
      </c>
      <c r="D1540">
        <v>89</v>
      </c>
      <c r="E1540" t="s">
        <v>14</v>
      </c>
      <c r="F1540">
        <v>7</v>
      </c>
      <c r="G1540" t="s">
        <v>21</v>
      </c>
      <c r="H1540">
        <v>1</v>
      </c>
      <c r="I1540">
        <v>7</v>
      </c>
      <c r="J1540">
        <v>0</v>
      </c>
      <c r="K1540" t="s">
        <v>16</v>
      </c>
      <c r="L1540" t="s">
        <v>17</v>
      </c>
      <c r="M1540">
        <f>IF(Table1[[#This Row],[ألغى الاشتراك]]="نعم",1,0)</f>
        <v>0</v>
      </c>
      <c r="N1540">
        <f>IF(Table1[[#This Row],[وسيلة الدفع]]="بطاقة",1,0)</f>
        <v>0</v>
      </c>
      <c r="O1540">
        <f>IF(Table1[[#This Row],[وسيلة الدفع]]="محفظة",1,0)</f>
        <v>1</v>
      </c>
      <c r="P1540">
        <f>IF(Table1[[#This Row],[وسيلة الدفع]]="تحويل",1,0)</f>
        <v>0</v>
      </c>
      <c r="Q1540">
        <f>IF(Table1[[#This Row],[حضر التهيئة]]="نعم",1,0)</f>
        <v>1</v>
      </c>
      <c r="R1540">
        <f>IF(Table1[[#This Row],[دورة الفوترة]]="شهري",1,0)</f>
        <v>1</v>
      </c>
    </row>
    <row r="1541" spans="1:18" x14ac:dyDescent="0.25">
      <c r="A1541" t="s">
        <v>1561</v>
      </c>
      <c r="B1541" s="1">
        <v>45981</v>
      </c>
      <c r="C1541" t="s">
        <v>28</v>
      </c>
      <c r="D1541">
        <v>39</v>
      </c>
      <c r="E1541" t="s">
        <v>14</v>
      </c>
      <c r="F1541">
        <v>6</v>
      </c>
      <c r="G1541" t="s">
        <v>23</v>
      </c>
      <c r="H1541">
        <v>10</v>
      </c>
      <c r="I1541">
        <v>36</v>
      </c>
      <c r="J1541">
        <v>15</v>
      </c>
      <c r="K1541" t="s">
        <v>17</v>
      </c>
      <c r="L1541" t="s">
        <v>17</v>
      </c>
      <c r="M1541">
        <f>IF(Table1[[#This Row],[ألغى الاشتراك]]="نعم",1,0)</f>
        <v>0</v>
      </c>
      <c r="N1541">
        <f>IF(Table1[[#This Row],[وسيلة الدفع]]="بطاقة",1,0)</f>
        <v>0</v>
      </c>
      <c r="O1541">
        <f>IF(Table1[[#This Row],[وسيلة الدفع]]="محفظة",1,0)</f>
        <v>0</v>
      </c>
      <c r="P1541">
        <f>IF(Table1[[#This Row],[وسيلة الدفع]]="تحويل",1,0)</f>
        <v>1</v>
      </c>
      <c r="Q1541">
        <f>IF(Table1[[#This Row],[حضر التهيئة]]="نعم",1,0)</f>
        <v>0</v>
      </c>
      <c r="R1541">
        <f>IF(Table1[[#This Row],[دورة الفوترة]]="شهري",1,0)</f>
        <v>1</v>
      </c>
    </row>
    <row r="1542" spans="1:18" x14ac:dyDescent="0.25">
      <c r="A1542" t="s">
        <v>1562</v>
      </c>
      <c r="B1542" s="1">
        <v>45631</v>
      </c>
      <c r="C1542" t="s">
        <v>19</v>
      </c>
      <c r="D1542">
        <v>189</v>
      </c>
      <c r="E1542" t="s">
        <v>14</v>
      </c>
      <c r="F1542">
        <v>10</v>
      </c>
      <c r="G1542" t="s">
        <v>15</v>
      </c>
      <c r="H1542">
        <v>5</v>
      </c>
      <c r="I1542">
        <v>54</v>
      </c>
      <c r="J1542">
        <v>0</v>
      </c>
      <c r="K1542" t="s">
        <v>17</v>
      </c>
      <c r="L1542" t="s">
        <v>17</v>
      </c>
      <c r="M1542">
        <f>IF(Table1[[#This Row],[ألغى الاشتراك]]="نعم",1,0)</f>
        <v>0</v>
      </c>
      <c r="N1542">
        <f>IF(Table1[[#This Row],[وسيلة الدفع]]="بطاقة",1,0)</f>
        <v>1</v>
      </c>
      <c r="O1542">
        <f>IF(Table1[[#This Row],[وسيلة الدفع]]="محفظة",1,0)</f>
        <v>0</v>
      </c>
      <c r="P1542">
        <f>IF(Table1[[#This Row],[وسيلة الدفع]]="تحويل",1,0)</f>
        <v>0</v>
      </c>
      <c r="Q1542">
        <f>IF(Table1[[#This Row],[حضر التهيئة]]="نعم",1,0)</f>
        <v>0</v>
      </c>
      <c r="R1542">
        <f>IF(Table1[[#This Row],[دورة الفوترة]]="شهري",1,0)</f>
        <v>1</v>
      </c>
    </row>
    <row r="1543" spans="1:18" x14ac:dyDescent="0.25">
      <c r="A1543" t="s">
        <v>1563</v>
      </c>
      <c r="B1543" s="1">
        <v>45791</v>
      </c>
      <c r="C1543" t="s">
        <v>28</v>
      </c>
      <c r="D1543">
        <v>39</v>
      </c>
      <c r="E1543" t="s">
        <v>14</v>
      </c>
      <c r="F1543">
        <v>3</v>
      </c>
      <c r="G1543" t="s">
        <v>21</v>
      </c>
      <c r="H1543">
        <v>2</v>
      </c>
      <c r="I1543">
        <v>37</v>
      </c>
      <c r="J1543">
        <v>0</v>
      </c>
      <c r="K1543" t="s">
        <v>16</v>
      </c>
      <c r="L1543" t="s">
        <v>17</v>
      </c>
      <c r="M1543">
        <f>IF(Table1[[#This Row],[ألغى الاشتراك]]="نعم",1,0)</f>
        <v>0</v>
      </c>
      <c r="N1543">
        <f>IF(Table1[[#This Row],[وسيلة الدفع]]="بطاقة",1,0)</f>
        <v>0</v>
      </c>
      <c r="O1543">
        <f>IF(Table1[[#This Row],[وسيلة الدفع]]="محفظة",1,0)</f>
        <v>1</v>
      </c>
      <c r="P1543">
        <f>IF(Table1[[#This Row],[وسيلة الدفع]]="تحويل",1,0)</f>
        <v>0</v>
      </c>
      <c r="Q1543">
        <f>IF(Table1[[#This Row],[حضر التهيئة]]="نعم",1,0)</f>
        <v>1</v>
      </c>
      <c r="R1543">
        <f>IF(Table1[[#This Row],[دورة الفوترة]]="شهري",1,0)</f>
        <v>1</v>
      </c>
    </row>
    <row r="1544" spans="1:18" x14ac:dyDescent="0.25">
      <c r="A1544" t="s">
        <v>1564</v>
      </c>
      <c r="B1544" s="1">
        <v>45584</v>
      </c>
      <c r="C1544" t="s">
        <v>28</v>
      </c>
      <c r="D1544">
        <v>39</v>
      </c>
      <c r="E1544" t="s">
        <v>14</v>
      </c>
      <c r="F1544">
        <v>16</v>
      </c>
      <c r="G1544" t="s">
        <v>15</v>
      </c>
      <c r="H1544">
        <v>2</v>
      </c>
      <c r="I1544">
        <v>10</v>
      </c>
      <c r="J1544">
        <v>0</v>
      </c>
      <c r="K1544" t="s">
        <v>16</v>
      </c>
      <c r="L1544" t="s">
        <v>17</v>
      </c>
      <c r="M1544">
        <f>IF(Table1[[#This Row],[ألغى الاشتراك]]="نعم",1,0)</f>
        <v>0</v>
      </c>
      <c r="N1544">
        <f>IF(Table1[[#This Row],[وسيلة الدفع]]="بطاقة",1,0)</f>
        <v>1</v>
      </c>
      <c r="O1544">
        <f>IF(Table1[[#This Row],[وسيلة الدفع]]="محفظة",1,0)</f>
        <v>0</v>
      </c>
      <c r="P1544">
        <f>IF(Table1[[#This Row],[وسيلة الدفع]]="تحويل",1,0)</f>
        <v>0</v>
      </c>
      <c r="Q1544">
        <f>IF(Table1[[#This Row],[حضر التهيئة]]="نعم",1,0)</f>
        <v>1</v>
      </c>
      <c r="R1544">
        <f>IF(Table1[[#This Row],[دورة الفوترة]]="شهري",1,0)</f>
        <v>1</v>
      </c>
    </row>
    <row r="1545" spans="1:18" x14ac:dyDescent="0.25">
      <c r="A1545" t="s">
        <v>1565</v>
      </c>
      <c r="B1545" s="1">
        <v>45740</v>
      </c>
      <c r="C1545" t="s">
        <v>28</v>
      </c>
      <c r="D1545">
        <v>39</v>
      </c>
      <c r="E1545" t="s">
        <v>20</v>
      </c>
      <c r="F1545">
        <v>7</v>
      </c>
      <c r="G1545" t="s">
        <v>15</v>
      </c>
      <c r="H1545">
        <v>0</v>
      </c>
      <c r="I1545">
        <v>15</v>
      </c>
      <c r="J1545">
        <v>0</v>
      </c>
      <c r="K1545" t="s">
        <v>17</v>
      </c>
      <c r="L1545" t="s">
        <v>17</v>
      </c>
      <c r="M1545">
        <f>IF(Table1[[#This Row],[ألغى الاشتراك]]="نعم",1,0)</f>
        <v>0</v>
      </c>
      <c r="N1545">
        <f>IF(Table1[[#This Row],[وسيلة الدفع]]="بطاقة",1,0)</f>
        <v>1</v>
      </c>
      <c r="O1545">
        <f>IF(Table1[[#This Row],[وسيلة الدفع]]="محفظة",1,0)</f>
        <v>0</v>
      </c>
      <c r="P1545">
        <f>IF(Table1[[#This Row],[وسيلة الدفع]]="تحويل",1,0)</f>
        <v>0</v>
      </c>
      <c r="Q1545">
        <f>IF(Table1[[#This Row],[حضر التهيئة]]="نعم",1,0)</f>
        <v>0</v>
      </c>
      <c r="R1545">
        <f>IF(Table1[[#This Row],[دورة الفوترة]]="شهري",1,0)</f>
        <v>0</v>
      </c>
    </row>
    <row r="1546" spans="1:18" x14ac:dyDescent="0.25">
      <c r="A1546" t="s">
        <v>1566</v>
      </c>
      <c r="B1546" s="1">
        <v>45787</v>
      </c>
      <c r="C1546" t="s">
        <v>28</v>
      </c>
      <c r="D1546">
        <v>39</v>
      </c>
      <c r="E1546" t="s">
        <v>14</v>
      </c>
      <c r="F1546">
        <v>26</v>
      </c>
      <c r="G1546" t="s">
        <v>21</v>
      </c>
      <c r="H1546">
        <v>2</v>
      </c>
      <c r="I1546">
        <v>56</v>
      </c>
      <c r="J1546">
        <v>5</v>
      </c>
      <c r="K1546" t="s">
        <v>17</v>
      </c>
      <c r="L1546" t="s">
        <v>17</v>
      </c>
      <c r="M1546">
        <f>IF(Table1[[#This Row],[ألغى الاشتراك]]="نعم",1,0)</f>
        <v>0</v>
      </c>
      <c r="N1546">
        <f>IF(Table1[[#This Row],[وسيلة الدفع]]="بطاقة",1,0)</f>
        <v>0</v>
      </c>
      <c r="O1546">
        <f>IF(Table1[[#This Row],[وسيلة الدفع]]="محفظة",1,0)</f>
        <v>1</v>
      </c>
      <c r="P1546">
        <f>IF(Table1[[#This Row],[وسيلة الدفع]]="تحويل",1,0)</f>
        <v>0</v>
      </c>
      <c r="Q1546">
        <f>IF(Table1[[#This Row],[حضر التهيئة]]="نعم",1,0)</f>
        <v>0</v>
      </c>
      <c r="R1546">
        <f>IF(Table1[[#This Row],[دورة الفوترة]]="شهري",1,0)</f>
        <v>1</v>
      </c>
    </row>
    <row r="1547" spans="1:18" x14ac:dyDescent="0.25">
      <c r="A1547" t="s">
        <v>1567</v>
      </c>
      <c r="B1547" s="1">
        <v>45446</v>
      </c>
      <c r="C1547" t="s">
        <v>13</v>
      </c>
      <c r="D1547">
        <v>89</v>
      </c>
      <c r="E1547" t="s">
        <v>20</v>
      </c>
      <c r="F1547">
        <v>14</v>
      </c>
      <c r="G1547" t="s">
        <v>15</v>
      </c>
      <c r="H1547">
        <v>11</v>
      </c>
      <c r="I1547">
        <v>38</v>
      </c>
      <c r="J1547">
        <v>0</v>
      </c>
      <c r="K1547" t="s">
        <v>17</v>
      </c>
      <c r="L1547" t="s">
        <v>17</v>
      </c>
      <c r="M1547">
        <f>IF(Table1[[#This Row],[ألغى الاشتراك]]="نعم",1,0)</f>
        <v>0</v>
      </c>
      <c r="N1547">
        <f>IF(Table1[[#This Row],[وسيلة الدفع]]="بطاقة",1,0)</f>
        <v>1</v>
      </c>
      <c r="O1547">
        <f>IF(Table1[[#This Row],[وسيلة الدفع]]="محفظة",1,0)</f>
        <v>0</v>
      </c>
      <c r="P1547">
        <f>IF(Table1[[#This Row],[وسيلة الدفع]]="تحويل",1,0)</f>
        <v>0</v>
      </c>
      <c r="Q1547">
        <f>IF(Table1[[#This Row],[حضر التهيئة]]="نعم",1,0)</f>
        <v>0</v>
      </c>
      <c r="R1547">
        <f>IF(Table1[[#This Row],[دورة الفوترة]]="شهري",1,0)</f>
        <v>0</v>
      </c>
    </row>
    <row r="1548" spans="1:18" x14ac:dyDescent="0.25">
      <c r="A1548" t="s">
        <v>1568</v>
      </c>
      <c r="B1548" s="1">
        <v>45977</v>
      </c>
      <c r="C1548" t="s">
        <v>19</v>
      </c>
      <c r="D1548">
        <v>189</v>
      </c>
      <c r="E1548" t="s">
        <v>20</v>
      </c>
      <c r="F1548">
        <v>27</v>
      </c>
      <c r="G1548" t="s">
        <v>15</v>
      </c>
      <c r="H1548">
        <v>1</v>
      </c>
      <c r="I1548">
        <v>49</v>
      </c>
      <c r="J1548">
        <v>0</v>
      </c>
      <c r="K1548" t="s">
        <v>16</v>
      </c>
      <c r="L1548" t="s">
        <v>17</v>
      </c>
      <c r="M1548">
        <f>IF(Table1[[#This Row],[ألغى الاشتراك]]="نعم",1,0)</f>
        <v>0</v>
      </c>
      <c r="N1548">
        <f>IF(Table1[[#This Row],[وسيلة الدفع]]="بطاقة",1,0)</f>
        <v>1</v>
      </c>
      <c r="O1548">
        <f>IF(Table1[[#This Row],[وسيلة الدفع]]="محفظة",1,0)</f>
        <v>0</v>
      </c>
      <c r="P1548">
        <f>IF(Table1[[#This Row],[وسيلة الدفع]]="تحويل",1,0)</f>
        <v>0</v>
      </c>
      <c r="Q1548">
        <f>IF(Table1[[#This Row],[حضر التهيئة]]="نعم",1,0)</f>
        <v>1</v>
      </c>
      <c r="R1548">
        <f>IF(Table1[[#This Row],[دورة الفوترة]]="شهري",1,0)</f>
        <v>0</v>
      </c>
    </row>
    <row r="1549" spans="1:18" x14ac:dyDescent="0.25">
      <c r="A1549" t="s">
        <v>1569</v>
      </c>
      <c r="B1549" s="1">
        <v>45407</v>
      </c>
      <c r="C1549" t="s">
        <v>28</v>
      </c>
      <c r="D1549">
        <v>39</v>
      </c>
      <c r="E1549" t="s">
        <v>20</v>
      </c>
      <c r="F1549">
        <v>16</v>
      </c>
      <c r="G1549" t="s">
        <v>15</v>
      </c>
      <c r="H1549">
        <v>0</v>
      </c>
      <c r="I1549">
        <v>4</v>
      </c>
      <c r="J1549">
        <v>0</v>
      </c>
      <c r="K1549" t="s">
        <v>17</v>
      </c>
      <c r="L1549" t="s">
        <v>17</v>
      </c>
      <c r="M1549">
        <f>IF(Table1[[#This Row],[ألغى الاشتراك]]="نعم",1,0)</f>
        <v>0</v>
      </c>
      <c r="N1549">
        <f>IF(Table1[[#This Row],[وسيلة الدفع]]="بطاقة",1,0)</f>
        <v>1</v>
      </c>
      <c r="O1549">
        <f>IF(Table1[[#This Row],[وسيلة الدفع]]="محفظة",1,0)</f>
        <v>0</v>
      </c>
      <c r="P1549">
        <f>IF(Table1[[#This Row],[وسيلة الدفع]]="تحويل",1,0)</f>
        <v>0</v>
      </c>
      <c r="Q1549">
        <f>IF(Table1[[#This Row],[حضر التهيئة]]="نعم",1,0)</f>
        <v>0</v>
      </c>
      <c r="R1549">
        <f>IF(Table1[[#This Row],[دورة الفوترة]]="شهري",1,0)</f>
        <v>0</v>
      </c>
    </row>
    <row r="1550" spans="1:18" x14ac:dyDescent="0.25">
      <c r="A1550" t="s">
        <v>1570</v>
      </c>
      <c r="B1550" s="1">
        <v>45325</v>
      </c>
      <c r="C1550" t="s">
        <v>13</v>
      </c>
      <c r="D1550">
        <v>89</v>
      </c>
      <c r="E1550" t="s">
        <v>14</v>
      </c>
      <c r="F1550">
        <v>11</v>
      </c>
      <c r="G1550" t="s">
        <v>15</v>
      </c>
      <c r="H1550">
        <v>1</v>
      </c>
      <c r="I1550">
        <v>11</v>
      </c>
      <c r="J1550">
        <v>10</v>
      </c>
      <c r="K1550" t="s">
        <v>17</v>
      </c>
      <c r="L1550" t="s">
        <v>17</v>
      </c>
      <c r="M1550">
        <f>IF(Table1[[#This Row],[ألغى الاشتراك]]="نعم",1,0)</f>
        <v>0</v>
      </c>
      <c r="N1550">
        <f>IF(Table1[[#This Row],[وسيلة الدفع]]="بطاقة",1,0)</f>
        <v>1</v>
      </c>
      <c r="O1550">
        <f>IF(Table1[[#This Row],[وسيلة الدفع]]="محفظة",1,0)</f>
        <v>0</v>
      </c>
      <c r="P1550">
        <f>IF(Table1[[#This Row],[وسيلة الدفع]]="تحويل",1,0)</f>
        <v>0</v>
      </c>
      <c r="Q1550">
        <f>IF(Table1[[#This Row],[حضر التهيئة]]="نعم",1,0)</f>
        <v>0</v>
      </c>
      <c r="R1550">
        <f>IF(Table1[[#This Row],[دورة الفوترة]]="شهري",1,0)</f>
        <v>1</v>
      </c>
    </row>
    <row r="1551" spans="1:18" x14ac:dyDescent="0.25">
      <c r="A1551" t="s">
        <v>1571</v>
      </c>
      <c r="B1551" s="1">
        <v>45728</v>
      </c>
      <c r="C1551" t="s">
        <v>19</v>
      </c>
      <c r="D1551">
        <v>189</v>
      </c>
      <c r="E1551" t="s">
        <v>14</v>
      </c>
      <c r="F1551">
        <v>11</v>
      </c>
      <c r="G1551" t="s">
        <v>21</v>
      </c>
      <c r="H1551">
        <v>6</v>
      </c>
      <c r="I1551">
        <v>31</v>
      </c>
      <c r="J1551">
        <v>0</v>
      </c>
      <c r="K1551" t="s">
        <v>17</v>
      </c>
      <c r="L1551" t="s">
        <v>17</v>
      </c>
      <c r="M1551">
        <f>IF(Table1[[#This Row],[ألغى الاشتراك]]="نعم",1,0)</f>
        <v>0</v>
      </c>
      <c r="N1551">
        <f>IF(Table1[[#This Row],[وسيلة الدفع]]="بطاقة",1,0)</f>
        <v>0</v>
      </c>
      <c r="O1551">
        <f>IF(Table1[[#This Row],[وسيلة الدفع]]="محفظة",1,0)</f>
        <v>1</v>
      </c>
      <c r="P1551">
        <f>IF(Table1[[#This Row],[وسيلة الدفع]]="تحويل",1,0)</f>
        <v>0</v>
      </c>
      <c r="Q1551">
        <f>IF(Table1[[#This Row],[حضر التهيئة]]="نعم",1,0)</f>
        <v>0</v>
      </c>
      <c r="R1551">
        <f>IF(Table1[[#This Row],[دورة الفوترة]]="شهري",1,0)</f>
        <v>1</v>
      </c>
    </row>
    <row r="1552" spans="1:18" x14ac:dyDescent="0.25">
      <c r="A1552" t="s">
        <v>1572</v>
      </c>
      <c r="B1552" s="1">
        <v>45651</v>
      </c>
      <c r="C1552" t="s">
        <v>19</v>
      </c>
      <c r="D1552">
        <v>189</v>
      </c>
      <c r="E1552" t="s">
        <v>20</v>
      </c>
      <c r="F1552">
        <v>16</v>
      </c>
      <c r="G1552" t="s">
        <v>23</v>
      </c>
      <c r="H1552">
        <v>0</v>
      </c>
      <c r="I1552">
        <v>48</v>
      </c>
      <c r="J1552">
        <v>0</v>
      </c>
      <c r="K1552" t="s">
        <v>17</v>
      </c>
      <c r="L1552" t="s">
        <v>17</v>
      </c>
      <c r="M1552">
        <f>IF(Table1[[#This Row],[ألغى الاشتراك]]="نعم",1,0)</f>
        <v>0</v>
      </c>
      <c r="N1552">
        <f>IF(Table1[[#This Row],[وسيلة الدفع]]="بطاقة",1,0)</f>
        <v>0</v>
      </c>
      <c r="O1552">
        <f>IF(Table1[[#This Row],[وسيلة الدفع]]="محفظة",1,0)</f>
        <v>0</v>
      </c>
      <c r="P1552">
        <f>IF(Table1[[#This Row],[وسيلة الدفع]]="تحويل",1,0)</f>
        <v>1</v>
      </c>
      <c r="Q1552">
        <f>IF(Table1[[#This Row],[حضر التهيئة]]="نعم",1,0)</f>
        <v>0</v>
      </c>
      <c r="R1552">
        <f>IF(Table1[[#This Row],[دورة الفوترة]]="شهري",1,0)</f>
        <v>0</v>
      </c>
    </row>
    <row r="1553" spans="1:18" x14ac:dyDescent="0.25">
      <c r="A1553" t="s">
        <v>1573</v>
      </c>
      <c r="B1553" s="1">
        <v>45592</v>
      </c>
      <c r="C1553" t="s">
        <v>13</v>
      </c>
      <c r="D1553">
        <v>89</v>
      </c>
      <c r="E1553" t="s">
        <v>14</v>
      </c>
      <c r="F1553">
        <v>19</v>
      </c>
      <c r="G1553" t="s">
        <v>23</v>
      </c>
      <c r="H1553">
        <v>9</v>
      </c>
      <c r="I1553">
        <v>7</v>
      </c>
      <c r="J1553">
        <v>10</v>
      </c>
      <c r="K1553" t="s">
        <v>16</v>
      </c>
      <c r="L1553" t="s">
        <v>16</v>
      </c>
      <c r="M1553">
        <f>IF(Table1[[#This Row],[ألغى الاشتراك]]="نعم",1,0)</f>
        <v>1</v>
      </c>
      <c r="N1553">
        <f>IF(Table1[[#This Row],[وسيلة الدفع]]="بطاقة",1,0)</f>
        <v>0</v>
      </c>
      <c r="O1553">
        <f>IF(Table1[[#This Row],[وسيلة الدفع]]="محفظة",1,0)</f>
        <v>0</v>
      </c>
      <c r="P1553">
        <f>IF(Table1[[#This Row],[وسيلة الدفع]]="تحويل",1,0)</f>
        <v>1</v>
      </c>
      <c r="Q1553">
        <f>IF(Table1[[#This Row],[حضر التهيئة]]="نعم",1,0)</f>
        <v>1</v>
      </c>
      <c r="R1553">
        <f>IF(Table1[[#This Row],[دورة الفوترة]]="شهري",1,0)</f>
        <v>1</v>
      </c>
    </row>
    <row r="1554" spans="1:18" x14ac:dyDescent="0.25">
      <c r="A1554" t="s">
        <v>1574</v>
      </c>
      <c r="B1554" s="1">
        <v>45846</v>
      </c>
      <c r="C1554" t="s">
        <v>13</v>
      </c>
      <c r="D1554">
        <v>89</v>
      </c>
      <c r="E1554" t="s">
        <v>20</v>
      </c>
      <c r="F1554">
        <v>19</v>
      </c>
      <c r="G1554" t="s">
        <v>21</v>
      </c>
      <c r="H1554">
        <v>0</v>
      </c>
      <c r="I1554">
        <v>59</v>
      </c>
      <c r="J1554">
        <v>0</v>
      </c>
      <c r="K1554" t="s">
        <v>17</v>
      </c>
      <c r="L1554" t="s">
        <v>17</v>
      </c>
      <c r="M1554">
        <f>IF(Table1[[#This Row],[ألغى الاشتراك]]="نعم",1,0)</f>
        <v>0</v>
      </c>
      <c r="N1554">
        <f>IF(Table1[[#This Row],[وسيلة الدفع]]="بطاقة",1,0)</f>
        <v>0</v>
      </c>
      <c r="O1554">
        <f>IF(Table1[[#This Row],[وسيلة الدفع]]="محفظة",1,0)</f>
        <v>1</v>
      </c>
      <c r="P1554">
        <f>IF(Table1[[#This Row],[وسيلة الدفع]]="تحويل",1,0)</f>
        <v>0</v>
      </c>
      <c r="Q1554">
        <f>IF(Table1[[#This Row],[حضر التهيئة]]="نعم",1,0)</f>
        <v>0</v>
      </c>
      <c r="R1554">
        <f>IF(Table1[[#This Row],[دورة الفوترة]]="شهري",1,0)</f>
        <v>0</v>
      </c>
    </row>
    <row r="1555" spans="1:18" x14ac:dyDescent="0.25">
      <c r="A1555" t="s">
        <v>1575</v>
      </c>
      <c r="B1555" s="1">
        <v>45509</v>
      </c>
      <c r="C1555" t="s">
        <v>28</v>
      </c>
      <c r="D1555">
        <v>39</v>
      </c>
      <c r="E1555" t="s">
        <v>14</v>
      </c>
      <c r="F1555">
        <v>18</v>
      </c>
      <c r="G1555" t="s">
        <v>15</v>
      </c>
      <c r="H1555">
        <v>2</v>
      </c>
      <c r="I1555">
        <v>6</v>
      </c>
      <c r="J1555">
        <v>0</v>
      </c>
      <c r="K1555" t="s">
        <v>17</v>
      </c>
      <c r="L1555" t="s">
        <v>17</v>
      </c>
      <c r="M1555">
        <f>IF(Table1[[#This Row],[ألغى الاشتراك]]="نعم",1,0)</f>
        <v>0</v>
      </c>
      <c r="N1555">
        <f>IF(Table1[[#This Row],[وسيلة الدفع]]="بطاقة",1,0)</f>
        <v>1</v>
      </c>
      <c r="O1555">
        <f>IF(Table1[[#This Row],[وسيلة الدفع]]="محفظة",1,0)</f>
        <v>0</v>
      </c>
      <c r="P1555">
        <f>IF(Table1[[#This Row],[وسيلة الدفع]]="تحويل",1,0)</f>
        <v>0</v>
      </c>
      <c r="Q1555">
        <f>IF(Table1[[#This Row],[حضر التهيئة]]="نعم",1,0)</f>
        <v>0</v>
      </c>
      <c r="R1555">
        <f>IF(Table1[[#This Row],[دورة الفوترة]]="شهري",1,0)</f>
        <v>1</v>
      </c>
    </row>
    <row r="1556" spans="1:18" x14ac:dyDescent="0.25">
      <c r="A1556" t="s">
        <v>1576</v>
      </c>
      <c r="B1556" s="1">
        <v>45795</v>
      </c>
      <c r="C1556" t="s">
        <v>13</v>
      </c>
      <c r="D1556">
        <v>89</v>
      </c>
      <c r="E1556" t="s">
        <v>20</v>
      </c>
      <c r="F1556">
        <v>25</v>
      </c>
      <c r="G1556" t="s">
        <v>15</v>
      </c>
      <c r="H1556">
        <v>0</v>
      </c>
      <c r="I1556">
        <v>21</v>
      </c>
      <c r="J1556">
        <v>0</v>
      </c>
      <c r="K1556" t="s">
        <v>17</v>
      </c>
      <c r="L1556" t="s">
        <v>17</v>
      </c>
      <c r="M1556">
        <f>IF(Table1[[#This Row],[ألغى الاشتراك]]="نعم",1,0)</f>
        <v>0</v>
      </c>
      <c r="N1556">
        <f>IF(Table1[[#This Row],[وسيلة الدفع]]="بطاقة",1,0)</f>
        <v>1</v>
      </c>
      <c r="O1556">
        <f>IF(Table1[[#This Row],[وسيلة الدفع]]="محفظة",1,0)</f>
        <v>0</v>
      </c>
      <c r="P1556">
        <f>IF(Table1[[#This Row],[وسيلة الدفع]]="تحويل",1,0)</f>
        <v>0</v>
      </c>
      <c r="Q1556">
        <f>IF(Table1[[#This Row],[حضر التهيئة]]="نعم",1,0)</f>
        <v>0</v>
      </c>
      <c r="R1556">
        <f>IF(Table1[[#This Row],[دورة الفوترة]]="شهري",1,0)</f>
        <v>0</v>
      </c>
    </row>
    <row r="1557" spans="1:18" x14ac:dyDescent="0.25">
      <c r="A1557" t="s">
        <v>1577</v>
      </c>
      <c r="B1557" s="1">
        <v>45450</v>
      </c>
      <c r="C1557" t="s">
        <v>13</v>
      </c>
      <c r="D1557">
        <v>89</v>
      </c>
      <c r="E1557" t="s">
        <v>20</v>
      </c>
      <c r="F1557">
        <v>22</v>
      </c>
      <c r="G1557" t="s">
        <v>15</v>
      </c>
      <c r="H1557">
        <v>2</v>
      </c>
      <c r="I1557">
        <v>20</v>
      </c>
      <c r="J1557">
        <v>0</v>
      </c>
      <c r="K1557" t="s">
        <v>16</v>
      </c>
      <c r="L1557" t="s">
        <v>17</v>
      </c>
      <c r="M1557">
        <f>IF(Table1[[#This Row],[ألغى الاشتراك]]="نعم",1,0)</f>
        <v>0</v>
      </c>
      <c r="N1557">
        <f>IF(Table1[[#This Row],[وسيلة الدفع]]="بطاقة",1,0)</f>
        <v>1</v>
      </c>
      <c r="O1557">
        <f>IF(Table1[[#This Row],[وسيلة الدفع]]="محفظة",1,0)</f>
        <v>0</v>
      </c>
      <c r="P1557">
        <f>IF(Table1[[#This Row],[وسيلة الدفع]]="تحويل",1,0)</f>
        <v>0</v>
      </c>
      <c r="Q1557">
        <f>IF(Table1[[#This Row],[حضر التهيئة]]="نعم",1,0)</f>
        <v>1</v>
      </c>
      <c r="R1557">
        <f>IF(Table1[[#This Row],[دورة الفوترة]]="شهري",1,0)</f>
        <v>0</v>
      </c>
    </row>
    <row r="1558" spans="1:18" x14ac:dyDescent="0.25">
      <c r="A1558" t="s">
        <v>1578</v>
      </c>
      <c r="B1558" s="1">
        <v>45977</v>
      </c>
      <c r="C1558" t="s">
        <v>19</v>
      </c>
      <c r="D1558">
        <v>189</v>
      </c>
      <c r="E1558" t="s">
        <v>20</v>
      </c>
      <c r="F1558">
        <v>13</v>
      </c>
      <c r="G1558" t="s">
        <v>23</v>
      </c>
      <c r="H1558">
        <v>2</v>
      </c>
      <c r="I1558">
        <v>51</v>
      </c>
      <c r="J1558">
        <v>0</v>
      </c>
      <c r="K1558" t="s">
        <v>16</v>
      </c>
      <c r="L1558" t="s">
        <v>17</v>
      </c>
      <c r="M1558">
        <f>IF(Table1[[#This Row],[ألغى الاشتراك]]="نعم",1,0)</f>
        <v>0</v>
      </c>
      <c r="N1558">
        <f>IF(Table1[[#This Row],[وسيلة الدفع]]="بطاقة",1,0)</f>
        <v>0</v>
      </c>
      <c r="O1558">
        <f>IF(Table1[[#This Row],[وسيلة الدفع]]="محفظة",1,0)</f>
        <v>0</v>
      </c>
      <c r="P1558">
        <f>IF(Table1[[#This Row],[وسيلة الدفع]]="تحويل",1,0)</f>
        <v>1</v>
      </c>
      <c r="Q1558">
        <f>IF(Table1[[#This Row],[حضر التهيئة]]="نعم",1,0)</f>
        <v>1</v>
      </c>
      <c r="R1558">
        <f>IF(Table1[[#This Row],[دورة الفوترة]]="شهري",1,0)</f>
        <v>0</v>
      </c>
    </row>
    <row r="1559" spans="1:18" x14ac:dyDescent="0.25">
      <c r="A1559" t="s">
        <v>1579</v>
      </c>
      <c r="B1559" s="1">
        <v>45505</v>
      </c>
      <c r="C1559" t="s">
        <v>13</v>
      </c>
      <c r="D1559">
        <v>89</v>
      </c>
      <c r="E1559" t="s">
        <v>14</v>
      </c>
      <c r="F1559">
        <v>26</v>
      </c>
      <c r="G1559" t="s">
        <v>23</v>
      </c>
      <c r="H1559">
        <v>0</v>
      </c>
      <c r="I1559">
        <v>6</v>
      </c>
      <c r="J1559">
        <v>0</v>
      </c>
      <c r="K1559" t="s">
        <v>17</v>
      </c>
      <c r="L1559" t="s">
        <v>17</v>
      </c>
      <c r="M1559">
        <f>IF(Table1[[#This Row],[ألغى الاشتراك]]="نعم",1,0)</f>
        <v>0</v>
      </c>
      <c r="N1559">
        <f>IF(Table1[[#This Row],[وسيلة الدفع]]="بطاقة",1,0)</f>
        <v>0</v>
      </c>
      <c r="O1559">
        <f>IF(Table1[[#This Row],[وسيلة الدفع]]="محفظة",1,0)</f>
        <v>0</v>
      </c>
      <c r="P1559">
        <f>IF(Table1[[#This Row],[وسيلة الدفع]]="تحويل",1,0)</f>
        <v>1</v>
      </c>
      <c r="Q1559">
        <f>IF(Table1[[#This Row],[حضر التهيئة]]="نعم",1,0)</f>
        <v>0</v>
      </c>
      <c r="R1559">
        <f>IF(Table1[[#This Row],[دورة الفوترة]]="شهري",1,0)</f>
        <v>1</v>
      </c>
    </row>
    <row r="1560" spans="1:18" x14ac:dyDescent="0.25">
      <c r="A1560" t="s">
        <v>1580</v>
      </c>
      <c r="B1560" s="1">
        <v>45470</v>
      </c>
      <c r="C1560" t="s">
        <v>19</v>
      </c>
      <c r="D1560">
        <v>189</v>
      </c>
      <c r="E1560" t="s">
        <v>20</v>
      </c>
      <c r="F1560">
        <v>29</v>
      </c>
      <c r="G1560" t="s">
        <v>15</v>
      </c>
      <c r="H1560">
        <v>5</v>
      </c>
      <c r="I1560">
        <v>3</v>
      </c>
      <c r="J1560">
        <v>10</v>
      </c>
      <c r="K1560" t="s">
        <v>16</v>
      </c>
      <c r="L1560" t="s">
        <v>17</v>
      </c>
      <c r="M1560">
        <f>IF(Table1[[#This Row],[ألغى الاشتراك]]="نعم",1,0)</f>
        <v>0</v>
      </c>
      <c r="N1560">
        <f>IF(Table1[[#This Row],[وسيلة الدفع]]="بطاقة",1,0)</f>
        <v>1</v>
      </c>
      <c r="O1560">
        <f>IF(Table1[[#This Row],[وسيلة الدفع]]="محفظة",1,0)</f>
        <v>0</v>
      </c>
      <c r="P1560">
        <f>IF(Table1[[#This Row],[وسيلة الدفع]]="تحويل",1,0)</f>
        <v>0</v>
      </c>
      <c r="Q1560">
        <f>IF(Table1[[#This Row],[حضر التهيئة]]="نعم",1,0)</f>
        <v>1</v>
      </c>
      <c r="R1560">
        <f>IF(Table1[[#This Row],[دورة الفوترة]]="شهري",1,0)</f>
        <v>0</v>
      </c>
    </row>
    <row r="1561" spans="1:18" x14ac:dyDescent="0.25">
      <c r="A1561" t="s">
        <v>1581</v>
      </c>
      <c r="B1561" s="1">
        <v>45744</v>
      </c>
      <c r="C1561" t="s">
        <v>13</v>
      </c>
      <c r="D1561">
        <v>89</v>
      </c>
      <c r="E1561" t="s">
        <v>14</v>
      </c>
      <c r="F1561">
        <v>29</v>
      </c>
      <c r="G1561" t="s">
        <v>21</v>
      </c>
      <c r="H1561">
        <v>0</v>
      </c>
      <c r="I1561">
        <v>59</v>
      </c>
      <c r="J1561">
        <v>0</v>
      </c>
      <c r="K1561" t="s">
        <v>17</v>
      </c>
      <c r="L1561" t="s">
        <v>17</v>
      </c>
      <c r="M1561">
        <f>IF(Table1[[#This Row],[ألغى الاشتراك]]="نعم",1,0)</f>
        <v>0</v>
      </c>
      <c r="N1561">
        <f>IF(Table1[[#This Row],[وسيلة الدفع]]="بطاقة",1,0)</f>
        <v>0</v>
      </c>
      <c r="O1561">
        <f>IF(Table1[[#This Row],[وسيلة الدفع]]="محفظة",1,0)</f>
        <v>1</v>
      </c>
      <c r="P1561">
        <f>IF(Table1[[#This Row],[وسيلة الدفع]]="تحويل",1,0)</f>
        <v>0</v>
      </c>
      <c r="Q1561">
        <f>IF(Table1[[#This Row],[حضر التهيئة]]="نعم",1,0)</f>
        <v>0</v>
      </c>
      <c r="R1561">
        <f>IF(Table1[[#This Row],[دورة الفوترة]]="شهري",1,0)</f>
        <v>1</v>
      </c>
    </row>
    <row r="1562" spans="1:18" x14ac:dyDescent="0.25">
      <c r="A1562" t="s">
        <v>1582</v>
      </c>
      <c r="B1562" s="1">
        <v>45407</v>
      </c>
      <c r="C1562" t="s">
        <v>13</v>
      </c>
      <c r="D1562">
        <v>89</v>
      </c>
      <c r="E1562" t="s">
        <v>20</v>
      </c>
      <c r="F1562">
        <v>4</v>
      </c>
      <c r="G1562" t="s">
        <v>15</v>
      </c>
      <c r="H1562">
        <v>2</v>
      </c>
      <c r="I1562">
        <v>28</v>
      </c>
      <c r="J1562">
        <v>0</v>
      </c>
      <c r="K1562" t="s">
        <v>16</v>
      </c>
      <c r="L1562" t="s">
        <v>17</v>
      </c>
      <c r="M1562">
        <f>IF(Table1[[#This Row],[ألغى الاشتراك]]="نعم",1,0)</f>
        <v>0</v>
      </c>
      <c r="N1562">
        <f>IF(Table1[[#This Row],[وسيلة الدفع]]="بطاقة",1,0)</f>
        <v>1</v>
      </c>
      <c r="O1562">
        <f>IF(Table1[[#This Row],[وسيلة الدفع]]="محفظة",1,0)</f>
        <v>0</v>
      </c>
      <c r="P1562">
        <f>IF(Table1[[#This Row],[وسيلة الدفع]]="تحويل",1,0)</f>
        <v>0</v>
      </c>
      <c r="Q1562">
        <f>IF(Table1[[#This Row],[حضر التهيئة]]="نعم",1,0)</f>
        <v>1</v>
      </c>
      <c r="R1562">
        <f>IF(Table1[[#This Row],[دورة الفوترة]]="شهري",1,0)</f>
        <v>0</v>
      </c>
    </row>
    <row r="1563" spans="1:18" x14ac:dyDescent="0.25">
      <c r="A1563" t="s">
        <v>1583</v>
      </c>
      <c r="B1563" s="1">
        <v>45803</v>
      </c>
      <c r="C1563" t="s">
        <v>28</v>
      </c>
      <c r="D1563">
        <v>39</v>
      </c>
      <c r="E1563" t="s">
        <v>20</v>
      </c>
      <c r="F1563">
        <v>25</v>
      </c>
      <c r="G1563" t="s">
        <v>15</v>
      </c>
      <c r="H1563">
        <v>0</v>
      </c>
      <c r="I1563">
        <v>15</v>
      </c>
      <c r="J1563">
        <v>0</v>
      </c>
      <c r="K1563" t="s">
        <v>16</v>
      </c>
      <c r="L1563" t="s">
        <v>17</v>
      </c>
      <c r="M1563">
        <f>IF(Table1[[#This Row],[ألغى الاشتراك]]="نعم",1,0)</f>
        <v>0</v>
      </c>
      <c r="N1563">
        <f>IF(Table1[[#This Row],[وسيلة الدفع]]="بطاقة",1,0)</f>
        <v>1</v>
      </c>
      <c r="O1563">
        <f>IF(Table1[[#This Row],[وسيلة الدفع]]="محفظة",1,0)</f>
        <v>0</v>
      </c>
      <c r="P1563">
        <f>IF(Table1[[#This Row],[وسيلة الدفع]]="تحويل",1,0)</f>
        <v>0</v>
      </c>
      <c r="Q1563">
        <f>IF(Table1[[#This Row],[حضر التهيئة]]="نعم",1,0)</f>
        <v>1</v>
      </c>
      <c r="R1563">
        <f>IF(Table1[[#This Row],[دورة الفوترة]]="شهري",1,0)</f>
        <v>0</v>
      </c>
    </row>
    <row r="1564" spans="1:18" x14ac:dyDescent="0.25">
      <c r="A1564" t="s">
        <v>1584</v>
      </c>
      <c r="B1564" s="1">
        <v>45728</v>
      </c>
      <c r="C1564" t="s">
        <v>19</v>
      </c>
      <c r="D1564">
        <v>189</v>
      </c>
      <c r="E1564" t="s">
        <v>14</v>
      </c>
      <c r="F1564">
        <v>28</v>
      </c>
      <c r="G1564" t="s">
        <v>21</v>
      </c>
      <c r="H1564">
        <v>2</v>
      </c>
      <c r="I1564">
        <v>42</v>
      </c>
      <c r="J1564">
        <v>15</v>
      </c>
      <c r="K1564" t="s">
        <v>16</v>
      </c>
      <c r="L1564" t="s">
        <v>17</v>
      </c>
      <c r="M1564">
        <f>IF(Table1[[#This Row],[ألغى الاشتراك]]="نعم",1,0)</f>
        <v>0</v>
      </c>
      <c r="N1564">
        <f>IF(Table1[[#This Row],[وسيلة الدفع]]="بطاقة",1,0)</f>
        <v>0</v>
      </c>
      <c r="O1564">
        <f>IF(Table1[[#This Row],[وسيلة الدفع]]="محفظة",1,0)</f>
        <v>1</v>
      </c>
      <c r="P1564">
        <f>IF(Table1[[#This Row],[وسيلة الدفع]]="تحويل",1,0)</f>
        <v>0</v>
      </c>
      <c r="Q1564">
        <f>IF(Table1[[#This Row],[حضر التهيئة]]="نعم",1,0)</f>
        <v>1</v>
      </c>
      <c r="R1564">
        <f>IF(Table1[[#This Row],[دورة الفوترة]]="شهري",1,0)</f>
        <v>1</v>
      </c>
    </row>
    <row r="1565" spans="1:18" x14ac:dyDescent="0.25">
      <c r="A1565" t="s">
        <v>1585</v>
      </c>
      <c r="B1565" s="1">
        <v>45513</v>
      </c>
      <c r="C1565" t="s">
        <v>13</v>
      </c>
      <c r="D1565">
        <v>89</v>
      </c>
      <c r="E1565" t="s">
        <v>20</v>
      </c>
      <c r="F1565">
        <v>12</v>
      </c>
      <c r="G1565" t="s">
        <v>15</v>
      </c>
      <c r="H1565">
        <v>2</v>
      </c>
      <c r="I1565">
        <v>36</v>
      </c>
      <c r="J1565">
        <v>0</v>
      </c>
      <c r="K1565" t="s">
        <v>17</v>
      </c>
      <c r="L1565" t="s">
        <v>17</v>
      </c>
      <c r="M1565">
        <f>IF(Table1[[#This Row],[ألغى الاشتراك]]="نعم",1,0)</f>
        <v>0</v>
      </c>
      <c r="N1565">
        <f>IF(Table1[[#This Row],[وسيلة الدفع]]="بطاقة",1,0)</f>
        <v>1</v>
      </c>
      <c r="O1565">
        <f>IF(Table1[[#This Row],[وسيلة الدفع]]="محفظة",1,0)</f>
        <v>0</v>
      </c>
      <c r="P1565">
        <f>IF(Table1[[#This Row],[وسيلة الدفع]]="تحويل",1,0)</f>
        <v>0</v>
      </c>
      <c r="Q1565">
        <f>IF(Table1[[#This Row],[حضر التهيئة]]="نعم",1,0)</f>
        <v>0</v>
      </c>
      <c r="R1565">
        <f>IF(Table1[[#This Row],[دورة الفوترة]]="شهري",1,0)</f>
        <v>0</v>
      </c>
    </row>
    <row r="1566" spans="1:18" x14ac:dyDescent="0.25">
      <c r="A1566" t="s">
        <v>1586</v>
      </c>
      <c r="B1566" s="1">
        <v>45787</v>
      </c>
      <c r="C1566" t="s">
        <v>13</v>
      </c>
      <c r="D1566">
        <v>89</v>
      </c>
      <c r="E1566" t="s">
        <v>14</v>
      </c>
      <c r="F1566">
        <v>23</v>
      </c>
      <c r="G1566" t="s">
        <v>15</v>
      </c>
      <c r="H1566">
        <v>0</v>
      </c>
      <c r="I1566">
        <v>41</v>
      </c>
      <c r="J1566">
        <v>0</v>
      </c>
      <c r="K1566" t="s">
        <v>16</v>
      </c>
      <c r="L1566" t="s">
        <v>17</v>
      </c>
      <c r="M1566">
        <f>IF(Table1[[#This Row],[ألغى الاشتراك]]="نعم",1,0)</f>
        <v>0</v>
      </c>
      <c r="N1566">
        <f>IF(Table1[[#This Row],[وسيلة الدفع]]="بطاقة",1,0)</f>
        <v>1</v>
      </c>
      <c r="O1566">
        <f>IF(Table1[[#This Row],[وسيلة الدفع]]="محفظة",1,0)</f>
        <v>0</v>
      </c>
      <c r="P1566">
        <f>IF(Table1[[#This Row],[وسيلة الدفع]]="تحويل",1,0)</f>
        <v>0</v>
      </c>
      <c r="Q1566">
        <f>IF(Table1[[#This Row],[حضر التهيئة]]="نعم",1,0)</f>
        <v>1</v>
      </c>
      <c r="R1566">
        <f>IF(Table1[[#This Row],[دورة الفوترة]]="شهري",1,0)</f>
        <v>1</v>
      </c>
    </row>
    <row r="1567" spans="1:18" x14ac:dyDescent="0.25">
      <c r="A1567" t="s">
        <v>1587</v>
      </c>
      <c r="B1567" s="1">
        <v>45337</v>
      </c>
      <c r="C1567" t="s">
        <v>28</v>
      </c>
      <c r="D1567">
        <v>39</v>
      </c>
      <c r="E1567" t="s">
        <v>14</v>
      </c>
      <c r="F1567">
        <v>10</v>
      </c>
      <c r="G1567" t="s">
        <v>23</v>
      </c>
      <c r="H1567">
        <v>1</v>
      </c>
      <c r="I1567">
        <v>24</v>
      </c>
      <c r="J1567">
        <v>0</v>
      </c>
      <c r="K1567" t="s">
        <v>16</v>
      </c>
      <c r="L1567" t="s">
        <v>17</v>
      </c>
      <c r="M1567">
        <f>IF(Table1[[#This Row],[ألغى الاشتراك]]="نعم",1,0)</f>
        <v>0</v>
      </c>
      <c r="N1567">
        <f>IF(Table1[[#This Row],[وسيلة الدفع]]="بطاقة",1,0)</f>
        <v>0</v>
      </c>
      <c r="O1567">
        <f>IF(Table1[[#This Row],[وسيلة الدفع]]="محفظة",1,0)</f>
        <v>0</v>
      </c>
      <c r="P1567">
        <f>IF(Table1[[#This Row],[وسيلة الدفع]]="تحويل",1,0)</f>
        <v>1</v>
      </c>
      <c r="Q1567">
        <f>IF(Table1[[#This Row],[حضر التهيئة]]="نعم",1,0)</f>
        <v>1</v>
      </c>
      <c r="R1567">
        <f>IF(Table1[[#This Row],[دورة الفوترة]]="شهري",1,0)</f>
        <v>1</v>
      </c>
    </row>
    <row r="1568" spans="1:18" x14ac:dyDescent="0.25">
      <c r="A1568" t="s">
        <v>1588</v>
      </c>
      <c r="B1568" s="1">
        <v>45635</v>
      </c>
      <c r="C1568" t="s">
        <v>28</v>
      </c>
      <c r="D1568">
        <v>39</v>
      </c>
      <c r="E1568" t="s">
        <v>20</v>
      </c>
      <c r="F1568">
        <v>25</v>
      </c>
      <c r="G1568" t="s">
        <v>15</v>
      </c>
      <c r="H1568">
        <v>0</v>
      </c>
      <c r="I1568">
        <v>19</v>
      </c>
      <c r="J1568">
        <v>25</v>
      </c>
      <c r="K1568" t="s">
        <v>16</v>
      </c>
      <c r="L1568" t="s">
        <v>17</v>
      </c>
      <c r="M1568">
        <f>IF(Table1[[#This Row],[ألغى الاشتراك]]="نعم",1,0)</f>
        <v>0</v>
      </c>
      <c r="N1568">
        <f>IF(Table1[[#This Row],[وسيلة الدفع]]="بطاقة",1,0)</f>
        <v>1</v>
      </c>
      <c r="O1568">
        <f>IF(Table1[[#This Row],[وسيلة الدفع]]="محفظة",1,0)</f>
        <v>0</v>
      </c>
      <c r="P1568">
        <f>IF(Table1[[#This Row],[وسيلة الدفع]]="تحويل",1,0)</f>
        <v>0</v>
      </c>
      <c r="Q1568">
        <f>IF(Table1[[#This Row],[حضر التهيئة]]="نعم",1,0)</f>
        <v>1</v>
      </c>
      <c r="R1568">
        <f>IF(Table1[[#This Row],[دورة الفوترة]]="شهري",1,0)</f>
        <v>0</v>
      </c>
    </row>
    <row r="1569" spans="1:18" x14ac:dyDescent="0.25">
      <c r="A1569" t="s">
        <v>1589</v>
      </c>
      <c r="B1569" s="1">
        <v>45791</v>
      </c>
      <c r="C1569" t="s">
        <v>28</v>
      </c>
      <c r="D1569">
        <v>39</v>
      </c>
      <c r="E1569" t="s">
        <v>20</v>
      </c>
      <c r="F1569">
        <v>27</v>
      </c>
      <c r="G1569" t="s">
        <v>23</v>
      </c>
      <c r="H1569">
        <v>2</v>
      </c>
      <c r="I1569">
        <v>49</v>
      </c>
      <c r="J1569">
        <v>0</v>
      </c>
      <c r="K1569" t="s">
        <v>17</v>
      </c>
      <c r="L1569" t="s">
        <v>17</v>
      </c>
      <c r="M1569">
        <f>IF(Table1[[#This Row],[ألغى الاشتراك]]="نعم",1,0)</f>
        <v>0</v>
      </c>
      <c r="N1569">
        <f>IF(Table1[[#This Row],[وسيلة الدفع]]="بطاقة",1,0)</f>
        <v>0</v>
      </c>
      <c r="O1569">
        <f>IF(Table1[[#This Row],[وسيلة الدفع]]="محفظة",1,0)</f>
        <v>0</v>
      </c>
      <c r="P1569">
        <f>IF(Table1[[#This Row],[وسيلة الدفع]]="تحويل",1,0)</f>
        <v>1</v>
      </c>
      <c r="Q1569">
        <f>IF(Table1[[#This Row],[حضر التهيئة]]="نعم",1,0)</f>
        <v>0</v>
      </c>
      <c r="R1569">
        <f>IF(Table1[[#This Row],[دورة الفوترة]]="شهري",1,0)</f>
        <v>0</v>
      </c>
    </row>
    <row r="1570" spans="1:18" x14ac:dyDescent="0.25">
      <c r="A1570" t="s">
        <v>1590</v>
      </c>
      <c r="B1570" s="1">
        <v>45341</v>
      </c>
      <c r="C1570" t="s">
        <v>19</v>
      </c>
      <c r="D1570">
        <v>189</v>
      </c>
      <c r="E1570" t="s">
        <v>14</v>
      </c>
      <c r="F1570">
        <v>26</v>
      </c>
      <c r="G1570" t="s">
        <v>23</v>
      </c>
      <c r="H1570">
        <v>11</v>
      </c>
      <c r="I1570">
        <v>28</v>
      </c>
      <c r="J1570">
        <v>0</v>
      </c>
      <c r="K1570" t="s">
        <v>16</v>
      </c>
      <c r="L1570" t="s">
        <v>17</v>
      </c>
      <c r="M1570">
        <f>IF(Table1[[#This Row],[ألغى الاشتراك]]="نعم",1,0)</f>
        <v>0</v>
      </c>
      <c r="N1570">
        <f>IF(Table1[[#This Row],[وسيلة الدفع]]="بطاقة",1,0)</f>
        <v>0</v>
      </c>
      <c r="O1570">
        <f>IF(Table1[[#This Row],[وسيلة الدفع]]="محفظة",1,0)</f>
        <v>0</v>
      </c>
      <c r="P1570">
        <f>IF(Table1[[#This Row],[وسيلة الدفع]]="تحويل",1,0)</f>
        <v>1</v>
      </c>
      <c r="Q1570">
        <f>IF(Table1[[#This Row],[حضر التهيئة]]="نعم",1,0)</f>
        <v>1</v>
      </c>
      <c r="R1570">
        <f>IF(Table1[[#This Row],[دورة الفوترة]]="شهري",1,0)</f>
        <v>1</v>
      </c>
    </row>
    <row r="1571" spans="1:18" x14ac:dyDescent="0.25">
      <c r="A1571" t="s">
        <v>1591</v>
      </c>
      <c r="B1571" s="1">
        <v>45858</v>
      </c>
      <c r="C1571" t="s">
        <v>19</v>
      </c>
      <c r="D1571">
        <v>189</v>
      </c>
      <c r="E1571" t="s">
        <v>20</v>
      </c>
      <c r="F1571">
        <v>13</v>
      </c>
      <c r="G1571" t="s">
        <v>21</v>
      </c>
      <c r="H1571">
        <v>1</v>
      </c>
      <c r="I1571">
        <v>7</v>
      </c>
      <c r="J1571">
        <v>0</v>
      </c>
      <c r="K1571" t="s">
        <v>17</v>
      </c>
      <c r="L1571" t="s">
        <v>17</v>
      </c>
      <c r="M1571">
        <f>IF(Table1[[#This Row],[ألغى الاشتراك]]="نعم",1,0)</f>
        <v>0</v>
      </c>
      <c r="N1571">
        <f>IF(Table1[[#This Row],[وسيلة الدفع]]="بطاقة",1,0)</f>
        <v>0</v>
      </c>
      <c r="O1571">
        <f>IF(Table1[[#This Row],[وسيلة الدفع]]="محفظة",1,0)</f>
        <v>1</v>
      </c>
      <c r="P1571">
        <f>IF(Table1[[#This Row],[وسيلة الدفع]]="تحويل",1,0)</f>
        <v>0</v>
      </c>
      <c r="Q1571">
        <f>IF(Table1[[#This Row],[حضر التهيئة]]="نعم",1,0)</f>
        <v>0</v>
      </c>
      <c r="R1571">
        <f>IF(Table1[[#This Row],[دورة الفوترة]]="شهري",1,0)</f>
        <v>0</v>
      </c>
    </row>
    <row r="1572" spans="1:18" x14ac:dyDescent="0.25">
      <c r="A1572" t="s">
        <v>1592</v>
      </c>
      <c r="B1572" s="1">
        <v>45635</v>
      </c>
      <c r="C1572" t="s">
        <v>19</v>
      </c>
      <c r="D1572">
        <v>189</v>
      </c>
      <c r="E1572" t="s">
        <v>20</v>
      </c>
      <c r="F1572">
        <v>8</v>
      </c>
      <c r="G1572" t="s">
        <v>23</v>
      </c>
      <c r="H1572">
        <v>0</v>
      </c>
      <c r="I1572">
        <v>42</v>
      </c>
      <c r="J1572">
        <v>0</v>
      </c>
      <c r="K1572" t="s">
        <v>17</v>
      </c>
      <c r="L1572" t="s">
        <v>17</v>
      </c>
      <c r="M1572">
        <f>IF(Table1[[#This Row],[ألغى الاشتراك]]="نعم",1,0)</f>
        <v>0</v>
      </c>
      <c r="N1572">
        <f>IF(Table1[[#This Row],[وسيلة الدفع]]="بطاقة",1,0)</f>
        <v>0</v>
      </c>
      <c r="O1572">
        <f>IF(Table1[[#This Row],[وسيلة الدفع]]="محفظة",1,0)</f>
        <v>0</v>
      </c>
      <c r="P1572">
        <f>IF(Table1[[#This Row],[وسيلة الدفع]]="تحويل",1,0)</f>
        <v>1</v>
      </c>
      <c r="Q1572">
        <f>IF(Table1[[#This Row],[حضر التهيئة]]="نعم",1,0)</f>
        <v>0</v>
      </c>
      <c r="R1572">
        <f>IF(Table1[[#This Row],[دورة الفوترة]]="شهري",1,0)</f>
        <v>0</v>
      </c>
    </row>
    <row r="1573" spans="1:18" x14ac:dyDescent="0.25">
      <c r="A1573" t="s">
        <v>1593</v>
      </c>
      <c r="B1573" s="1">
        <v>45454</v>
      </c>
      <c r="C1573" t="s">
        <v>28</v>
      </c>
      <c r="D1573">
        <v>39</v>
      </c>
      <c r="E1573" t="s">
        <v>14</v>
      </c>
      <c r="F1573">
        <v>3</v>
      </c>
      <c r="G1573" t="s">
        <v>23</v>
      </c>
      <c r="H1573">
        <v>0</v>
      </c>
      <c r="I1573">
        <v>51</v>
      </c>
      <c r="J1573">
        <v>10</v>
      </c>
      <c r="K1573" t="s">
        <v>17</v>
      </c>
      <c r="L1573" t="s">
        <v>17</v>
      </c>
      <c r="M1573">
        <f>IF(Table1[[#This Row],[ألغى الاشتراك]]="نعم",1,0)</f>
        <v>0</v>
      </c>
      <c r="N1573">
        <f>IF(Table1[[#This Row],[وسيلة الدفع]]="بطاقة",1,0)</f>
        <v>0</v>
      </c>
      <c r="O1573">
        <f>IF(Table1[[#This Row],[وسيلة الدفع]]="محفظة",1,0)</f>
        <v>0</v>
      </c>
      <c r="P1573">
        <f>IF(Table1[[#This Row],[وسيلة الدفع]]="تحويل",1,0)</f>
        <v>1</v>
      </c>
      <c r="Q1573">
        <f>IF(Table1[[#This Row],[حضر التهيئة]]="نعم",1,0)</f>
        <v>0</v>
      </c>
      <c r="R1573">
        <f>IF(Table1[[#This Row],[دورة الفوترة]]="شهري",1,0)</f>
        <v>1</v>
      </c>
    </row>
    <row r="1574" spans="1:18" x14ac:dyDescent="0.25">
      <c r="A1574" t="s">
        <v>1594</v>
      </c>
      <c r="B1574" s="1">
        <v>45643</v>
      </c>
      <c r="C1574" t="s">
        <v>13</v>
      </c>
      <c r="D1574">
        <v>89</v>
      </c>
      <c r="E1574" t="s">
        <v>20</v>
      </c>
      <c r="F1574">
        <v>25</v>
      </c>
      <c r="G1574" t="s">
        <v>21</v>
      </c>
      <c r="H1574">
        <v>0</v>
      </c>
      <c r="I1574">
        <v>15</v>
      </c>
      <c r="J1574">
        <v>25</v>
      </c>
      <c r="K1574" t="s">
        <v>16</v>
      </c>
      <c r="L1574" t="s">
        <v>17</v>
      </c>
      <c r="M1574">
        <f>IF(Table1[[#This Row],[ألغى الاشتراك]]="نعم",1,0)</f>
        <v>0</v>
      </c>
      <c r="N1574">
        <f>IF(Table1[[#This Row],[وسيلة الدفع]]="بطاقة",1,0)</f>
        <v>0</v>
      </c>
      <c r="O1574">
        <f>IF(Table1[[#This Row],[وسيلة الدفع]]="محفظة",1,0)</f>
        <v>1</v>
      </c>
      <c r="P1574">
        <f>IF(Table1[[#This Row],[وسيلة الدفع]]="تحويل",1,0)</f>
        <v>0</v>
      </c>
      <c r="Q1574">
        <f>IF(Table1[[#This Row],[حضر التهيئة]]="نعم",1,0)</f>
        <v>1</v>
      </c>
      <c r="R1574">
        <f>IF(Table1[[#This Row],[دورة الفوترة]]="شهري",1,0)</f>
        <v>0</v>
      </c>
    </row>
    <row r="1575" spans="1:18" x14ac:dyDescent="0.25">
      <c r="A1575" t="s">
        <v>1595</v>
      </c>
      <c r="B1575" s="1">
        <v>45675</v>
      </c>
      <c r="C1575" t="s">
        <v>19</v>
      </c>
      <c r="D1575">
        <v>189</v>
      </c>
      <c r="E1575" t="s">
        <v>14</v>
      </c>
      <c r="F1575">
        <v>5</v>
      </c>
      <c r="G1575" t="s">
        <v>21</v>
      </c>
      <c r="H1575">
        <v>1</v>
      </c>
      <c r="I1575">
        <v>59</v>
      </c>
      <c r="J1575">
        <v>0</v>
      </c>
      <c r="K1575" t="s">
        <v>17</v>
      </c>
      <c r="L1575" t="s">
        <v>17</v>
      </c>
      <c r="M1575">
        <f>IF(Table1[[#This Row],[ألغى الاشتراك]]="نعم",1,0)</f>
        <v>0</v>
      </c>
      <c r="N1575">
        <f>IF(Table1[[#This Row],[وسيلة الدفع]]="بطاقة",1,0)</f>
        <v>0</v>
      </c>
      <c r="O1575">
        <f>IF(Table1[[#This Row],[وسيلة الدفع]]="محفظة",1,0)</f>
        <v>1</v>
      </c>
      <c r="P1575">
        <f>IF(Table1[[#This Row],[وسيلة الدفع]]="تحويل",1,0)</f>
        <v>0</v>
      </c>
      <c r="Q1575">
        <f>IF(Table1[[#This Row],[حضر التهيئة]]="نعم",1,0)</f>
        <v>0</v>
      </c>
      <c r="R1575">
        <f>IF(Table1[[#This Row],[دورة الفوترة]]="شهري",1,0)</f>
        <v>1</v>
      </c>
    </row>
    <row r="1576" spans="1:18" x14ac:dyDescent="0.25">
      <c r="A1576" t="s">
        <v>1596</v>
      </c>
      <c r="B1576" s="1">
        <v>45349</v>
      </c>
      <c r="C1576" t="s">
        <v>19</v>
      </c>
      <c r="D1576">
        <v>189</v>
      </c>
      <c r="E1576" t="s">
        <v>20</v>
      </c>
      <c r="F1576">
        <v>16</v>
      </c>
      <c r="G1576" t="s">
        <v>23</v>
      </c>
      <c r="H1576">
        <v>9</v>
      </c>
      <c r="I1576">
        <v>32</v>
      </c>
      <c r="J1576">
        <v>0</v>
      </c>
      <c r="K1576" t="s">
        <v>16</v>
      </c>
      <c r="L1576" t="s">
        <v>17</v>
      </c>
      <c r="M1576">
        <f>IF(Table1[[#This Row],[ألغى الاشتراك]]="نعم",1,0)</f>
        <v>0</v>
      </c>
      <c r="N1576">
        <f>IF(Table1[[#This Row],[وسيلة الدفع]]="بطاقة",1,0)</f>
        <v>0</v>
      </c>
      <c r="O1576">
        <f>IF(Table1[[#This Row],[وسيلة الدفع]]="محفظة",1,0)</f>
        <v>0</v>
      </c>
      <c r="P1576">
        <f>IF(Table1[[#This Row],[وسيلة الدفع]]="تحويل",1,0)</f>
        <v>1</v>
      </c>
      <c r="Q1576">
        <f>IF(Table1[[#This Row],[حضر التهيئة]]="نعم",1,0)</f>
        <v>1</v>
      </c>
      <c r="R1576">
        <f>IF(Table1[[#This Row],[دورة الفوترة]]="شهري",1,0)</f>
        <v>0</v>
      </c>
    </row>
    <row r="1577" spans="1:18" x14ac:dyDescent="0.25">
      <c r="A1577" t="s">
        <v>1597</v>
      </c>
      <c r="B1577" s="1">
        <v>45403</v>
      </c>
      <c r="C1577" t="s">
        <v>13</v>
      </c>
      <c r="D1577">
        <v>89</v>
      </c>
      <c r="E1577" t="s">
        <v>14</v>
      </c>
      <c r="F1577">
        <v>9</v>
      </c>
      <c r="G1577" t="s">
        <v>21</v>
      </c>
      <c r="H1577">
        <v>9</v>
      </c>
      <c r="I1577">
        <v>39</v>
      </c>
      <c r="J1577">
        <v>25</v>
      </c>
      <c r="K1577" t="s">
        <v>16</v>
      </c>
      <c r="L1577" t="s">
        <v>17</v>
      </c>
      <c r="M1577">
        <f>IF(Table1[[#This Row],[ألغى الاشتراك]]="نعم",1,0)</f>
        <v>0</v>
      </c>
      <c r="N1577">
        <f>IF(Table1[[#This Row],[وسيلة الدفع]]="بطاقة",1,0)</f>
        <v>0</v>
      </c>
      <c r="O1577">
        <f>IF(Table1[[#This Row],[وسيلة الدفع]]="محفظة",1,0)</f>
        <v>1</v>
      </c>
      <c r="P1577">
        <f>IF(Table1[[#This Row],[وسيلة الدفع]]="تحويل",1,0)</f>
        <v>0</v>
      </c>
      <c r="Q1577">
        <f>IF(Table1[[#This Row],[حضر التهيئة]]="نعم",1,0)</f>
        <v>1</v>
      </c>
      <c r="R1577">
        <f>IF(Table1[[#This Row],[دورة الفوترة]]="شهري",1,0)</f>
        <v>1</v>
      </c>
    </row>
    <row r="1578" spans="1:18" x14ac:dyDescent="0.25">
      <c r="A1578" t="s">
        <v>1598</v>
      </c>
      <c r="B1578" s="1">
        <v>45922</v>
      </c>
      <c r="C1578" t="s">
        <v>19</v>
      </c>
      <c r="D1578">
        <v>189</v>
      </c>
      <c r="E1578" t="s">
        <v>20</v>
      </c>
      <c r="F1578">
        <v>11</v>
      </c>
      <c r="G1578" t="s">
        <v>23</v>
      </c>
      <c r="H1578">
        <v>2</v>
      </c>
      <c r="I1578">
        <v>39</v>
      </c>
      <c r="J1578">
        <v>0</v>
      </c>
      <c r="K1578" t="s">
        <v>16</v>
      </c>
      <c r="L1578" t="s">
        <v>17</v>
      </c>
      <c r="M1578">
        <f>IF(Table1[[#This Row],[ألغى الاشتراك]]="نعم",1,0)</f>
        <v>0</v>
      </c>
      <c r="N1578">
        <f>IF(Table1[[#This Row],[وسيلة الدفع]]="بطاقة",1,0)</f>
        <v>0</v>
      </c>
      <c r="O1578">
        <f>IF(Table1[[#This Row],[وسيلة الدفع]]="محفظة",1,0)</f>
        <v>0</v>
      </c>
      <c r="P1578">
        <f>IF(Table1[[#This Row],[وسيلة الدفع]]="تحويل",1,0)</f>
        <v>1</v>
      </c>
      <c r="Q1578">
        <f>IF(Table1[[#This Row],[حضر التهيئة]]="نعم",1,0)</f>
        <v>1</v>
      </c>
      <c r="R1578">
        <f>IF(Table1[[#This Row],[دورة الفوترة]]="شهري",1,0)</f>
        <v>0</v>
      </c>
    </row>
    <row r="1579" spans="1:18" x14ac:dyDescent="0.25">
      <c r="A1579" t="s">
        <v>1599</v>
      </c>
      <c r="B1579" s="1">
        <v>45732</v>
      </c>
      <c r="C1579" t="s">
        <v>19</v>
      </c>
      <c r="D1579">
        <v>189</v>
      </c>
      <c r="E1579" t="s">
        <v>20</v>
      </c>
      <c r="F1579">
        <v>26</v>
      </c>
      <c r="G1579" t="s">
        <v>21</v>
      </c>
      <c r="H1579">
        <v>2</v>
      </c>
      <c r="I1579">
        <v>6</v>
      </c>
      <c r="J1579">
        <v>15</v>
      </c>
      <c r="K1579" t="s">
        <v>16</v>
      </c>
      <c r="L1579" t="s">
        <v>17</v>
      </c>
      <c r="M1579">
        <f>IF(Table1[[#This Row],[ألغى الاشتراك]]="نعم",1,0)</f>
        <v>0</v>
      </c>
      <c r="N1579">
        <f>IF(Table1[[#This Row],[وسيلة الدفع]]="بطاقة",1,0)</f>
        <v>0</v>
      </c>
      <c r="O1579">
        <f>IF(Table1[[#This Row],[وسيلة الدفع]]="محفظة",1,0)</f>
        <v>1</v>
      </c>
      <c r="P1579">
        <f>IF(Table1[[#This Row],[وسيلة الدفع]]="تحويل",1,0)</f>
        <v>0</v>
      </c>
      <c r="Q1579">
        <f>IF(Table1[[#This Row],[حضر التهيئة]]="نعم",1,0)</f>
        <v>1</v>
      </c>
      <c r="R1579">
        <f>IF(Table1[[#This Row],[دورة الفوترة]]="شهري",1,0)</f>
        <v>0</v>
      </c>
    </row>
    <row r="1580" spans="1:18" x14ac:dyDescent="0.25">
      <c r="A1580" t="s">
        <v>1600</v>
      </c>
      <c r="B1580" s="1">
        <v>45391</v>
      </c>
      <c r="C1580" t="s">
        <v>19</v>
      </c>
      <c r="D1580">
        <v>189</v>
      </c>
      <c r="E1580" t="s">
        <v>20</v>
      </c>
      <c r="F1580">
        <v>12</v>
      </c>
      <c r="G1580" t="s">
        <v>23</v>
      </c>
      <c r="H1580">
        <v>1</v>
      </c>
      <c r="I1580">
        <v>26</v>
      </c>
      <c r="J1580">
        <v>0</v>
      </c>
      <c r="K1580" t="s">
        <v>17</v>
      </c>
      <c r="L1580" t="s">
        <v>17</v>
      </c>
      <c r="M1580">
        <f>IF(Table1[[#This Row],[ألغى الاشتراك]]="نعم",1,0)</f>
        <v>0</v>
      </c>
      <c r="N1580">
        <f>IF(Table1[[#This Row],[وسيلة الدفع]]="بطاقة",1,0)</f>
        <v>0</v>
      </c>
      <c r="O1580">
        <f>IF(Table1[[#This Row],[وسيلة الدفع]]="محفظة",1,0)</f>
        <v>0</v>
      </c>
      <c r="P1580">
        <f>IF(Table1[[#This Row],[وسيلة الدفع]]="تحويل",1,0)</f>
        <v>1</v>
      </c>
      <c r="Q1580">
        <f>IF(Table1[[#This Row],[حضر التهيئة]]="نعم",1,0)</f>
        <v>0</v>
      </c>
      <c r="R1580">
        <f>IF(Table1[[#This Row],[دورة الفوترة]]="شهري",1,0)</f>
        <v>0</v>
      </c>
    </row>
    <row r="1581" spans="1:18" x14ac:dyDescent="0.25">
      <c r="A1581" t="s">
        <v>1601</v>
      </c>
      <c r="B1581" s="1">
        <v>45914</v>
      </c>
      <c r="C1581" t="s">
        <v>13</v>
      </c>
      <c r="D1581">
        <v>89</v>
      </c>
      <c r="E1581" t="s">
        <v>14</v>
      </c>
      <c r="F1581">
        <v>15</v>
      </c>
      <c r="G1581" t="s">
        <v>21</v>
      </c>
      <c r="H1581">
        <v>0</v>
      </c>
      <c r="I1581">
        <v>19</v>
      </c>
      <c r="J1581">
        <v>0</v>
      </c>
      <c r="K1581" t="s">
        <v>16</v>
      </c>
      <c r="L1581" t="s">
        <v>17</v>
      </c>
      <c r="M1581">
        <f>IF(Table1[[#This Row],[ألغى الاشتراك]]="نعم",1,0)</f>
        <v>0</v>
      </c>
      <c r="N1581">
        <f>IF(Table1[[#This Row],[وسيلة الدفع]]="بطاقة",1,0)</f>
        <v>0</v>
      </c>
      <c r="O1581">
        <f>IF(Table1[[#This Row],[وسيلة الدفع]]="محفظة",1,0)</f>
        <v>1</v>
      </c>
      <c r="P1581">
        <f>IF(Table1[[#This Row],[وسيلة الدفع]]="تحويل",1,0)</f>
        <v>0</v>
      </c>
      <c r="Q1581">
        <f>IF(Table1[[#This Row],[حضر التهيئة]]="نعم",1,0)</f>
        <v>1</v>
      </c>
      <c r="R1581">
        <f>IF(Table1[[#This Row],[دورة الفوترة]]="شهري",1,0)</f>
        <v>1</v>
      </c>
    </row>
    <row r="1582" spans="1:18" x14ac:dyDescent="0.25">
      <c r="A1582" t="s">
        <v>1602</v>
      </c>
      <c r="B1582" s="1">
        <v>45584</v>
      </c>
      <c r="C1582" t="s">
        <v>19</v>
      </c>
      <c r="D1582">
        <v>189</v>
      </c>
      <c r="E1582" t="s">
        <v>20</v>
      </c>
      <c r="F1582">
        <v>18</v>
      </c>
      <c r="G1582" t="s">
        <v>21</v>
      </c>
      <c r="H1582">
        <v>1</v>
      </c>
      <c r="I1582">
        <v>8</v>
      </c>
      <c r="J1582">
        <v>0</v>
      </c>
      <c r="K1582" t="s">
        <v>16</v>
      </c>
      <c r="L1582" t="s">
        <v>17</v>
      </c>
      <c r="M1582">
        <f>IF(Table1[[#This Row],[ألغى الاشتراك]]="نعم",1,0)</f>
        <v>0</v>
      </c>
      <c r="N1582">
        <f>IF(Table1[[#This Row],[وسيلة الدفع]]="بطاقة",1,0)</f>
        <v>0</v>
      </c>
      <c r="O1582">
        <f>IF(Table1[[#This Row],[وسيلة الدفع]]="محفظة",1,0)</f>
        <v>1</v>
      </c>
      <c r="P1582">
        <f>IF(Table1[[#This Row],[وسيلة الدفع]]="تحويل",1,0)</f>
        <v>0</v>
      </c>
      <c r="Q1582">
        <f>IF(Table1[[#This Row],[حضر التهيئة]]="نعم",1,0)</f>
        <v>1</v>
      </c>
      <c r="R1582">
        <f>IF(Table1[[#This Row],[دورة الفوترة]]="شهري",1,0)</f>
        <v>0</v>
      </c>
    </row>
    <row r="1583" spans="1:18" x14ac:dyDescent="0.25">
      <c r="A1583" t="s">
        <v>1603</v>
      </c>
      <c r="B1583" s="1">
        <v>45407</v>
      </c>
      <c r="C1583" t="s">
        <v>28</v>
      </c>
      <c r="D1583">
        <v>39</v>
      </c>
      <c r="E1583" t="s">
        <v>20</v>
      </c>
      <c r="F1583">
        <v>17</v>
      </c>
      <c r="G1583" t="s">
        <v>23</v>
      </c>
      <c r="H1583">
        <v>6</v>
      </c>
      <c r="I1583">
        <v>25</v>
      </c>
      <c r="J1583">
        <v>25</v>
      </c>
      <c r="K1583" t="s">
        <v>16</v>
      </c>
      <c r="L1583" t="s">
        <v>17</v>
      </c>
      <c r="M1583">
        <f>IF(Table1[[#This Row],[ألغى الاشتراك]]="نعم",1,0)</f>
        <v>0</v>
      </c>
      <c r="N1583">
        <f>IF(Table1[[#This Row],[وسيلة الدفع]]="بطاقة",1,0)</f>
        <v>0</v>
      </c>
      <c r="O1583">
        <f>IF(Table1[[#This Row],[وسيلة الدفع]]="محفظة",1,0)</f>
        <v>0</v>
      </c>
      <c r="P1583">
        <f>IF(Table1[[#This Row],[وسيلة الدفع]]="تحويل",1,0)</f>
        <v>1</v>
      </c>
      <c r="Q1583">
        <f>IF(Table1[[#This Row],[حضر التهيئة]]="نعم",1,0)</f>
        <v>1</v>
      </c>
      <c r="R1583">
        <f>IF(Table1[[#This Row],[دورة الفوترة]]="شهري",1,0)</f>
        <v>0</v>
      </c>
    </row>
    <row r="1584" spans="1:18" x14ac:dyDescent="0.25">
      <c r="A1584" t="s">
        <v>1604</v>
      </c>
      <c r="B1584" s="1">
        <v>45683</v>
      </c>
      <c r="C1584" t="s">
        <v>13</v>
      </c>
      <c r="D1584">
        <v>89</v>
      </c>
      <c r="E1584" t="s">
        <v>14</v>
      </c>
      <c r="F1584">
        <v>19</v>
      </c>
      <c r="G1584" t="s">
        <v>21</v>
      </c>
      <c r="H1584">
        <v>3</v>
      </c>
      <c r="I1584">
        <v>3</v>
      </c>
      <c r="J1584">
        <v>0</v>
      </c>
      <c r="K1584" t="s">
        <v>17</v>
      </c>
      <c r="L1584" t="s">
        <v>17</v>
      </c>
      <c r="M1584">
        <f>IF(Table1[[#This Row],[ألغى الاشتراك]]="نعم",1,0)</f>
        <v>0</v>
      </c>
      <c r="N1584">
        <f>IF(Table1[[#This Row],[وسيلة الدفع]]="بطاقة",1,0)</f>
        <v>0</v>
      </c>
      <c r="O1584">
        <f>IF(Table1[[#This Row],[وسيلة الدفع]]="محفظة",1,0)</f>
        <v>1</v>
      </c>
      <c r="P1584">
        <f>IF(Table1[[#This Row],[وسيلة الدفع]]="تحويل",1,0)</f>
        <v>0</v>
      </c>
      <c r="Q1584">
        <f>IF(Table1[[#This Row],[حضر التهيئة]]="نعم",1,0)</f>
        <v>0</v>
      </c>
      <c r="R1584">
        <f>IF(Table1[[#This Row],[دورة الفوترة]]="شهري",1,0)</f>
        <v>1</v>
      </c>
    </row>
    <row r="1585" spans="1:18" x14ac:dyDescent="0.25">
      <c r="A1585" t="s">
        <v>1605</v>
      </c>
      <c r="B1585" s="1">
        <v>45576</v>
      </c>
      <c r="C1585" t="s">
        <v>28</v>
      </c>
      <c r="D1585">
        <v>39</v>
      </c>
      <c r="E1585" t="s">
        <v>20</v>
      </c>
      <c r="F1585">
        <v>4</v>
      </c>
      <c r="G1585" t="s">
        <v>23</v>
      </c>
      <c r="H1585">
        <v>2</v>
      </c>
      <c r="I1585">
        <v>30</v>
      </c>
      <c r="J1585">
        <v>0</v>
      </c>
      <c r="K1585" t="s">
        <v>17</v>
      </c>
      <c r="L1585" t="s">
        <v>17</v>
      </c>
      <c r="M1585">
        <f>IF(Table1[[#This Row],[ألغى الاشتراك]]="نعم",1,0)</f>
        <v>0</v>
      </c>
      <c r="N1585">
        <f>IF(Table1[[#This Row],[وسيلة الدفع]]="بطاقة",1,0)</f>
        <v>0</v>
      </c>
      <c r="O1585">
        <f>IF(Table1[[#This Row],[وسيلة الدفع]]="محفظة",1,0)</f>
        <v>0</v>
      </c>
      <c r="P1585">
        <f>IF(Table1[[#This Row],[وسيلة الدفع]]="تحويل",1,0)</f>
        <v>1</v>
      </c>
      <c r="Q1585">
        <f>IF(Table1[[#This Row],[حضر التهيئة]]="نعم",1,0)</f>
        <v>0</v>
      </c>
      <c r="R1585">
        <f>IF(Table1[[#This Row],[دورة الفوترة]]="شهري",1,0)</f>
        <v>0</v>
      </c>
    </row>
    <row r="1586" spans="1:18" x14ac:dyDescent="0.25">
      <c r="A1586" t="s">
        <v>1606</v>
      </c>
      <c r="B1586" s="1">
        <v>45740</v>
      </c>
      <c r="C1586" t="s">
        <v>19</v>
      </c>
      <c r="D1586">
        <v>189</v>
      </c>
      <c r="E1586" t="s">
        <v>20</v>
      </c>
      <c r="F1586">
        <v>13</v>
      </c>
      <c r="G1586" t="s">
        <v>23</v>
      </c>
      <c r="H1586">
        <v>3</v>
      </c>
      <c r="I1586">
        <v>47</v>
      </c>
      <c r="J1586">
        <v>0</v>
      </c>
      <c r="K1586" t="s">
        <v>17</v>
      </c>
      <c r="L1586" t="s">
        <v>17</v>
      </c>
      <c r="M1586">
        <f>IF(Table1[[#This Row],[ألغى الاشتراك]]="نعم",1,0)</f>
        <v>0</v>
      </c>
      <c r="N1586">
        <f>IF(Table1[[#This Row],[وسيلة الدفع]]="بطاقة",1,0)</f>
        <v>0</v>
      </c>
      <c r="O1586">
        <f>IF(Table1[[#This Row],[وسيلة الدفع]]="محفظة",1,0)</f>
        <v>0</v>
      </c>
      <c r="P1586">
        <f>IF(Table1[[#This Row],[وسيلة الدفع]]="تحويل",1,0)</f>
        <v>1</v>
      </c>
      <c r="Q1586">
        <f>IF(Table1[[#This Row],[حضر التهيئة]]="نعم",1,0)</f>
        <v>0</v>
      </c>
      <c r="R1586">
        <f>IF(Table1[[#This Row],[دورة الفوترة]]="شهري",1,0)</f>
        <v>0</v>
      </c>
    </row>
    <row r="1587" spans="1:18" x14ac:dyDescent="0.25">
      <c r="A1587" t="s">
        <v>1607</v>
      </c>
      <c r="B1587" s="1">
        <v>45639</v>
      </c>
      <c r="C1587" t="s">
        <v>19</v>
      </c>
      <c r="D1587">
        <v>189</v>
      </c>
      <c r="E1587" t="s">
        <v>14</v>
      </c>
      <c r="F1587">
        <v>10</v>
      </c>
      <c r="G1587" t="s">
        <v>15</v>
      </c>
      <c r="H1587">
        <v>2</v>
      </c>
      <c r="I1587">
        <v>28</v>
      </c>
      <c r="J1587">
        <v>0</v>
      </c>
      <c r="K1587" t="s">
        <v>17</v>
      </c>
      <c r="L1587" t="s">
        <v>17</v>
      </c>
      <c r="M1587">
        <f>IF(Table1[[#This Row],[ألغى الاشتراك]]="نعم",1,0)</f>
        <v>0</v>
      </c>
      <c r="N1587">
        <f>IF(Table1[[#This Row],[وسيلة الدفع]]="بطاقة",1,0)</f>
        <v>1</v>
      </c>
      <c r="O1587">
        <f>IF(Table1[[#This Row],[وسيلة الدفع]]="محفظة",1,0)</f>
        <v>0</v>
      </c>
      <c r="P1587">
        <f>IF(Table1[[#This Row],[وسيلة الدفع]]="تحويل",1,0)</f>
        <v>0</v>
      </c>
      <c r="Q1587">
        <f>IF(Table1[[#This Row],[حضر التهيئة]]="نعم",1,0)</f>
        <v>0</v>
      </c>
      <c r="R1587">
        <f>IF(Table1[[#This Row],[دورة الفوترة]]="شهري",1,0)</f>
        <v>1</v>
      </c>
    </row>
    <row r="1588" spans="1:18" x14ac:dyDescent="0.25">
      <c r="A1588" t="s">
        <v>1608</v>
      </c>
      <c r="B1588" s="1">
        <v>45910</v>
      </c>
      <c r="C1588" t="s">
        <v>19</v>
      </c>
      <c r="D1588">
        <v>189</v>
      </c>
      <c r="E1588" t="s">
        <v>14</v>
      </c>
      <c r="F1588">
        <v>5</v>
      </c>
      <c r="G1588" t="s">
        <v>21</v>
      </c>
      <c r="H1588">
        <v>6</v>
      </c>
      <c r="I1588">
        <v>33</v>
      </c>
      <c r="J1588">
        <v>0</v>
      </c>
      <c r="K1588" t="s">
        <v>17</v>
      </c>
      <c r="L1588" t="s">
        <v>17</v>
      </c>
      <c r="M1588">
        <f>IF(Table1[[#This Row],[ألغى الاشتراك]]="نعم",1,0)</f>
        <v>0</v>
      </c>
      <c r="N1588">
        <f>IF(Table1[[#This Row],[وسيلة الدفع]]="بطاقة",1,0)</f>
        <v>0</v>
      </c>
      <c r="O1588">
        <f>IF(Table1[[#This Row],[وسيلة الدفع]]="محفظة",1,0)</f>
        <v>1</v>
      </c>
      <c r="P1588">
        <f>IF(Table1[[#This Row],[وسيلة الدفع]]="تحويل",1,0)</f>
        <v>0</v>
      </c>
      <c r="Q1588">
        <f>IF(Table1[[#This Row],[حضر التهيئة]]="نعم",1,0)</f>
        <v>0</v>
      </c>
      <c r="R1588">
        <f>IF(Table1[[#This Row],[دورة الفوترة]]="شهري",1,0)</f>
        <v>1</v>
      </c>
    </row>
    <row r="1589" spans="1:18" x14ac:dyDescent="0.25">
      <c r="A1589" t="s">
        <v>1609</v>
      </c>
      <c r="B1589" s="1">
        <v>45568</v>
      </c>
      <c r="C1589" t="s">
        <v>19</v>
      </c>
      <c r="D1589">
        <v>189</v>
      </c>
      <c r="E1589" t="s">
        <v>20</v>
      </c>
      <c r="F1589">
        <v>6</v>
      </c>
      <c r="G1589" t="s">
        <v>23</v>
      </c>
      <c r="H1589">
        <v>1</v>
      </c>
      <c r="I1589">
        <v>20</v>
      </c>
      <c r="J1589">
        <v>0</v>
      </c>
      <c r="K1589" t="s">
        <v>16</v>
      </c>
      <c r="L1589" t="s">
        <v>17</v>
      </c>
      <c r="M1589">
        <f>IF(Table1[[#This Row],[ألغى الاشتراك]]="نعم",1,0)</f>
        <v>0</v>
      </c>
      <c r="N1589">
        <f>IF(Table1[[#This Row],[وسيلة الدفع]]="بطاقة",1,0)</f>
        <v>0</v>
      </c>
      <c r="O1589">
        <f>IF(Table1[[#This Row],[وسيلة الدفع]]="محفظة",1,0)</f>
        <v>0</v>
      </c>
      <c r="P1589">
        <f>IF(Table1[[#This Row],[وسيلة الدفع]]="تحويل",1,0)</f>
        <v>1</v>
      </c>
      <c r="Q1589">
        <f>IF(Table1[[#This Row],[حضر التهيئة]]="نعم",1,0)</f>
        <v>1</v>
      </c>
      <c r="R1589">
        <f>IF(Table1[[#This Row],[دورة الفوترة]]="شهري",1,0)</f>
        <v>0</v>
      </c>
    </row>
    <row r="1590" spans="1:18" x14ac:dyDescent="0.25">
      <c r="A1590" t="s">
        <v>1610</v>
      </c>
      <c r="B1590" s="1">
        <v>45842</v>
      </c>
      <c r="C1590" t="s">
        <v>19</v>
      </c>
      <c r="D1590">
        <v>189</v>
      </c>
      <c r="E1590" t="s">
        <v>14</v>
      </c>
      <c r="F1590">
        <v>25</v>
      </c>
      <c r="G1590" t="s">
        <v>21</v>
      </c>
      <c r="H1590">
        <v>6</v>
      </c>
      <c r="I1590">
        <v>49</v>
      </c>
      <c r="J1590">
        <v>0</v>
      </c>
      <c r="K1590" t="s">
        <v>17</v>
      </c>
      <c r="L1590" t="s">
        <v>17</v>
      </c>
      <c r="M1590">
        <f>IF(Table1[[#This Row],[ألغى الاشتراك]]="نعم",1,0)</f>
        <v>0</v>
      </c>
      <c r="N1590">
        <f>IF(Table1[[#This Row],[وسيلة الدفع]]="بطاقة",1,0)</f>
        <v>0</v>
      </c>
      <c r="O1590">
        <f>IF(Table1[[#This Row],[وسيلة الدفع]]="محفظة",1,0)</f>
        <v>1</v>
      </c>
      <c r="P1590">
        <f>IF(Table1[[#This Row],[وسيلة الدفع]]="تحويل",1,0)</f>
        <v>0</v>
      </c>
      <c r="Q1590">
        <f>IF(Table1[[#This Row],[حضر التهيئة]]="نعم",1,0)</f>
        <v>0</v>
      </c>
      <c r="R1590">
        <f>IF(Table1[[#This Row],[دورة الفوترة]]="شهري",1,0)</f>
        <v>1</v>
      </c>
    </row>
    <row r="1591" spans="1:18" x14ac:dyDescent="0.25">
      <c r="A1591" t="s">
        <v>1611</v>
      </c>
      <c r="B1591" s="1">
        <v>45513</v>
      </c>
      <c r="C1591" t="s">
        <v>13</v>
      </c>
      <c r="D1591">
        <v>89</v>
      </c>
      <c r="E1591" t="s">
        <v>20</v>
      </c>
      <c r="F1591">
        <v>16</v>
      </c>
      <c r="G1591" t="s">
        <v>23</v>
      </c>
      <c r="H1591">
        <v>1</v>
      </c>
      <c r="I1591">
        <v>8</v>
      </c>
      <c r="J1591">
        <v>0</v>
      </c>
      <c r="K1591" t="s">
        <v>16</v>
      </c>
      <c r="L1591" t="s">
        <v>17</v>
      </c>
      <c r="M1591">
        <f>IF(Table1[[#This Row],[ألغى الاشتراك]]="نعم",1,0)</f>
        <v>0</v>
      </c>
      <c r="N1591">
        <f>IF(Table1[[#This Row],[وسيلة الدفع]]="بطاقة",1,0)</f>
        <v>0</v>
      </c>
      <c r="O1591">
        <f>IF(Table1[[#This Row],[وسيلة الدفع]]="محفظة",1,0)</f>
        <v>0</v>
      </c>
      <c r="P1591">
        <f>IF(Table1[[#This Row],[وسيلة الدفع]]="تحويل",1,0)</f>
        <v>1</v>
      </c>
      <c r="Q1591">
        <f>IF(Table1[[#This Row],[حضر التهيئة]]="نعم",1,0)</f>
        <v>1</v>
      </c>
      <c r="R1591">
        <f>IF(Table1[[#This Row],[دورة الفوترة]]="شهري",1,0)</f>
        <v>0</v>
      </c>
    </row>
    <row r="1592" spans="1:18" x14ac:dyDescent="0.25">
      <c r="A1592" t="s">
        <v>1612</v>
      </c>
      <c r="B1592" s="1">
        <v>45663</v>
      </c>
      <c r="C1592" t="s">
        <v>13</v>
      </c>
      <c r="D1592">
        <v>89</v>
      </c>
      <c r="E1592" t="s">
        <v>14</v>
      </c>
      <c r="F1592">
        <v>19</v>
      </c>
      <c r="G1592" t="s">
        <v>23</v>
      </c>
      <c r="H1592">
        <v>11</v>
      </c>
      <c r="I1592">
        <v>23</v>
      </c>
      <c r="J1592">
        <v>0</v>
      </c>
      <c r="K1592" t="s">
        <v>16</v>
      </c>
      <c r="L1592" t="s">
        <v>17</v>
      </c>
      <c r="M1592">
        <f>IF(Table1[[#This Row],[ألغى الاشتراك]]="نعم",1,0)</f>
        <v>0</v>
      </c>
      <c r="N1592">
        <f>IF(Table1[[#This Row],[وسيلة الدفع]]="بطاقة",1,0)</f>
        <v>0</v>
      </c>
      <c r="O1592">
        <f>IF(Table1[[#This Row],[وسيلة الدفع]]="محفظة",1,0)</f>
        <v>0</v>
      </c>
      <c r="P1592">
        <f>IF(Table1[[#This Row],[وسيلة الدفع]]="تحويل",1,0)</f>
        <v>1</v>
      </c>
      <c r="Q1592">
        <f>IF(Table1[[#This Row],[حضر التهيئة]]="نعم",1,0)</f>
        <v>1</v>
      </c>
      <c r="R1592">
        <f>IF(Table1[[#This Row],[دورة الفوترة]]="شهري",1,0)</f>
        <v>1</v>
      </c>
    </row>
    <row r="1593" spans="1:18" x14ac:dyDescent="0.25">
      <c r="A1593" t="s">
        <v>1613</v>
      </c>
      <c r="B1593" s="1">
        <v>45846</v>
      </c>
      <c r="C1593" t="s">
        <v>19</v>
      </c>
      <c r="D1593">
        <v>189</v>
      </c>
      <c r="E1593" t="s">
        <v>20</v>
      </c>
      <c r="F1593">
        <v>28</v>
      </c>
      <c r="G1593" t="s">
        <v>23</v>
      </c>
      <c r="H1593">
        <v>0</v>
      </c>
      <c r="I1593">
        <v>58</v>
      </c>
      <c r="J1593">
        <v>15</v>
      </c>
      <c r="K1593" t="s">
        <v>17</v>
      </c>
      <c r="L1593" t="s">
        <v>17</v>
      </c>
      <c r="M1593">
        <f>IF(Table1[[#This Row],[ألغى الاشتراك]]="نعم",1,0)</f>
        <v>0</v>
      </c>
      <c r="N1593">
        <f>IF(Table1[[#This Row],[وسيلة الدفع]]="بطاقة",1,0)</f>
        <v>0</v>
      </c>
      <c r="O1593">
        <f>IF(Table1[[#This Row],[وسيلة الدفع]]="محفظة",1,0)</f>
        <v>0</v>
      </c>
      <c r="P1593">
        <f>IF(Table1[[#This Row],[وسيلة الدفع]]="تحويل",1,0)</f>
        <v>1</v>
      </c>
      <c r="Q1593">
        <f>IF(Table1[[#This Row],[حضر التهيئة]]="نعم",1,0)</f>
        <v>0</v>
      </c>
      <c r="R1593">
        <f>IF(Table1[[#This Row],[دورة الفوترة]]="شهري",1,0)</f>
        <v>0</v>
      </c>
    </row>
    <row r="1594" spans="1:18" x14ac:dyDescent="0.25">
      <c r="A1594" t="s">
        <v>1614</v>
      </c>
      <c r="B1594" s="1">
        <v>45517</v>
      </c>
      <c r="C1594" t="s">
        <v>19</v>
      </c>
      <c r="D1594">
        <v>189</v>
      </c>
      <c r="E1594" t="s">
        <v>14</v>
      </c>
      <c r="F1594">
        <v>6</v>
      </c>
      <c r="G1594" t="s">
        <v>21</v>
      </c>
      <c r="H1594">
        <v>1</v>
      </c>
      <c r="I1594">
        <v>40</v>
      </c>
      <c r="J1594">
        <v>0</v>
      </c>
      <c r="K1594" t="s">
        <v>17</v>
      </c>
      <c r="L1594" t="s">
        <v>17</v>
      </c>
      <c r="M1594">
        <f>IF(Table1[[#This Row],[ألغى الاشتراك]]="نعم",1,0)</f>
        <v>0</v>
      </c>
      <c r="N1594">
        <f>IF(Table1[[#This Row],[وسيلة الدفع]]="بطاقة",1,0)</f>
        <v>0</v>
      </c>
      <c r="O1594">
        <f>IF(Table1[[#This Row],[وسيلة الدفع]]="محفظة",1,0)</f>
        <v>1</v>
      </c>
      <c r="P1594">
        <f>IF(Table1[[#This Row],[وسيلة الدفع]]="تحويل",1,0)</f>
        <v>0</v>
      </c>
      <c r="Q1594">
        <f>IF(Table1[[#This Row],[حضر التهيئة]]="نعم",1,0)</f>
        <v>0</v>
      </c>
      <c r="R1594">
        <f>IF(Table1[[#This Row],[دورة الفوترة]]="شهري",1,0)</f>
        <v>1</v>
      </c>
    </row>
    <row r="1595" spans="1:18" x14ac:dyDescent="0.25">
      <c r="A1595" t="s">
        <v>1615</v>
      </c>
      <c r="B1595" s="1">
        <v>45675</v>
      </c>
      <c r="C1595" t="s">
        <v>28</v>
      </c>
      <c r="D1595">
        <v>39</v>
      </c>
      <c r="E1595" t="s">
        <v>20</v>
      </c>
      <c r="F1595">
        <v>23</v>
      </c>
      <c r="G1595" t="s">
        <v>21</v>
      </c>
      <c r="H1595">
        <v>1</v>
      </c>
      <c r="I1595">
        <v>33</v>
      </c>
      <c r="J1595">
        <v>0</v>
      </c>
      <c r="K1595" t="s">
        <v>16</v>
      </c>
      <c r="L1595" t="s">
        <v>17</v>
      </c>
      <c r="M1595">
        <f>IF(Table1[[#This Row],[ألغى الاشتراك]]="نعم",1,0)</f>
        <v>0</v>
      </c>
      <c r="N1595">
        <f>IF(Table1[[#This Row],[وسيلة الدفع]]="بطاقة",1,0)</f>
        <v>0</v>
      </c>
      <c r="O1595">
        <f>IF(Table1[[#This Row],[وسيلة الدفع]]="محفظة",1,0)</f>
        <v>1</v>
      </c>
      <c r="P1595">
        <f>IF(Table1[[#This Row],[وسيلة الدفع]]="تحويل",1,0)</f>
        <v>0</v>
      </c>
      <c r="Q1595">
        <f>IF(Table1[[#This Row],[حضر التهيئة]]="نعم",1,0)</f>
        <v>1</v>
      </c>
      <c r="R1595">
        <f>IF(Table1[[#This Row],[دورة الفوترة]]="شهري",1,0)</f>
        <v>0</v>
      </c>
    </row>
    <row r="1596" spans="1:18" x14ac:dyDescent="0.25">
      <c r="A1596" t="s">
        <v>1616</v>
      </c>
      <c r="B1596" s="1">
        <v>45349</v>
      </c>
      <c r="C1596" t="s">
        <v>28</v>
      </c>
      <c r="D1596">
        <v>39</v>
      </c>
      <c r="E1596" t="s">
        <v>20</v>
      </c>
      <c r="F1596">
        <v>2</v>
      </c>
      <c r="G1596" t="s">
        <v>21</v>
      </c>
      <c r="H1596">
        <v>0</v>
      </c>
      <c r="I1596">
        <v>36</v>
      </c>
      <c r="J1596">
        <v>0</v>
      </c>
      <c r="K1596" t="s">
        <v>16</v>
      </c>
      <c r="L1596" t="s">
        <v>17</v>
      </c>
      <c r="M1596">
        <f>IF(Table1[[#This Row],[ألغى الاشتراك]]="نعم",1,0)</f>
        <v>0</v>
      </c>
      <c r="N1596">
        <f>IF(Table1[[#This Row],[وسيلة الدفع]]="بطاقة",1,0)</f>
        <v>0</v>
      </c>
      <c r="O1596">
        <f>IF(Table1[[#This Row],[وسيلة الدفع]]="محفظة",1,0)</f>
        <v>1</v>
      </c>
      <c r="P1596">
        <f>IF(Table1[[#This Row],[وسيلة الدفع]]="تحويل",1,0)</f>
        <v>0</v>
      </c>
      <c r="Q1596">
        <f>IF(Table1[[#This Row],[حضر التهيئة]]="نعم",1,0)</f>
        <v>1</v>
      </c>
      <c r="R1596">
        <f>IF(Table1[[#This Row],[دورة الفوترة]]="شهري",1,0)</f>
        <v>0</v>
      </c>
    </row>
    <row r="1597" spans="1:18" x14ac:dyDescent="0.25">
      <c r="A1597" t="s">
        <v>1617</v>
      </c>
      <c r="B1597" s="1">
        <v>45728</v>
      </c>
      <c r="C1597" t="s">
        <v>28</v>
      </c>
      <c r="D1597">
        <v>39</v>
      </c>
      <c r="E1597" t="s">
        <v>14</v>
      </c>
      <c r="F1597">
        <v>17</v>
      </c>
      <c r="G1597" t="s">
        <v>21</v>
      </c>
      <c r="H1597">
        <v>8</v>
      </c>
      <c r="I1597">
        <v>17</v>
      </c>
      <c r="J1597">
        <v>0</v>
      </c>
      <c r="K1597" t="s">
        <v>17</v>
      </c>
      <c r="L1597" t="s">
        <v>17</v>
      </c>
      <c r="M1597">
        <f>IF(Table1[[#This Row],[ألغى الاشتراك]]="نعم",1,0)</f>
        <v>0</v>
      </c>
      <c r="N1597">
        <f>IF(Table1[[#This Row],[وسيلة الدفع]]="بطاقة",1,0)</f>
        <v>0</v>
      </c>
      <c r="O1597">
        <f>IF(Table1[[#This Row],[وسيلة الدفع]]="محفظة",1,0)</f>
        <v>1</v>
      </c>
      <c r="P1597">
        <f>IF(Table1[[#This Row],[وسيلة الدفع]]="تحويل",1,0)</f>
        <v>0</v>
      </c>
      <c r="Q1597">
        <f>IF(Table1[[#This Row],[حضر التهيئة]]="نعم",1,0)</f>
        <v>0</v>
      </c>
      <c r="R1597">
        <f>IF(Table1[[#This Row],[دورة الفوترة]]="شهري",1,0)</f>
        <v>1</v>
      </c>
    </row>
    <row r="1598" spans="1:18" x14ac:dyDescent="0.25">
      <c r="A1598" t="s">
        <v>1618</v>
      </c>
      <c r="B1598" s="1">
        <v>45387</v>
      </c>
      <c r="C1598" t="s">
        <v>28</v>
      </c>
      <c r="D1598">
        <v>39</v>
      </c>
      <c r="E1598" t="s">
        <v>14</v>
      </c>
      <c r="F1598">
        <v>26</v>
      </c>
      <c r="G1598" t="s">
        <v>23</v>
      </c>
      <c r="H1598">
        <v>1</v>
      </c>
      <c r="I1598">
        <v>22</v>
      </c>
      <c r="J1598">
        <v>0</v>
      </c>
      <c r="K1598" t="s">
        <v>16</v>
      </c>
      <c r="L1598" t="s">
        <v>17</v>
      </c>
      <c r="M1598">
        <f>IF(Table1[[#This Row],[ألغى الاشتراك]]="نعم",1,0)</f>
        <v>0</v>
      </c>
      <c r="N1598">
        <f>IF(Table1[[#This Row],[وسيلة الدفع]]="بطاقة",1,0)</f>
        <v>0</v>
      </c>
      <c r="O1598">
        <f>IF(Table1[[#This Row],[وسيلة الدفع]]="محفظة",1,0)</f>
        <v>0</v>
      </c>
      <c r="P1598">
        <f>IF(Table1[[#This Row],[وسيلة الدفع]]="تحويل",1,0)</f>
        <v>1</v>
      </c>
      <c r="Q1598">
        <f>IF(Table1[[#This Row],[حضر التهيئة]]="نعم",1,0)</f>
        <v>1</v>
      </c>
      <c r="R1598">
        <f>IF(Table1[[#This Row],[دورة الفوترة]]="شهري",1,0)</f>
        <v>1</v>
      </c>
    </row>
    <row r="1599" spans="1:18" x14ac:dyDescent="0.25">
      <c r="A1599" t="s">
        <v>1619</v>
      </c>
      <c r="B1599" s="1">
        <v>45787</v>
      </c>
      <c r="C1599" t="s">
        <v>13</v>
      </c>
      <c r="D1599">
        <v>89</v>
      </c>
      <c r="E1599" t="s">
        <v>14</v>
      </c>
      <c r="F1599">
        <v>9</v>
      </c>
      <c r="G1599" t="s">
        <v>21</v>
      </c>
      <c r="H1599">
        <v>0</v>
      </c>
      <c r="I1599">
        <v>27</v>
      </c>
      <c r="J1599">
        <v>0</v>
      </c>
      <c r="K1599" t="s">
        <v>16</v>
      </c>
      <c r="L1599" t="s">
        <v>17</v>
      </c>
      <c r="M1599">
        <f>IF(Table1[[#This Row],[ألغى الاشتراك]]="نعم",1,0)</f>
        <v>0</v>
      </c>
      <c r="N1599">
        <f>IF(Table1[[#This Row],[وسيلة الدفع]]="بطاقة",1,0)</f>
        <v>0</v>
      </c>
      <c r="O1599">
        <f>IF(Table1[[#This Row],[وسيلة الدفع]]="محفظة",1,0)</f>
        <v>1</v>
      </c>
      <c r="P1599">
        <f>IF(Table1[[#This Row],[وسيلة الدفع]]="تحويل",1,0)</f>
        <v>0</v>
      </c>
      <c r="Q1599">
        <f>IF(Table1[[#This Row],[حضر التهيئة]]="نعم",1,0)</f>
        <v>1</v>
      </c>
      <c r="R1599">
        <f>IF(Table1[[#This Row],[دورة الفوترة]]="شهري",1,0)</f>
        <v>1</v>
      </c>
    </row>
    <row r="1600" spans="1:18" x14ac:dyDescent="0.25">
      <c r="A1600" t="s">
        <v>1620</v>
      </c>
      <c r="B1600" s="1">
        <v>45724</v>
      </c>
      <c r="C1600" t="s">
        <v>13</v>
      </c>
      <c r="D1600">
        <v>89</v>
      </c>
      <c r="E1600" t="s">
        <v>14</v>
      </c>
      <c r="F1600">
        <v>28</v>
      </c>
      <c r="G1600" t="s">
        <v>15</v>
      </c>
      <c r="H1600">
        <v>0</v>
      </c>
      <c r="I1600">
        <v>10</v>
      </c>
      <c r="J1600">
        <v>15</v>
      </c>
      <c r="K1600" t="s">
        <v>16</v>
      </c>
      <c r="L1600" t="s">
        <v>17</v>
      </c>
      <c r="M1600">
        <f>IF(Table1[[#This Row],[ألغى الاشتراك]]="نعم",1,0)</f>
        <v>0</v>
      </c>
      <c r="N1600">
        <f>IF(Table1[[#This Row],[وسيلة الدفع]]="بطاقة",1,0)</f>
        <v>1</v>
      </c>
      <c r="O1600">
        <f>IF(Table1[[#This Row],[وسيلة الدفع]]="محفظة",1,0)</f>
        <v>0</v>
      </c>
      <c r="P1600">
        <f>IF(Table1[[#This Row],[وسيلة الدفع]]="تحويل",1,0)</f>
        <v>0</v>
      </c>
      <c r="Q1600">
        <f>IF(Table1[[#This Row],[حضر التهيئة]]="نعم",1,0)</f>
        <v>1</v>
      </c>
      <c r="R1600">
        <f>IF(Table1[[#This Row],[دورة الفوترة]]="شهري",1,0)</f>
        <v>1</v>
      </c>
    </row>
    <row r="1601" spans="1:18" x14ac:dyDescent="0.25">
      <c r="A1601" t="s">
        <v>1621</v>
      </c>
      <c r="B1601" s="1">
        <v>45659</v>
      </c>
      <c r="C1601" t="s">
        <v>28</v>
      </c>
      <c r="D1601">
        <v>39</v>
      </c>
      <c r="E1601" t="s">
        <v>20</v>
      </c>
      <c r="F1601">
        <v>8</v>
      </c>
      <c r="G1601" t="s">
        <v>15</v>
      </c>
      <c r="H1601">
        <v>2</v>
      </c>
      <c r="I1601">
        <v>20</v>
      </c>
      <c r="J1601">
        <v>5</v>
      </c>
      <c r="K1601" t="s">
        <v>17</v>
      </c>
      <c r="L1601" t="s">
        <v>17</v>
      </c>
      <c r="M1601">
        <f>IF(Table1[[#This Row],[ألغى الاشتراك]]="نعم",1,0)</f>
        <v>0</v>
      </c>
      <c r="N1601">
        <f>IF(Table1[[#This Row],[وسيلة الدفع]]="بطاقة",1,0)</f>
        <v>1</v>
      </c>
      <c r="O1601">
        <f>IF(Table1[[#This Row],[وسيلة الدفع]]="محفظة",1,0)</f>
        <v>0</v>
      </c>
      <c r="P1601">
        <f>IF(Table1[[#This Row],[وسيلة الدفع]]="تحويل",1,0)</f>
        <v>0</v>
      </c>
      <c r="Q1601">
        <f>IF(Table1[[#This Row],[حضر التهيئة]]="نعم",1,0)</f>
        <v>0</v>
      </c>
      <c r="R1601">
        <f>IF(Table1[[#This Row],[دورة الفوترة]]="شهري",1,0)</f>
        <v>0</v>
      </c>
    </row>
    <row r="1602" spans="1:18" x14ac:dyDescent="0.25">
      <c r="A1602" t="s">
        <v>1622</v>
      </c>
      <c r="B1602" s="1">
        <v>45568</v>
      </c>
      <c r="C1602" t="s">
        <v>13</v>
      </c>
      <c r="D1602">
        <v>89</v>
      </c>
      <c r="E1602" t="s">
        <v>20</v>
      </c>
      <c r="F1602">
        <v>28</v>
      </c>
      <c r="G1602" t="s">
        <v>15</v>
      </c>
      <c r="H1602">
        <v>2</v>
      </c>
      <c r="I1602">
        <v>8</v>
      </c>
      <c r="J1602">
        <v>0</v>
      </c>
      <c r="K1602" t="s">
        <v>17</v>
      </c>
      <c r="L1602" t="s">
        <v>17</v>
      </c>
      <c r="M1602">
        <f>IF(Table1[[#This Row],[ألغى الاشتراك]]="نعم",1,0)</f>
        <v>0</v>
      </c>
      <c r="N1602">
        <f>IF(Table1[[#This Row],[وسيلة الدفع]]="بطاقة",1,0)</f>
        <v>1</v>
      </c>
      <c r="O1602">
        <f>IF(Table1[[#This Row],[وسيلة الدفع]]="محفظة",1,0)</f>
        <v>0</v>
      </c>
      <c r="P1602">
        <f>IF(Table1[[#This Row],[وسيلة الدفع]]="تحويل",1,0)</f>
        <v>0</v>
      </c>
      <c r="Q1602">
        <f>IF(Table1[[#This Row],[حضر التهيئة]]="نعم",1,0)</f>
        <v>0</v>
      </c>
      <c r="R1602">
        <f>IF(Table1[[#This Row],[دورة الفوترة]]="شهري",1,0)</f>
        <v>0</v>
      </c>
    </row>
    <row r="1603" spans="1:18" x14ac:dyDescent="0.25">
      <c r="A1603" t="s">
        <v>1623</v>
      </c>
      <c r="B1603" s="1">
        <v>45969</v>
      </c>
      <c r="C1603" t="s">
        <v>13</v>
      </c>
      <c r="D1603">
        <v>89</v>
      </c>
      <c r="E1603" t="s">
        <v>14</v>
      </c>
      <c r="F1603">
        <v>7</v>
      </c>
      <c r="G1603" t="s">
        <v>21</v>
      </c>
      <c r="H1603">
        <v>2</v>
      </c>
      <c r="I1603">
        <v>37</v>
      </c>
      <c r="J1603">
        <v>0</v>
      </c>
      <c r="K1603" t="s">
        <v>17</v>
      </c>
      <c r="L1603" t="s">
        <v>17</v>
      </c>
      <c r="M1603">
        <f>IF(Table1[[#This Row],[ألغى الاشتراك]]="نعم",1,0)</f>
        <v>0</v>
      </c>
      <c r="N1603">
        <f>IF(Table1[[#This Row],[وسيلة الدفع]]="بطاقة",1,0)</f>
        <v>0</v>
      </c>
      <c r="O1603">
        <f>IF(Table1[[#This Row],[وسيلة الدفع]]="محفظة",1,0)</f>
        <v>1</v>
      </c>
      <c r="P1603">
        <f>IF(Table1[[#This Row],[وسيلة الدفع]]="تحويل",1,0)</f>
        <v>0</v>
      </c>
      <c r="Q1603">
        <f>IF(Table1[[#This Row],[حضر التهيئة]]="نعم",1,0)</f>
        <v>0</v>
      </c>
      <c r="R1603">
        <f>IF(Table1[[#This Row],[دورة الفوترة]]="شهري",1,0)</f>
        <v>1</v>
      </c>
    </row>
    <row r="1604" spans="1:18" x14ac:dyDescent="0.25">
      <c r="A1604" t="s">
        <v>1624</v>
      </c>
      <c r="B1604" s="1">
        <v>45631</v>
      </c>
      <c r="C1604" t="s">
        <v>28</v>
      </c>
      <c r="D1604">
        <v>39</v>
      </c>
      <c r="E1604" t="s">
        <v>14</v>
      </c>
      <c r="F1604">
        <v>16</v>
      </c>
      <c r="G1604" t="s">
        <v>21</v>
      </c>
      <c r="H1604">
        <v>3</v>
      </c>
      <c r="I1604">
        <v>36</v>
      </c>
      <c r="J1604">
        <v>0</v>
      </c>
      <c r="K1604" t="s">
        <v>17</v>
      </c>
      <c r="L1604" t="s">
        <v>17</v>
      </c>
      <c r="M1604">
        <f>IF(Table1[[#This Row],[ألغى الاشتراك]]="نعم",1,0)</f>
        <v>0</v>
      </c>
      <c r="N1604">
        <f>IF(Table1[[#This Row],[وسيلة الدفع]]="بطاقة",1,0)</f>
        <v>0</v>
      </c>
      <c r="O1604">
        <f>IF(Table1[[#This Row],[وسيلة الدفع]]="محفظة",1,0)</f>
        <v>1</v>
      </c>
      <c r="P1604">
        <f>IF(Table1[[#This Row],[وسيلة الدفع]]="تحويل",1,0)</f>
        <v>0</v>
      </c>
      <c r="Q1604">
        <f>IF(Table1[[#This Row],[حضر التهيئة]]="نعم",1,0)</f>
        <v>0</v>
      </c>
      <c r="R1604">
        <f>IF(Table1[[#This Row],[دورة الفوترة]]="شهري",1,0)</f>
        <v>1</v>
      </c>
    </row>
    <row r="1605" spans="1:18" x14ac:dyDescent="0.25">
      <c r="A1605" t="s">
        <v>1625</v>
      </c>
      <c r="B1605" s="1">
        <v>45799</v>
      </c>
      <c r="C1605" t="s">
        <v>19</v>
      </c>
      <c r="D1605">
        <v>189</v>
      </c>
      <c r="E1605" t="s">
        <v>20</v>
      </c>
      <c r="F1605">
        <v>13</v>
      </c>
      <c r="G1605" t="s">
        <v>23</v>
      </c>
      <c r="H1605">
        <v>1</v>
      </c>
      <c r="I1605">
        <v>3</v>
      </c>
      <c r="J1605">
        <v>0</v>
      </c>
      <c r="K1605" t="s">
        <v>16</v>
      </c>
      <c r="L1605" t="s">
        <v>17</v>
      </c>
      <c r="M1605">
        <f>IF(Table1[[#This Row],[ألغى الاشتراك]]="نعم",1,0)</f>
        <v>0</v>
      </c>
      <c r="N1605">
        <f>IF(Table1[[#This Row],[وسيلة الدفع]]="بطاقة",1,0)</f>
        <v>0</v>
      </c>
      <c r="O1605">
        <f>IF(Table1[[#This Row],[وسيلة الدفع]]="محفظة",1,0)</f>
        <v>0</v>
      </c>
      <c r="P1605">
        <f>IF(Table1[[#This Row],[وسيلة الدفع]]="تحويل",1,0)</f>
        <v>1</v>
      </c>
      <c r="Q1605">
        <f>IF(Table1[[#This Row],[حضر التهيئة]]="نعم",1,0)</f>
        <v>1</v>
      </c>
      <c r="R1605">
        <f>IF(Table1[[#This Row],[دورة الفوترة]]="شهري",1,0)</f>
        <v>0</v>
      </c>
    </row>
    <row r="1606" spans="1:18" x14ac:dyDescent="0.25">
      <c r="A1606" t="s">
        <v>1626</v>
      </c>
      <c r="B1606" s="1">
        <v>45325</v>
      </c>
      <c r="C1606" t="s">
        <v>19</v>
      </c>
      <c r="D1606">
        <v>189</v>
      </c>
      <c r="E1606" t="s">
        <v>20</v>
      </c>
      <c r="F1606">
        <v>26</v>
      </c>
      <c r="G1606" t="s">
        <v>15</v>
      </c>
      <c r="H1606">
        <v>0</v>
      </c>
      <c r="I1606">
        <v>6</v>
      </c>
      <c r="J1606">
        <v>0</v>
      </c>
      <c r="K1606" t="s">
        <v>16</v>
      </c>
      <c r="L1606" t="s">
        <v>17</v>
      </c>
      <c r="M1606">
        <f>IF(Table1[[#This Row],[ألغى الاشتراك]]="نعم",1,0)</f>
        <v>0</v>
      </c>
      <c r="N1606">
        <f>IF(Table1[[#This Row],[وسيلة الدفع]]="بطاقة",1,0)</f>
        <v>1</v>
      </c>
      <c r="O1606">
        <f>IF(Table1[[#This Row],[وسيلة الدفع]]="محفظة",1,0)</f>
        <v>0</v>
      </c>
      <c r="P1606">
        <f>IF(Table1[[#This Row],[وسيلة الدفع]]="تحويل",1,0)</f>
        <v>0</v>
      </c>
      <c r="Q1606">
        <f>IF(Table1[[#This Row],[حضر التهيئة]]="نعم",1,0)</f>
        <v>1</v>
      </c>
      <c r="R1606">
        <f>IF(Table1[[#This Row],[دورة الفوترة]]="شهري",1,0)</f>
        <v>0</v>
      </c>
    </row>
    <row r="1607" spans="1:18" x14ac:dyDescent="0.25">
      <c r="A1607" t="s">
        <v>1627</v>
      </c>
      <c r="B1607" s="1">
        <v>45985</v>
      </c>
      <c r="C1607" t="s">
        <v>13</v>
      </c>
      <c r="D1607">
        <v>89</v>
      </c>
      <c r="E1607" t="s">
        <v>14</v>
      </c>
      <c r="F1607">
        <v>3</v>
      </c>
      <c r="G1607" t="s">
        <v>15</v>
      </c>
      <c r="H1607">
        <v>1</v>
      </c>
      <c r="I1607">
        <v>49</v>
      </c>
      <c r="J1607">
        <v>0</v>
      </c>
      <c r="K1607" t="s">
        <v>16</v>
      </c>
      <c r="L1607" t="s">
        <v>17</v>
      </c>
      <c r="M1607">
        <f>IF(Table1[[#This Row],[ألغى الاشتراك]]="نعم",1,0)</f>
        <v>0</v>
      </c>
      <c r="N1607">
        <f>IF(Table1[[#This Row],[وسيلة الدفع]]="بطاقة",1,0)</f>
        <v>1</v>
      </c>
      <c r="O1607">
        <f>IF(Table1[[#This Row],[وسيلة الدفع]]="محفظة",1,0)</f>
        <v>0</v>
      </c>
      <c r="P1607">
        <f>IF(Table1[[#This Row],[وسيلة الدفع]]="تحويل",1,0)</f>
        <v>0</v>
      </c>
      <c r="Q1607">
        <f>IF(Table1[[#This Row],[حضر التهيئة]]="نعم",1,0)</f>
        <v>1</v>
      </c>
      <c r="R1607">
        <f>IF(Table1[[#This Row],[دورة الفوترة]]="شهري",1,0)</f>
        <v>1</v>
      </c>
    </row>
    <row r="1608" spans="1:18" x14ac:dyDescent="0.25">
      <c r="A1608" t="s">
        <v>1628</v>
      </c>
      <c r="B1608" s="1">
        <v>45779</v>
      </c>
      <c r="C1608" t="s">
        <v>13</v>
      </c>
      <c r="D1608">
        <v>89</v>
      </c>
      <c r="E1608" t="s">
        <v>14</v>
      </c>
      <c r="F1608">
        <v>6</v>
      </c>
      <c r="G1608" t="s">
        <v>21</v>
      </c>
      <c r="H1608">
        <v>0</v>
      </c>
      <c r="I1608">
        <v>36</v>
      </c>
      <c r="J1608">
        <v>5</v>
      </c>
      <c r="K1608" t="s">
        <v>16</v>
      </c>
      <c r="L1608" t="s">
        <v>17</v>
      </c>
      <c r="M1608">
        <f>IF(Table1[[#This Row],[ألغى الاشتراك]]="نعم",1,0)</f>
        <v>0</v>
      </c>
      <c r="N1608">
        <f>IF(Table1[[#This Row],[وسيلة الدفع]]="بطاقة",1,0)</f>
        <v>0</v>
      </c>
      <c r="O1608">
        <f>IF(Table1[[#This Row],[وسيلة الدفع]]="محفظة",1,0)</f>
        <v>1</v>
      </c>
      <c r="P1608">
        <f>IF(Table1[[#This Row],[وسيلة الدفع]]="تحويل",1,0)</f>
        <v>0</v>
      </c>
      <c r="Q1608">
        <f>IF(Table1[[#This Row],[حضر التهيئة]]="نعم",1,0)</f>
        <v>1</v>
      </c>
      <c r="R1608">
        <f>IF(Table1[[#This Row],[دورة الفوترة]]="شهري",1,0)</f>
        <v>1</v>
      </c>
    </row>
    <row r="1609" spans="1:18" x14ac:dyDescent="0.25">
      <c r="A1609" t="s">
        <v>1629</v>
      </c>
      <c r="B1609" s="1">
        <v>45329</v>
      </c>
      <c r="C1609" t="s">
        <v>13</v>
      </c>
      <c r="D1609">
        <v>89</v>
      </c>
      <c r="E1609" t="s">
        <v>14</v>
      </c>
      <c r="F1609">
        <v>8</v>
      </c>
      <c r="G1609" t="s">
        <v>23</v>
      </c>
      <c r="H1609">
        <v>0</v>
      </c>
      <c r="I1609">
        <v>52</v>
      </c>
      <c r="J1609">
        <v>0</v>
      </c>
      <c r="K1609" t="s">
        <v>16</v>
      </c>
      <c r="L1609" t="s">
        <v>17</v>
      </c>
      <c r="M1609">
        <f>IF(Table1[[#This Row],[ألغى الاشتراك]]="نعم",1,0)</f>
        <v>0</v>
      </c>
      <c r="N1609">
        <f>IF(Table1[[#This Row],[وسيلة الدفع]]="بطاقة",1,0)</f>
        <v>0</v>
      </c>
      <c r="O1609">
        <f>IF(Table1[[#This Row],[وسيلة الدفع]]="محفظة",1,0)</f>
        <v>0</v>
      </c>
      <c r="P1609">
        <f>IF(Table1[[#This Row],[وسيلة الدفع]]="تحويل",1,0)</f>
        <v>1</v>
      </c>
      <c r="Q1609">
        <f>IF(Table1[[#This Row],[حضر التهيئة]]="نعم",1,0)</f>
        <v>1</v>
      </c>
      <c r="R1609">
        <f>IF(Table1[[#This Row],[دورة الفوترة]]="شهري",1,0)</f>
        <v>1</v>
      </c>
    </row>
    <row r="1610" spans="1:18" x14ac:dyDescent="0.25">
      <c r="A1610" t="s">
        <v>1630</v>
      </c>
      <c r="B1610" s="1">
        <v>45720</v>
      </c>
      <c r="C1610" t="s">
        <v>13</v>
      </c>
      <c r="D1610">
        <v>89</v>
      </c>
      <c r="E1610" t="s">
        <v>14</v>
      </c>
      <c r="F1610">
        <v>25</v>
      </c>
      <c r="G1610" t="s">
        <v>21</v>
      </c>
      <c r="H1610">
        <v>5</v>
      </c>
      <c r="I1610">
        <v>31</v>
      </c>
      <c r="J1610">
        <v>0</v>
      </c>
      <c r="K1610" t="s">
        <v>16</v>
      </c>
      <c r="L1610" t="s">
        <v>17</v>
      </c>
      <c r="M1610">
        <f>IF(Table1[[#This Row],[ألغى الاشتراك]]="نعم",1,0)</f>
        <v>0</v>
      </c>
      <c r="N1610">
        <f>IF(Table1[[#This Row],[وسيلة الدفع]]="بطاقة",1,0)</f>
        <v>0</v>
      </c>
      <c r="O1610">
        <f>IF(Table1[[#This Row],[وسيلة الدفع]]="محفظة",1,0)</f>
        <v>1</v>
      </c>
      <c r="P1610">
        <f>IF(Table1[[#This Row],[وسيلة الدفع]]="تحويل",1,0)</f>
        <v>0</v>
      </c>
      <c r="Q1610">
        <f>IF(Table1[[#This Row],[حضر التهيئة]]="نعم",1,0)</f>
        <v>1</v>
      </c>
      <c r="R1610">
        <f>IF(Table1[[#This Row],[دورة الفوترة]]="شهري",1,0)</f>
        <v>1</v>
      </c>
    </row>
    <row r="1611" spans="1:18" x14ac:dyDescent="0.25">
      <c r="A1611" t="s">
        <v>1631</v>
      </c>
      <c r="B1611" s="1">
        <v>45651</v>
      </c>
      <c r="C1611" t="s">
        <v>19</v>
      </c>
      <c r="D1611">
        <v>189</v>
      </c>
      <c r="E1611" t="s">
        <v>14</v>
      </c>
      <c r="F1611">
        <v>16</v>
      </c>
      <c r="G1611" t="s">
        <v>21</v>
      </c>
      <c r="H1611">
        <v>1</v>
      </c>
      <c r="I1611">
        <v>34</v>
      </c>
      <c r="J1611">
        <v>0</v>
      </c>
      <c r="K1611" t="s">
        <v>17</v>
      </c>
      <c r="L1611" t="s">
        <v>17</v>
      </c>
      <c r="M1611">
        <f>IF(Table1[[#This Row],[ألغى الاشتراك]]="نعم",1,0)</f>
        <v>0</v>
      </c>
      <c r="N1611">
        <f>IF(Table1[[#This Row],[وسيلة الدفع]]="بطاقة",1,0)</f>
        <v>0</v>
      </c>
      <c r="O1611">
        <f>IF(Table1[[#This Row],[وسيلة الدفع]]="محفظة",1,0)</f>
        <v>1</v>
      </c>
      <c r="P1611">
        <f>IF(Table1[[#This Row],[وسيلة الدفع]]="تحويل",1,0)</f>
        <v>0</v>
      </c>
      <c r="Q1611">
        <f>IF(Table1[[#This Row],[حضر التهيئة]]="نعم",1,0)</f>
        <v>0</v>
      </c>
      <c r="R1611">
        <f>IF(Table1[[#This Row],[دورة الفوترة]]="شهري",1,0)</f>
        <v>1</v>
      </c>
    </row>
    <row r="1612" spans="1:18" x14ac:dyDescent="0.25">
      <c r="A1612" t="s">
        <v>1632</v>
      </c>
      <c r="B1612" s="1">
        <v>45926</v>
      </c>
      <c r="C1612" t="s">
        <v>19</v>
      </c>
      <c r="D1612">
        <v>189</v>
      </c>
      <c r="E1612" t="s">
        <v>20</v>
      </c>
      <c r="F1612">
        <v>7</v>
      </c>
      <c r="G1612" t="s">
        <v>23</v>
      </c>
      <c r="H1612">
        <v>8</v>
      </c>
      <c r="I1612">
        <v>53</v>
      </c>
      <c r="J1612">
        <v>0</v>
      </c>
      <c r="K1612" t="s">
        <v>16</v>
      </c>
      <c r="L1612" t="s">
        <v>17</v>
      </c>
      <c r="M1612">
        <f>IF(Table1[[#This Row],[ألغى الاشتراك]]="نعم",1,0)</f>
        <v>0</v>
      </c>
      <c r="N1612">
        <f>IF(Table1[[#This Row],[وسيلة الدفع]]="بطاقة",1,0)</f>
        <v>0</v>
      </c>
      <c r="O1612">
        <f>IF(Table1[[#This Row],[وسيلة الدفع]]="محفظة",1,0)</f>
        <v>0</v>
      </c>
      <c r="P1612">
        <f>IF(Table1[[#This Row],[وسيلة الدفع]]="تحويل",1,0)</f>
        <v>1</v>
      </c>
      <c r="Q1612">
        <f>IF(Table1[[#This Row],[حضر التهيئة]]="نعم",1,0)</f>
        <v>1</v>
      </c>
      <c r="R1612">
        <f>IF(Table1[[#This Row],[دورة الفوترة]]="شهري",1,0)</f>
        <v>0</v>
      </c>
    </row>
    <row r="1613" spans="1:18" x14ac:dyDescent="0.25">
      <c r="A1613" t="s">
        <v>1633</v>
      </c>
      <c r="B1613" s="1">
        <v>45462</v>
      </c>
      <c r="C1613" t="s">
        <v>19</v>
      </c>
      <c r="D1613">
        <v>189</v>
      </c>
      <c r="E1613" t="s">
        <v>14</v>
      </c>
      <c r="F1613">
        <v>10</v>
      </c>
      <c r="G1613" t="s">
        <v>21</v>
      </c>
      <c r="H1613">
        <v>0</v>
      </c>
      <c r="I1613">
        <v>48</v>
      </c>
      <c r="J1613">
        <v>0</v>
      </c>
      <c r="K1613" t="s">
        <v>17</v>
      </c>
      <c r="L1613" t="s">
        <v>17</v>
      </c>
      <c r="M1613">
        <f>IF(Table1[[#This Row],[ألغى الاشتراك]]="نعم",1,0)</f>
        <v>0</v>
      </c>
      <c r="N1613">
        <f>IF(Table1[[#This Row],[وسيلة الدفع]]="بطاقة",1,0)</f>
        <v>0</v>
      </c>
      <c r="O1613">
        <f>IF(Table1[[#This Row],[وسيلة الدفع]]="محفظة",1,0)</f>
        <v>1</v>
      </c>
      <c r="P1613">
        <f>IF(Table1[[#This Row],[وسيلة الدفع]]="تحويل",1,0)</f>
        <v>0</v>
      </c>
      <c r="Q1613">
        <f>IF(Table1[[#This Row],[حضر التهيئة]]="نعم",1,0)</f>
        <v>0</v>
      </c>
      <c r="R1613">
        <f>IF(Table1[[#This Row],[دورة الفوترة]]="شهري",1,0)</f>
        <v>1</v>
      </c>
    </row>
    <row r="1614" spans="1:18" x14ac:dyDescent="0.25">
      <c r="A1614" t="s">
        <v>1634</v>
      </c>
      <c r="B1614" s="1">
        <v>45965</v>
      </c>
      <c r="C1614" t="s">
        <v>19</v>
      </c>
      <c r="D1614">
        <v>189</v>
      </c>
      <c r="E1614" t="s">
        <v>14</v>
      </c>
      <c r="F1614">
        <v>7</v>
      </c>
      <c r="G1614" t="s">
        <v>21</v>
      </c>
      <c r="H1614">
        <v>2</v>
      </c>
      <c r="I1614">
        <v>27</v>
      </c>
      <c r="J1614">
        <v>0</v>
      </c>
      <c r="K1614" t="s">
        <v>16</v>
      </c>
      <c r="L1614" t="s">
        <v>17</v>
      </c>
      <c r="M1614">
        <f>IF(Table1[[#This Row],[ألغى الاشتراك]]="نعم",1,0)</f>
        <v>0</v>
      </c>
      <c r="N1614">
        <f>IF(Table1[[#This Row],[وسيلة الدفع]]="بطاقة",1,0)</f>
        <v>0</v>
      </c>
      <c r="O1614">
        <f>IF(Table1[[#This Row],[وسيلة الدفع]]="محفظة",1,0)</f>
        <v>1</v>
      </c>
      <c r="P1614">
        <f>IF(Table1[[#This Row],[وسيلة الدفع]]="تحويل",1,0)</f>
        <v>0</v>
      </c>
      <c r="Q1614">
        <f>IF(Table1[[#This Row],[حضر التهيئة]]="نعم",1,0)</f>
        <v>1</v>
      </c>
      <c r="R1614">
        <f>IF(Table1[[#This Row],[دورة الفوترة]]="شهري",1,0)</f>
        <v>1</v>
      </c>
    </row>
    <row r="1615" spans="1:18" x14ac:dyDescent="0.25">
      <c r="A1615" t="s">
        <v>1635</v>
      </c>
      <c r="B1615" s="1">
        <v>45509</v>
      </c>
      <c r="C1615" t="s">
        <v>13</v>
      </c>
      <c r="D1615">
        <v>89</v>
      </c>
      <c r="E1615" t="s">
        <v>14</v>
      </c>
      <c r="F1615">
        <v>18</v>
      </c>
      <c r="G1615" t="s">
        <v>15</v>
      </c>
      <c r="H1615">
        <v>5</v>
      </c>
      <c r="I1615">
        <v>6</v>
      </c>
      <c r="J1615">
        <v>0</v>
      </c>
      <c r="K1615" t="s">
        <v>17</v>
      </c>
      <c r="L1615" t="s">
        <v>17</v>
      </c>
      <c r="M1615">
        <f>IF(Table1[[#This Row],[ألغى الاشتراك]]="نعم",1,0)</f>
        <v>0</v>
      </c>
      <c r="N1615">
        <f>IF(Table1[[#This Row],[وسيلة الدفع]]="بطاقة",1,0)</f>
        <v>1</v>
      </c>
      <c r="O1615">
        <f>IF(Table1[[#This Row],[وسيلة الدفع]]="محفظة",1,0)</f>
        <v>0</v>
      </c>
      <c r="P1615">
        <f>IF(Table1[[#This Row],[وسيلة الدفع]]="تحويل",1,0)</f>
        <v>0</v>
      </c>
      <c r="Q1615">
        <f>IF(Table1[[#This Row],[حضر التهيئة]]="نعم",1,0)</f>
        <v>0</v>
      </c>
      <c r="R1615">
        <f>IF(Table1[[#This Row],[دورة الفوترة]]="شهري",1,0)</f>
        <v>1</v>
      </c>
    </row>
    <row r="1616" spans="1:18" x14ac:dyDescent="0.25">
      <c r="A1616" t="s">
        <v>1636</v>
      </c>
      <c r="B1616" s="1">
        <v>45462</v>
      </c>
      <c r="C1616" t="s">
        <v>13</v>
      </c>
      <c r="D1616">
        <v>89</v>
      </c>
      <c r="E1616" t="s">
        <v>14</v>
      </c>
      <c r="F1616">
        <v>1</v>
      </c>
      <c r="G1616" t="s">
        <v>15</v>
      </c>
      <c r="H1616">
        <v>1</v>
      </c>
      <c r="I1616">
        <v>49</v>
      </c>
      <c r="J1616">
        <v>10</v>
      </c>
      <c r="K1616" t="s">
        <v>17</v>
      </c>
      <c r="L1616" t="s">
        <v>17</v>
      </c>
      <c r="M1616">
        <f>IF(Table1[[#This Row],[ألغى الاشتراك]]="نعم",1,0)</f>
        <v>0</v>
      </c>
      <c r="N1616">
        <f>IF(Table1[[#This Row],[وسيلة الدفع]]="بطاقة",1,0)</f>
        <v>1</v>
      </c>
      <c r="O1616">
        <f>IF(Table1[[#This Row],[وسيلة الدفع]]="محفظة",1,0)</f>
        <v>0</v>
      </c>
      <c r="P1616">
        <f>IF(Table1[[#This Row],[وسيلة الدفع]]="تحويل",1,0)</f>
        <v>0</v>
      </c>
      <c r="Q1616">
        <f>IF(Table1[[#This Row],[حضر التهيئة]]="نعم",1,0)</f>
        <v>0</v>
      </c>
      <c r="R1616">
        <f>IF(Table1[[#This Row],[دورة الفوترة]]="شهري",1,0)</f>
        <v>1</v>
      </c>
    </row>
    <row r="1617" spans="1:18" x14ac:dyDescent="0.25">
      <c r="A1617" t="s">
        <v>1637</v>
      </c>
      <c r="B1617" s="1">
        <v>45973</v>
      </c>
      <c r="C1617" t="s">
        <v>13</v>
      </c>
      <c r="D1617">
        <v>89</v>
      </c>
      <c r="E1617" t="s">
        <v>20</v>
      </c>
      <c r="F1617">
        <v>19</v>
      </c>
      <c r="G1617" t="s">
        <v>23</v>
      </c>
      <c r="H1617">
        <v>9</v>
      </c>
      <c r="I1617">
        <v>7</v>
      </c>
      <c r="J1617">
        <v>0</v>
      </c>
      <c r="K1617" t="s">
        <v>16</v>
      </c>
      <c r="L1617" t="s">
        <v>16</v>
      </c>
      <c r="M1617">
        <f>IF(Table1[[#This Row],[ألغى الاشتراك]]="نعم",1,0)</f>
        <v>1</v>
      </c>
      <c r="N1617">
        <f>IF(Table1[[#This Row],[وسيلة الدفع]]="بطاقة",1,0)</f>
        <v>0</v>
      </c>
      <c r="O1617">
        <f>IF(Table1[[#This Row],[وسيلة الدفع]]="محفظة",1,0)</f>
        <v>0</v>
      </c>
      <c r="P1617">
        <f>IF(Table1[[#This Row],[وسيلة الدفع]]="تحويل",1,0)</f>
        <v>1</v>
      </c>
      <c r="Q1617">
        <f>IF(Table1[[#This Row],[حضر التهيئة]]="نعم",1,0)</f>
        <v>1</v>
      </c>
      <c r="R1617">
        <f>IF(Table1[[#This Row],[دورة الفوترة]]="شهري",1,0)</f>
        <v>0</v>
      </c>
    </row>
    <row r="1618" spans="1:18" x14ac:dyDescent="0.25">
      <c r="A1618" t="s">
        <v>1638</v>
      </c>
      <c r="B1618" s="1">
        <v>45791</v>
      </c>
      <c r="C1618" t="s">
        <v>13</v>
      </c>
      <c r="D1618">
        <v>89</v>
      </c>
      <c r="E1618" t="s">
        <v>20</v>
      </c>
      <c r="F1618">
        <v>24</v>
      </c>
      <c r="G1618" t="s">
        <v>21</v>
      </c>
      <c r="H1618">
        <v>0</v>
      </c>
      <c r="I1618">
        <v>42</v>
      </c>
      <c r="J1618">
        <v>5</v>
      </c>
      <c r="K1618" t="s">
        <v>17</v>
      </c>
      <c r="L1618" t="s">
        <v>17</v>
      </c>
      <c r="M1618">
        <f>IF(Table1[[#This Row],[ألغى الاشتراك]]="نعم",1,0)</f>
        <v>0</v>
      </c>
      <c r="N1618">
        <f>IF(Table1[[#This Row],[وسيلة الدفع]]="بطاقة",1,0)</f>
        <v>0</v>
      </c>
      <c r="O1618">
        <f>IF(Table1[[#This Row],[وسيلة الدفع]]="محفظة",1,0)</f>
        <v>1</v>
      </c>
      <c r="P1618">
        <f>IF(Table1[[#This Row],[وسيلة الدفع]]="تحويل",1,0)</f>
        <v>0</v>
      </c>
      <c r="Q1618">
        <f>IF(Table1[[#This Row],[حضر التهيئة]]="نعم",1,0)</f>
        <v>0</v>
      </c>
      <c r="R1618">
        <f>IF(Table1[[#This Row],[دورة الفوترة]]="شهري",1,0)</f>
        <v>0</v>
      </c>
    </row>
    <row r="1619" spans="1:18" x14ac:dyDescent="0.25">
      <c r="A1619" t="s">
        <v>1639</v>
      </c>
      <c r="B1619" s="1">
        <v>45592</v>
      </c>
      <c r="C1619" t="s">
        <v>13</v>
      </c>
      <c r="D1619">
        <v>89</v>
      </c>
      <c r="E1619" t="s">
        <v>14</v>
      </c>
      <c r="F1619">
        <v>2</v>
      </c>
      <c r="G1619" t="s">
        <v>23</v>
      </c>
      <c r="H1619">
        <v>0</v>
      </c>
      <c r="I1619">
        <v>20</v>
      </c>
      <c r="J1619">
        <v>0</v>
      </c>
      <c r="K1619" t="s">
        <v>16</v>
      </c>
      <c r="L1619" t="s">
        <v>17</v>
      </c>
      <c r="M1619">
        <f>IF(Table1[[#This Row],[ألغى الاشتراك]]="نعم",1,0)</f>
        <v>0</v>
      </c>
      <c r="N1619">
        <f>IF(Table1[[#This Row],[وسيلة الدفع]]="بطاقة",1,0)</f>
        <v>0</v>
      </c>
      <c r="O1619">
        <f>IF(Table1[[#This Row],[وسيلة الدفع]]="محفظة",1,0)</f>
        <v>0</v>
      </c>
      <c r="P1619">
        <f>IF(Table1[[#This Row],[وسيلة الدفع]]="تحويل",1,0)</f>
        <v>1</v>
      </c>
      <c r="Q1619">
        <f>IF(Table1[[#This Row],[حضر التهيئة]]="نعم",1,0)</f>
        <v>1</v>
      </c>
      <c r="R1619">
        <f>IF(Table1[[#This Row],[دورة الفوترة]]="شهري",1,0)</f>
        <v>1</v>
      </c>
    </row>
    <row r="1620" spans="1:18" x14ac:dyDescent="0.25">
      <c r="A1620" t="s">
        <v>1640</v>
      </c>
      <c r="B1620" s="1">
        <v>45509</v>
      </c>
      <c r="C1620" t="s">
        <v>28</v>
      </c>
      <c r="D1620">
        <v>39</v>
      </c>
      <c r="E1620" t="s">
        <v>14</v>
      </c>
      <c r="F1620">
        <v>27</v>
      </c>
      <c r="G1620" t="s">
        <v>23</v>
      </c>
      <c r="H1620">
        <v>4</v>
      </c>
      <c r="I1620">
        <v>59</v>
      </c>
      <c r="J1620">
        <v>25</v>
      </c>
      <c r="K1620" t="s">
        <v>16</v>
      </c>
      <c r="L1620" t="s">
        <v>17</v>
      </c>
      <c r="M1620">
        <f>IF(Table1[[#This Row],[ألغى الاشتراك]]="نعم",1,0)</f>
        <v>0</v>
      </c>
      <c r="N1620">
        <f>IF(Table1[[#This Row],[وسيلة الدفع]]="بطاقة",1,0)</f>
        <v>0</v>
      </c>
      <c r="O1620">
        <f>IF(Table1[[#This Row],[وسيلة الدفع]]="محفظة",1,0)</f>
        <v>0</v>
      </c>
      <c r="P1620">
        <f>IF(Table1[[#This Row],[وسيلة الدفع]]="تحويل",1,0)</f>
        <v>1</v>
      </c>
      <c r="Q1620">
        <f>IF(Table1[[#This Row],[حضر التهيئة]]="نعم",1,0)</f>
        <v>1</v>
      </c>
      <c r="R1620">
        <f>IF(Table1[[#This Row],[دورة الفوترة]]="شهري",1,0)</f>
        <v>1</v>
      </c>
    </row>
    <row r="1621" spans="1:18" x14ac:dyDescent="0.25">
      <c r="A1621" t="s">
        <v>1641</v>
      </c>
      <c r="B1621" s="1">
        <v>45783</v>
      </c>
      <c r="C1621" t="s">
        <v>28</v>
      </c>
      <c r="D1621">
        <v>39</v>
      </c>
      <c r="E1621" t="s">
        <v>20</v>
      </c>
      <c r="F1621">
        <v>3</v>
      </c>
      <c r="G1621" t="s">
        <v>15</v>
      </c>
      <c r="H1621">
        <v>2</v>
      </c>
      <c r="I1621">
        <v>21</v>
      </c>
      <c r="J1621">
        <v>0</v>
      </c>
      <c r="K1621" t="s">
        <v>16</v>
      </c>
      <c r="L1621" t="s">
        <v>16</v>
      </c>
      <c r="M1621">
        <f>IF(Table1[[#This Row],[ألغى الاشتراك]]="نعم",1,0)</f>
        <v>1</v>
      </c>
      <c r="N1621">
        <f>IF(Table1[[#This Row],[وسيلة الدفع]]="بطاقة",1,0)</f>
        <v>1</v>
      </c>
      <c r="O1621">
        <f>IF(Table1[[#This Row],[وسيلة الدفع]]="محفظة",1,0)</f>
        <v>0</v>
      </c>
      <c r="P1621">
        <f>IF(Table1[[#This Row],[وسيلة الدفع]]="تحويل",1,0)</f>
        <v>0</v>
      </c>
      <c r="Q1621">
        <f>IF(Table1[[#This Row],[حضر التهيئة]]="نعم",1,0)</f>
        <v>1</v>
      </c>
      <c r="R1621">
        <f>IF(Table1[[#This Row],[دورة الفوترة]]="شهري",1,0)</f>
        <v>0</v>
      </c>
    </row>
    <row r="1622" spans="1:18" x14ac:dyDescent="0.25">
      <c r="A1622" t="s">
        <v>1642</v>
      </c>
      <c r="B1622" s="1">
        <v>45337</v>
      </c>
      <c r="C1622" t="s">
        <v>13</v>
      </c>
      <c r="D1622">
        <v>89</v>
      </c>
      <c r="E1622" t="s">
        <v>20</v>
      </c>
      <c r="F1622">
        <v>18</v>
      </c>
      <c r="G1622" t="s">
        <v>15</v>
      </c>
      <c r="H1622">
        <v>3</v>
      </c>
      <c r="I1622">
        <v>14</v>
      </c>
      <c r="J1622">
        <v>0</v>
      </c>
      <c r="K1622" t="s">
        <v>17</v>
      </c>
      <c r="L1622" t="s">
        <v>17</v>
      </c>
      <c r="M1622">
        <f>IF(Table1[[#This Row],[ألغى الاشتراك]]="نعم",1,0)</f>
        <v>0</v>
      </c>
      <c r="N1622">
        <f>IF(Table1[[#This Row],[وسيلة الدفع]]="بطاقة",1,0)</f>
        <v>1</v>
      </c>
      <c r="O1622">
        <f>IF(Table1[[#This Row],[وسيلة الدفع]]="محفظة",1,0)</f>
        <v>0</v>
      </c>
      <c r="P1622">
        <f>IF(Table1[[#This Row],[وسيلة الدفع]]="تحويل",1,0)</f>
        <v>0</v>
      </c>
      <c r="Q1622">
        <f>IF(Table1[[#This Row],[حضر التهيئة]]="نعم",1,0)</f>
        <v>0</v>
      </c>
      <c r="R1622">
        <f>IF(Table1[[#This Row],[دورة الفوترة]]="شهري",1,0)</f>
        <v>0</v>
      </c>
    </row>
    <row r="1623" spans="1:18" x14ac:dyDescent="0.25">
      <c r="A1623" t="s">
        <v>1643</v>
      </c>
      <c r="B1623" s="1">
        <v>45720</v>
      </c>
      <c r="C1623" t="s">
        <v>28</v>
      </c>
      <c r="D1623">
        <v>39</v>
      </c>
      <c r="E1623" t="s">
        <v>14</v>
      </c>
      <c r="F1623">
        <v>11</v>
      </c>
      <c r="G1623" t="s">
        <v>23</v>
      </c>
      <c r="H1623">
        <v>0</v>
      </c>
      <c r="I1623">
        <v>27</v>
      </c>
      <c r="J1623">
        <v>0</v>
      </c>
      <c r="K1623" t="s">
        <v>16</v>
      </c>
      <c r="L1623" t="s">
        <v>17</v>
      </c>
      <c r="M1623">
        <f>IF(Table1[[#This Row],[ألغى الاشتراك]]="نعم",1,0)</f>
        <v>0</v>
      </c>
      <c r="N1623">
        <f>IF(Table1[[#This Row],[وسيلة الدفع]]="بطاقة",1,0)</f>
        <v>0</v>
      </c>
      <c r="O1623">
        <f>IF(Table1[[#This Row],[وسيلة الدفع]]="محفظة",1,0)</f>
        <v>0</v>
      </c>
      <c r="P1623">
        <f>IF(Table1[[#This Row],[وسيلة الدفع]]="تحويل",1,0)</f>
        <v>1</v>
      </c>
      <c r="Q1623">
        <f>IF(Table1[[#This Row],[حضر التهيئة]]="نعم",1,0)</f>
        <v>1</v>
      </c>
      <c r="R1623">
        <f>IF(Table1[[#This Row],[دورة الفوترة]]="شهري",1,0)</f>
        <v>1</v>
      </c>
    </row>
    <row r="1624" spans="1:18" x14ac:dyDescent="0.25">
      <c r="A1624" t="s">
        <v>1644</v>
      </c>
      <c r="B1624" s="1">
        <v>45926</v>
      </c>
      <c r="C1624" t="s">
        <v>28</v>
      </c>
      <c r="D1624">
        <v>39</v>
      </c>
      <c r="E1624" t="s">
        <v>14</v>
      </c>
      <c r="F1624">
        <v>16</v>
      </c>
      <c r="G1624" t="s">
        <v>23</v>
      </c>
      <c r="H1624">
        <v>7</v>
      </c>
      <c r="I1624">
        <v>34</v>
      </c>
      <c r="J1624">
        <v>5</v>
      </c>
      <c r="K1624" t="s">
        <v>16</v>
      </c>
      <c r="L1624" t="s">
        <v>17</v>
      </c>
      <c r="M1624">
        <f>IF(Table1[[#This Row],[ألغى الاشتراك]]="نعم",1,0)</f>
        <v>0</v>
      </c>
      <c r="N1624">
        <f>IF(Table1[[#This Row],[وسيلة الدفع]]="بطاقة",1,0)</f>
        <v>0</v>
      </c>
      <c r="O1624">
        <f>IF(Table1[[#This Row],[وسيلة الدفع]]="محفظة",1,0)</f>
        <v>0</v>
      </c>
      <c r="P1624">
        <f>IF(Table1[[#This Row],[وسيلة الدفع]]="تحويل",1,0)</f>
        <v>1</v>
      </c>
      <c r="Q1624">
        <f>IF(Table1[[#This Row],[حضر التهيئة]]="نعم",1,0)</f>
        <v>1</v>
      </c>
      <c r="R1624">
        <f>IF(Table1[[#This Row],[دورة الفوترة]]="شهري",1,0)</f>
        <v>1</v>
      </c>
    </row>
    <row r="1625" spans="1:18" x14ac:dyDescent="0.25">
      <c r="A1625" t="s">
        <v>1645</v>
      </c>
      <c r="B1625" s="1">
        <v>45580</v>
      </c>
      <c r="C1625" t="s">
        <v>28</v>
      </c>
      <c r="D1625">
        <v>39</v>
      </c>
      <c r="E1625" t="s">
        <v>14</v>
      </c>
      <c r="F1625">
        <v>6</v>
      </c>
      <c r="G1625" t="s">
        <v>21</v>
      </c>
      <c r="H1625">
        <v>4</v>
      </c>
      <c r="I1625">
        <v>54</v>
      </c>
      <c r="J1625">
        <v>0</v>
      </c>
      <c r="K1625" t="s">
        <v>17</v>
      </c>
      <c r="L1625" t="s">
        <v>17</v>
      </c>
      <c r="M1625">
        <f>IF(Table1[[#This Row],[ألغى الاشتراك]]="نعم",1,0)</f>
        <v>0</v>
      </c>
      <c r="N1625">
        <f>IF(Table1[[#This Row],[وسيلة الدفع]]="بطاقة",1,0)</f>
        <v>0</v>
      </c>
      <c r="O1625">
        <f>IF(Table1[[#This Row],[وسيلة الدفع]]="محفظة",1,0)</f>
        <v>1</v>
      </c>
      <c r="P1625">
        <f>IF(Table1[[#This Row],[وسيلة الدفع]]="تحويل",1,0)</f>
        <v>0</v>
      </c>
      <c r="Q1625">
        <f>IF(Table1[[#This Row],[حضر التهيئة]]="نعم",1,0)</f>
        <v>0</v>
      </c>
      <c r="R1625">
        <f>IF(Table1[[#This Row],[دورة الفوترة]]="شهري",1,0)</f>
        <v>1</v>
      </c>
    </row>
    <row r="1626" spans="1:18" x14ac:dyDescent="0.25">
      <c r="A1626" t="s">
        <v>1646</v>
      </c>
      <c r="B1626" s="1">
        <v>45724</v>
      </c>
      <c r="C1626" t="s">
        <v>28</v>
      </c>
      <c r="D1626">
        <v>39</v>
      </c>
      <c r="E1626" t="s">
        <v>14</v>
      </c>
      <c r="F1626">
        <v>29</v>
      </c>
      <c r="G1626" t="s">
        <v>15</v>
      </c>
      <c r="H1626">
        <v>0</v>
      </c>
      <c r="I1626">
        <v>7</v>
      </c>
      <c r="J1626">
        <v>0</v>
      </c>
      <c r="K1626" t="s">
        <v>16</v>
      </c>
      <c r="L1626" t="s">
        <v>17</v>
      </c>
      <c r="M1626">
        <f>IF(Table1[[#This Row],[ألغى الاشتراك]]="نعم",1,0)</f>
        <v>0</v>
      </c>
      <c r="N1626">
        <f>IF(Table1[[#This Row],[وسيلة الدفع]]="بطاقة",1,0)</f>
        <v>1</v>
      </c>
      <c r="O1626">
        <f>IF(Table1[[#This Row],[وسيلة الدفع]]="محفظة",1,0)</f>
        <v>0</v>
      </c>
      <c r="P1626">
        <f>IF(Table1[[#This Row],[وسيلة الدفع]]="تحويل",1,0)</f>
        <v>0</v>
      </c>
      <c r="Q1626">
        <f>IF(Table1[[#This Row],[حضر التهيئة]]="نعم",1,0)</f>
        <v>1</v>
      </c>
      <c r="R1626">
        <f>IF(Table1[[#This Row],[دورة الفوترة]]="شهري",1,0)</f>
        <v>1</v>
      </c>
    </row>
    <row r="1627" spans="1:18" x14ac:dyDescent="0.25">
      <c r="A1627" t="s">
        <v>1647</v>
      </c>
      <c r="B1627" s="1">
        <v>45529</v>
      </c>
      <c r="C1627" t="s">
        <v>13</v>
      </c>
      <c r="D1627">
        <v>89</v>
      </c>
      <c r="E1627" t="s">
        <v>14</v>
      </c>
      <c r="F1627">
        <v>30</v>
      </c>
      <c r="G1627" t="s">
        <v>23</v>
      </c>
      <c r="H1627">
        <v>7</v>
      </c>
      <c r="I1627">
        <v>24</v>
      </c>
      <c r="J1627">
        <v>0</v>
      </c>
      <c r="K1627" t="s">
        <v>16</v>
      </c>
      <c r="L1627" t="s">
        <v>17</v>
      </c>
      <c r="M1627">
        <f>IF(Table1[[#This Row],[ألغى الاشتراك]]="نعم",1,0)</f>
        <v>0</v>
      </c>
      <c r="N1627">
        <f>IF(Table1[[#This Row],[وسيلة الدفع]]="بطاقة",1,0)</f>
        <v>0</v>
      </c>
      <c r="O1627">
        <f>IF(Table1[[#This Row],[وسيلة الدفع]]="محفظة",1,0)</f>
        <v>0</v>
      </c>
      <c r="P1627">
        <f>IF(Table1[[#This Row],[وسيلة الدفع]]="تحويل",1,0)</f>
        <v>1</v>
      </c>
      <c r="Q1627">
        <f>IF(Table1[[#This Row],[حضر التهيئة]]="نعم",1,0)</f>
        <v>1</v>
      </c>
      <c r="R1627">
        <f>IF(Table1[[#This Row],[دورة الفوترة]]="شهري",1,0)</f>
        <v>1</v>
      </c>
    </row>
    <row r="1628" spans="1:18" x14ac:dyDescent="0.25">
      <c r="A1628" t="s">
        <v>1648</v>
      </c>
      <c r="B1628" s="1">
        <v>45906</v>
      </c>
      <c r="C1628" t="s">
        <v>19</v>
      </c>
      <c r="D1628">
        <v>189</v>
      </c>
      <c r="E1628" t="s">
        <v>20</v>
      </c>
      <c r="F1628">
        <v>25</v>
      </c>
      <c r="G1628" t="s">
        <v>21</v>
      </c>
      <c r="H1628">
        <v>0</v>
      </c>
      <c r="I1628">
        <v>51</v>
      </c>
      <c r="J1628">
        <v>0</v>
      </c>
      <c r="K1628" t="s">
        <v>17</v>
      </c>
      <c r="L1628" t="s">
        <v>17</v>
      </c>
      <c r="M1628">
        <f>IF(Table1[[#This Row],[ألغى الاشتراك]]="نعم",1,0)</f>
        <v>0</v>
      </c>
      <c r="N1628">
        <f>IF(Table1[[#This Row],[وسيلة الدفع]]="بطاقة",1,0)</f>
        <v>0</v>
      </c>
      <c r="O1628">
        <f>IF(Table1[[#This Row],[وسيلة الدفع]]="محفظة",1,0)</f>
        <v>1</v>
      </c>
      <c r="P1628">
        <f>IF(Table1[[#This Row],[وسيلة الدفع]]="تحويل",1,0)</f>
        <v>0</v>
      </c>
      <c r="Q1628">
        <f>IF(Table1[[#This Row],[حضر التهيئة]]="نعم",1,0)</f>
        <v>0</v>
      </c>
      <c r="R1628">
        <f>IF(Table1[[#This Row],[دورة الفوترة]]="شهري",1,0)</f>
        <v>0</v>
      </c>
    </row>
    <row r="1629" spans="1:18" x14ac:dyDescent="0.25">
      <c r="A1629" t="s">
        <v>1649</v>
      </c>
      <c r="B1629" s="1">
        <v>45341</v>
      </c>
      <c r="C1629" t="s">
        <v>28</v>
      </c>
      <c r="D1629">
        <v>39</v>
      </c>
      <c r="E1629" t="s">
        <v>20</v>
      </c>
      <c r="F1629">
        <v>16</v>
      </c>
      <c r="G1629" t="s">
        <v>15</v>
      </c>
      <c r="H1629">
        <v>0</v>
      </c>
      <c r="I1629">
        <v>32</v>
      </c>
      <c r="J1629">
        <v>0</v>
      </c>
      <c r="K1629" t="s">
        <v>17</v>
      </c>
      <c r="L1629" t="s">
        <v>17</v>
      </c>
      <c r="M1629">
        <f>IF(Table1[[#This Row],[ألغى الاشتراك]]="نعم",1,0)</f>
        <v>0</v>
      </c>
      <c r="N1629">
        <f>IF(Table1[[#This Row],[وسيلة الدفع]]="بطاقة",1,0)</f>
        <v>1</v>
      </c>
      <c r="O1629">
        <f>IF(Table1[[#This Row],[وسيلة الدفع]]="محفظة",1,0)</f>
        <v>0</v>
      </c>
      <c r="P1629">
        <f>IF(Table1[[#This Row],[وسيلة الدفع]]="تحويل",1,0)</f>
        <v>0</v>
      </c>
      <c r="Q1629">
        <f>IF(Table1[[#This Row],[حضر التهيئة]]="نعم",1,0)</f>
        <v>0</v>
      </c>
      <c r="R1629">
        <f>IF(Table1[[#This Row],[دورة الفوترة]]="شهري",1,0)</f>
        <v>0</v>
      </c>
    </row>
    <row r="1630" spans="1:18" x14ac:dyDescent="0.25">
      <c r="A1630" t="s">
        <v>1650</v>
      </c>
      <c r="B1630" s="1">
        <v>45850</v>
      </c>
      <c r="C1630" t="s">
        <v>19</v>
      </c>
      <c r="D1630">
        <v>189</v>
      </c>
      <c r="E1630" t="s">
        <v>14</v>
      </c>
      <c r="F1630">
        <v>3</v>
      </c>
      <c r="G1630" t="s">
        <v>21</v>
      </c>
      <c r="H1630">
        <v>2</v>
      </c>
      <c r="I1630">
        <v>19</v>
      </c>
      <c r="J1630">
        <v>0</v>
      </c>
      <c r="K1630" t="s">
        <v>17</v>
      </c>
      <c r="L1630" t="s">
        <v>17</v>
      </c>
      <c r="M1630">
        <f>IF(Table1[[#This Row],[ألغى الاشتراك]]="نعم",1,0)</f>
        <v>0</v>
      </c>
      <c r="N1630">
        <f>IF(Table1[[#This Row],[وسيلة الدفع]]="بطاقة",1,0)</f>
        <v>0</v>
      </c>
      <c r="O1630">
        <f>IF(Table1[[#This Row],[وسيلة الدفع]]="محفظة",1,0)</f>
        <v>1</v>
      </c>
      <c r="P1630">
        <f>IF(Table1[[#This Row],[وسيلة الدفع]]="تحويل",1,0)</f>
        <v>0</v>
      </c>
      <c r="Q1630">
        <f>IF(Table1[[#This Row],[حضر التهيئة]]="نعم",1,0)</f>
        <v>0</v>
      </c>
      <c r="R1630">
        <f>IF(Table1[[#This Row],[دورة الفوترة]]="شهري",1,0)</f>
        <v>1</v>
      </c>
    </row>
    <row r="1631" spans="1:18" x14ac:dyDescent="0.25">
      <c r="A1631" t="s">
        <v>1651</v>
      </c>
      <c r="B1631" s="1">
        <v>45383</v>
      </c>
      <c r="C1631" t="s">
        <v>13</v>
      </c>
      <c r="D1631">
        <v>89</v>
      </c>
      <c r="E1631" t="s">
        <v>14</v>
      </c>
      <c r="F1631">
        <v>26</v>
      </c>
      <c r="G1631" t="s">
        <v>23</v>
      </c>
      <c r="H1631">
        <v>1</v>
      </c>
      <c r="I1631">
        <v>18</v>
      </c>
      <c r="J1631">
        <v>0</v>
      </c>
      <c r="K1631" t="s">
        <v>16</v>
      </c>
      <c r="L1631" t="s">
        <v>17</v>
      </c>
      <c r="M1631">
        <f>IF(Table1[[#This Row],[ألغى الاشتراك]]="نعم",1,0)</f>
        <v>0</v>
      </c>
      <c r="N1631">
        <f>IF(Table1[[#This Row],[وسيلة الدفع]]="بطاقة",1,0)</f>
        <v>0</v>
      </c>
      <c r="O1631">
        <f>IF(Table1[[#This Row],[وسيلة الدفع]]="محفظة",1,0)</f>
        <v>0</v>
      </c>
      <c r="P1631">
        <f>IF(Table1[[#This Row],[وسيلة الدفع]]="تحويل",1,0)</f>
        <v>1</v>
      </c>
      <c r="Q1631">
        <f>IF(Table1[[#This Row],[حضر التهيئة]]="نعم",1,0)</f>
        <v>1</v>
      </c>
      <c r="R1631">
        <f>IF(Table1[[#This Row],[دورة الفوترة]]="شهري",1,0)</f>
        <v>1</v>
      </c>
    </row>
    <row r="1632" spans="1:18" x14ac:dyDescent="0.25">
      <c r="A1632" t="s">
        <v>1652</v>
      </c>
      <c r="B1632" s="1">
        <v>45918</v>
      </c>
      <c r="C1632" t="s">
        <v>19</v>
      </c>
      <c r="D1632">
        <v>189</v>
      </c>
      <c r="E1632" t="s">
        <v>14</v>
      </c>
      <c r="F1632">
        <v>3</v>
      </c>
      <c r="G1632" t="s">
        <v>21</v>
      </c>
      <c r="H1632">
        <v>1</v>
      </c>
      <c r="I1632">
        <v>11</v>
      </c>
      <c r="J1632">
        <v>0</v>
      </c>
      <c r="K1632" t="s">
        <v>16</v>
      </c>
      <c r="L1632" t="s">
        <v>17</v>
      </c>
      <c r="M1632">
        <f>IF(Table1[[#This Row],[ألغى الاشتراك]]="نعم",1,0)</f>
        <v>0</v>
      </c>
      <c r="N1632">
        <f>IF(Table1[[#This Row],[وسيلة الدفع]]="بطاقة",1,0)</f>
        <v>0</v>
      </c>
      <c r="O1632">
        <f>IF(Table1[[#This Row],[وسيلة الدفع]]="محفظة",1,0)</f>
        <v>1</v>
      </c>
      <c r="P1632">
        <f>IF(Table1[[#This Row],[وسيلة الدفع]]="تحويل",1,0)</f>
        <v>0</v>
      </c>
      <c r="Q1632">
        <f>IF(Table1[[#This Row],[حضر التهيئة]]="نعم",1,0)</f>
        <v>1</v>
      </c>
      <c r="R1632">
        <f>IF(Table1[[#This Row],[دورة الفوترة]]="شهري",1,0)</f>
        <v>1</v>
      </c>
    </row>
    <row r="1633" spans="1:18" x14ac:dyDescent="0.25">
      <c r="A1633" t="s">
        <v>1653</v>
      </c>
      <c r="B1633" s="1">
        <v>45576</v>
      </c>
      <c r="C1633" t="s">
        <v>13</v>
      </c>
      <c r="D1633">
        <v>89</v>
      </c>
      <c r="E1633" t="s">
        <v>20</v>
      </c>
      <c r="F1633">
        <v>16</v>
      </c>
      <c r="G1633" t="s">
        <v>21</v>
      </c>
      <c r="H1633">
        <v>1</v>
      </c>
      <c r="I1633">
        <v>56</v>
      </c>
      <c r="J1633">
        <v>0</v>
      </c>
      <c r="K1633" t="s">
        <v>17</v>
      </c>
      <c r="L1633" t="s">
        <v>16</v>
      </c>
      <c r="M1633">
        <f>IF(Table1[[#This Row],[ألغى الاشتراك]]="نعم",1,0)</f>
        <v>1</v>
      </c>
      <c r="N1633">
        <f>IF(Table1[[#This Row],[وسيلة الدفع]]="بطاقة",1,0)</f>
        <v>0</v>
      </c>
      <c r="O1633">
        <f>IF(Table1[[#This Row],[وسيلة الدفع]]="محفظة",1,0)</f>
        <v>1</v>
      </c>
      <c r="P1633">
        <f>IF(Table1[[#This Row],[وسيلة الدفع]]="تحويل",1,0)</f>
        <v>0</v>
      </c>
      <c r="Q1633">
        <f>IF(Table1[[#This Row],[حضر التهيئة]]="نعم",1,0)</f>
        <v>0</v>
      </c>
      <c r="R1633">
        <f>IF(Table1[[#This Row],[دورة الفوترة]]="شهري",1,0)</f>
        <v>0</v>
      </c>
    </row>
    <row r="1634" spans="1:18" x14ac:dyDescent="0.25">
      <c r="A1634" t="s">
        <v>1654</v>
      </c>
      <c r="B1634" s="1">
        <v>45720</v>
      </c>
      <c r="C1634" t="s">
        <v>13</v>
      </c>
      <c r="D1634">
        <v>89</v>
      </c>
      <c r="E1634" t="s">
        <v>20</v>
      </c>
      <c r="F1634">
        <v>29</v>
      </c>
      <c r="G1634" t="s">
        <v>21</v>
      </c>
      <c r="H1634">
        <v>1</v>
      </c>
      <c r="I1634">
        <v>19</v>
      </c>
      <c r="J1634">
        <v>0</v>
      </c>
      <c r="K1634" t="s">
        <v>17</v>
      </c>
      <c r="L1634" t="s">
        <v>17</v>
      </c>
      <c r="M1634">
        <f>IF(Table1[[#This Row],[ألغى الاشتراك]]="نعم",1,0)</f>
        <v>0</v>
      </c>
      <c r="N1634">
        <f>IF(Table1[[#This Row],[وسيلة الدفع]]="بطاقة",1,0)</f>
        <v>0</v>
      </c>
      <c r="O1634">
        <f>IF(Table1[[#This Row],[وسيلة الدفع]]="محفظة",1,0)</f>
        <v>1</v>
      </c>
      <c r="P1634">
        <f>IF(Table1[[#This Row],[وسيلة الدفع]]="تحويل",1,0)</f>
        <v>0</v>
      </c>
      <c r="Q1634">
        <f>IF(Table1[[#This Row],[حضر التهيئة]]="نعم",1,0)</f>
        <v>0</v>
      </c>
      <c r="R1634">
        <f>IF(Table1[[#This Row],[دورة الفوترة]]="شهري",1,0)</f>
        <v>0</v>
      </c>
    </row>
    <row r="1635" spans="1:18" x14ac:dyDescent="0.25">
      <c r="A1635" t="s">
        <v>1655</v>
      </c>
      <c r="B1635" s="1">
        <v>45795</v>
      </c>
      <c r="C1635" t="s">
        <v>19</v>
      </c>
      <c r="D1635">
        <v>189</v>
      </c>
      <c r="E1635" t="s">
        <v>20</v>
      </c>
      <c r="F1635">
        <v>12</v>
      </c>
      <c r="G1635" t="s">
        <v>21</v>
      </c>
      <c r="H1635">
        <v>11</v>
      </c>
      <c r="I1635">
        <v>14</v>
      </c>
      <c r="J1635">
        <v>5</v>
      </c>
      <c r="K1635" t="s">
        <v>17</v>
      </c>
      <c r="L1635" t="s">
        <v>16</v>
      </c>
      <c r="M1635">
        <f>IF(Table1[[#This Row],[ألغى الاشتراك]]="نعم",1,0)</f>
        <v>1</v>
      </c>
      <c r="N1635">
        <f>IF(Table1[[#This Row],[وسيلة الدفع]]="بطاقة",1,0)</f>
        <v>0</v>
      </c>
      <c r="O1635">
        <f>IF(Table1[[#This Row],[وسيلة الدفع]]="محفظة",1,0)</f>
        <v>1</v>
      </c>
      <c r="P1635">
        <f>IF(Table1[[#This Row],[وسيلة الدفع]]="تحويل",1,0)</f>
        <v>0</v>
      </c>
      <c r="Q1635">
        <f>IF(Table1[[#This Row],[حضر التهيئة]]="نعم",1,0)</f>
        <v>0</v>
      </c>
      <c r="R1635">
        <f>IF(Table1[[#This Row],[دورة الفوترة]]="شهري",1,0)</f>
        <v>0</v>
      </c>
    </row>
    <row r="1636" spans="1:18" x14ac:dyDescent="0.25">
      <c r="A1636" t="s">
        <v>1656</v>
      </c>
      <c r="B1636" s="1">
        <v>45576</v>
      </c>
      <c r="C1636" t="s">
        <v>19</v>
      </c>
      <c r="D1636">
        <v>189</v>
      </c>
      <c r="E1636" t="s">
        <v>14</v>
      </c>
      <c r="F1636">
        <v>30</v>
      </c>
      <c r="G1636" t="s">
        <v>23</v>
      </c>
      <c r="H1636">
        <v>2</v>
      </c>
      <c r="I1636">
        <v>6</v>
      </c>
      <c r="J1636">
        <v>0</v>
      </c>
      <c r="K1636" t="s">
        <v>16</v>
      </c>
      <c r="L1636" t="s">
        <v>17</v>
      </c>
      <c r="M1636">
        <f>IF(Table1[[#This Row],[ألغى الاشتراك]]="نعم",1,0)</f>
        <v>0</v>
      </c>
      <c r="N1636">
        <f>IF(Table1[[#This Row],[وسيلة الدفع]]="بطاقة",1,0)</f>
        <v>0</v>
      </c>
      <c r="O1636">
        <f>IF(Table1[[#This Row],[وسيلة الدفع]]="محفظة",1,0)</f>
        <v>0</v>
      </c>
      <c r="P1636">
        <f>IF(Table1[[#This Row],[وسيلة الدفع]]="تحويل",1,0)</f>
        <v>1</v>
      </c>
      <c r="Q1636">
        <f>IF(Table1[[#This Row],[حضر التهيئة]]="نعم",1,0)</f>
        <v>1</v>
      </c>
      <c r="R1636">
        <f>IF(Table1[[#This Row],[دورة الفوترة]]="شهري",1,0)</f>
        <v>1</v>
      </c>
    </row>
    <row r="1637" spans="1:18" x14ac:dyDescent="0.25">
      <c r="A1637" t="s">
        <v>1657</v>
      </c>
      <c r="B1637" s="1">
        <v>45846</v>
      </c>
      <c r="C1637" t="s">
        <v>13</v>
      </c>
      <c r="D1637">
        <v>89</v>
      </c>
      <c r="E1637" t="s">
        <v>14</v>
      </c>
      <c r="F1637">
        <v>25</v>
      </c>
      <c r="G1637" t="s">
        <v>15</v>
      </c>
      <c r="H1637">
        <v>1</v>
      </c>
      <c r="I1637">
        <v>25</v>
      </c>
      <c r="J1637">
        <v>0</v>
      </c>
      <c r="K1637" t="s">
        <v>16</v>
      </c>
      <c r="L1637" t="s">
        <v>17</v>
      </c>
      <c r="M1637">
        <f>IF(Table1[[#This Row],[ألغى الاشتراك]]="نعم",1,0)</f>
        <v>0</v>
      </c>
      <c r="N1637">
        <f>IF(Table1[[#This Row],[وسيلة الدفع]]="بطاقة",1,0)</f>
        <v>1</v>
      </c>
      <c r="O1637">
        <f>IF(Table1[[#This Row],[وسيلة الدفع]]="محفظة",1,0)</f>
        <v>0</v>
      </c>
      <c r="P1637">
        <f>IF(Table1[[#This Row],[وسيلة الدفع]]="تحويل",1,0)</f>
        <v>0</v>
      </c>
      <c r="Q1637">
        <f>IF(Table1[[#This Row],[حضر التهيئة]]="نعم",1,0)</f>
        <v>1</v>
      </c>
      <c r="R1637">
        <f>IF(Table1[[#This Row],[دورة الفوترة]]="شهري",1,0)</f>
        <v>1</v>
      </c>
    </row>
    <row r="1638" spans="1:18" x14ac:dyDescent="0.25">
      <c r="A1638" t="s">
        <v>1658</v>
      </c>
      <c r="B1638" s="1">
        <v>45779</v>
      </c>
      <c r="C1638" t="s">
        <v>28</v>
      </c>
      <c r="D1638">
        <v>39</v>
      </c>
      <c r="E1638" t="s">
        <v>20</v>
      </c>
      <c r="F1638">
        <v>4</v>
      </c>
      <c r="G1638" t="s">
        <v>21</v>
      </c>
      <c r="H1638">
        <v>2</v>
      </c>
      <c r="I1638">
        <v>4</v>
      </c>
      <c r="J1638">
        <v>5</v>
      </c>
      <c r="K1638" t="s">
        <v>17</v>
      </c>
      <c r="L1638" t="s">
        <v>17</v>
      </c>
      <c r="M1638">
        <f>IF(Table1[[#This Row],[ألغى الاشتراك]]="نعم",1,0)</f>
        <v>0</v>
      </c>
      <c r="N1638">
        <f>IF(Table1[[#This Row],[وسيلة الدفع]]="بطاقة",1,0)</f>
        <v>0</v>
      </c>
      <c r="O1638">
        <f>IF(Table1[[#This Row],[وسيلة الدفع]]="محفظة",1,0)</f>
        <v>1</v>
      </c>
      <c r="P1638">
        <f>IF(Table1[[#This Row],[وسيلة الدفع]]="تحويل",1,0)</f>
        <v>0</v>
      </c>
      <c r="Q1638">
        <f>IF(Table1[[#This Row],[حضر التهيئة]]="نعم",1,0)</f>
        <v>0</v>
      </c>
      <c r="R1638">
        <f>IF(Table1[[#This Row],[دورة الفوترة]]="شهري",1,0)</f>
        <v>0</v>
      </c>
    </row>
    <row r="1639" spans="1:18" x14ac:dyDescent="0.25">
      <c r="A1639" t="s">
        <v>1659</v>
      </c>
      <c r="B1639" s="1">
        <v>45740</v>
      </c>
      <c r="C1639" t="s">
        <v>13</v>
      </c>
      <c r="D1639">
        <v>89</v>
      </c>
      <c r="E1639" t="s">
        <v>20</v>
      </c>
      <c r="F1639">
        <v>28</v>
      </c>
      <c r="G1639" t="s">
        <v>15</v>
      </c>
      <c r="H1639">
        <v>2</v>
      </c>
      <c r="I1639">
        <v>32</v>
      </c>
      <c r="J1639">
        <v>15</v>
      </c>
      <c r="K1639" t="s">
        <v>17</v>
      </c>
      <c r="L1639" t="s">
        <v>17</v>
      </c>
      <c r="M1639">
        <f>IF(Table1[[#This Row],[ألغى الاشتراك]]="نعم",1,0)</f>
        <v>0</v>
      </c>
      <c r="N1639">
        <f>IF(Table1[[#This Row],[وسيلة الدفع]]="بطاقة",1,0)</f>
        <v>1</v>
      </c>
      <c r="O1639">
        <f>IF(Table1[[#This Row],[وسيلة الدفع]]="محفظة",1,0)</f>
        <v>0</v>
      </c>
      <c r="P1639">
        <f>IF(Table1[[#This Row],[وسيلة الدفع]]="تحويل",1,0)</f>
        <v>0</v>
      </c>
      <c r="Q1639">
        <f>IF(Table1[[#This Row],[حضر التهيئة]]="نعم",1,0)</f>
        <v>0</v>
      </c>
      <c r="R1639">
        <f>IF(Table1[[#This Row],[دورة الفوترة]]="شهري",1,0)</f>
        <v>0</v>
      </c>
    </row>
    <row r="1640" spans="1:18" x14ac:dyDescent="0.25">
      <c r="A1640" t="s">
        <v>1660</v>
      </c>
      <c r="B1640" s="1">
        <v>45799</v>
      </c>
      <c r="C1640" t="s">
        <v>19</v>
      </c>
      <c r="D1640">
        <v>189</v>
      </c>
      <c r="E1640" t="s">
        <v>14</v>
      </c>
      <c r="F1640">
        <v>14</v>
      </c>
      <c r="G1640" t="s">
        <v>21</v>
      </c>
      <c r="H1640">
        <v>0</v>
      </c>
      <c r="I1640">
        <v>6</v>
      </c>
      <c r="J1640">
        <v>5</v>
      </c>
      <c r="K1640" t="s">
        <v>17</v>
      </c>
      <c r="L1640" t="s">
        <v>17</v>
      </c>
      <c r="M1640">
        <f>IF(Table1[[#This Row],[ألغى الاشتراك]]="نعم",1,0)</f>
        <v>0</v>
      </c>
      <c r="N1640">
        <f>IF(Table1[[#This Row],[وسيلة الدفع]]="بطاقة",1,0)</f>
        <v>0</v>
      </c>
      <c r="O1640">
        <f>IF(Table1[[#This Row],[وسيلة الدفع]]="محفظة",1,0)</f>
        <v>1</v>
      </c>
      <c r="P1640">
        <f>IF(Table1[[#This Row],[وسيلة الدفع]]="تحويل",1,0)</f>
        <v>0</v>
      </c>
      <c r="Q1640">
        <f>IF(Table1[[#This Row],[حضر التهيئة]]="نعم",1,0)</f>
        <v>0</v>
      </c>
      <c r="R1640">
        <f>IF(Table1[[#This Row],[دورة الفوترة]]="شهري",1,0)</f>
        <v>1</v>
      </c>
    </row>
    <row r="1641" spans="1:18" x14ac:dyDescent="0.25">
      <c r="A1641" t="s">
        <v>1661</v>
      </c>
      <c r="B1641" s="1">
        <v>45341</v>
      </c>
      <c r="C1641" t="s">
        <v>28</v>
      </c>
      <c r="D1641">
        <v>39</v>
      </c>
      <c r="E1641" t="s">
        <v>20</v>
      </c>
      <c r="F1641">
        <v>18</v>
      </c>
      <c r="G1641" t="s">
        <v>23</v>
      </c>
      <c r="H1641">
        <v>1</v>
      </c>
      <c r="I1641">
        <v>50</v>
      </c>
      <c r="J1641">
        <v>0</v>
      </c>
      <c r="K1641" t="s">
        <v>17</v>
      </c>
      <c r="L1641" t="s">
        <v>17</v>
      </c>
      <c r="M1641">
        <f>IF(Table1[[#This Row],[ألغى الاشتراك]]="نعم",1,0)</f>
        <v>0</v>
      </c>
      <c r="N1641">
        <f>IF(Table1[[#This Row],[وسيلة الدفع]]="بطاقة",1,0)</f>
        <v>0</v>
      </c>
      <c r="O1641">
        <f>IF(Table1[[#This Row],[وسيلة الدفع]]="محفظة",1,0)</f>
        <v>0</v>
      </c>
      <c r="P1641">
        <f>IF(Table1[[#This Row],[وسيلة الدفع]]="تحويل",1,0)</f>
        <v>1</v>
      </c>
      <c r="Q1641">
        <f>IF(Table1[[#This Row],[حضر التهيئة]]="نعم",1,0)</f>
        <v>0</v>
      </c>
      <c r="R1641">
        <f>IF(Table1[[#This Row],[دورة الفوترة]]="شهري",1,0)</f>
        <v>0</v>
      </c>
    </row>
    <row r="1642" spans="1:18" x14ac:dyDescent="0.25">
      <c r="A1642" t="s">
        <v>1662</v>
      </c>
      <c r="B1642" s="1">
        <v>45858</v>
      </c>
      <c r="C1642" t="s">
        <v>28</v>
      </c>
      <c r="D1642">
        <v>39</v>
      </c>
      <c r="E1642" t="s">
        <v>14</v>
      </c>
      <c r="F1642">
        <v>9</v>
      </c>
      <c r="G1642" t="s">
        <v>23</v>
      </c>
      <c r="H1642">
        <v>1</v>
      </c>
      <c r="I1642">
        <v>31</v>
      </c>
      <c r="J1642">
        <v>0</v>
      </c>
      <c r="K1642" t="s">
        <v>16</v>
      </c>
      <c r="L1642" t="s">
        <v>17</v>
      </c>
      <c r="M1642">
        <f>IF(Table1[[#This Row],[ألغى الاشتراك]]="نعم",1,0)</f>
        <v>0</v>
      </c>
      <c r="N1642">
        <f>IF(Table1[[#This Row],[وسيلة الدفع]]="بطاقة",1,0)</f>
        <v>0</v>
      </c>
      <c r="O1642">
        <f>IF(Table1[[#This Row],[وسيلة الدفع]]="محفظة",1,0)</f>
        <v>0</v>
      </c>
      <c r="P1642">
        <f>IF(Table1[[#This Row],[وسيلة الدفع]]="تحويل",1,0)</f>
        <v>1</v>
      </c>
      <c r="Q1642">
        <f>IF(Table1[[#This Row],[حضر التهيئة]]="نعم",1,0)</f>
        <v>1</v>
      </c>
      <c r="R1642">
        <f>IF(Table1[[#This Row],[دورة الفوترة]]="شهري",1,0)</f>
        <v>1</v>
      </c>
    </row>
    <row r="1643" spans="1:18" x14ac:dyDescent="0.25">
      <c r="A1643" t="s">
        <v>1663</v>
      </c>
      <c r="B1643" s="1">
        <v>45517</v>
      </c>
      <c r="C1643" t="s">
        <v>13</v>
      </c>
      <c r="D1643">
        <v>89</v>
      </c>
      <c r="E1643" t="s">
        <v>14</v>
      </c>
      <c r="F1643">
        <v>10</v>
      </c>
      <c r="G1643" t="s">
        <v>21</v>
      </c>
      <c r="H1643">
        <v>1</v>
      </c>
      <c r="I1643">
        <v>56</v>
      </c>
      <c r="J1643">
        <v>0</v>
      </c>
      <c r="K1643" t="s">
        <v>17</v>
      </c>
      <c r="L1643" t="s">
        <v>17</v>
      </c>
      <c r="M1643">
        <f>IF(Table1[[#This Row],[ألغى الاشتراك]]="نعم",1,0)</f>
        <v>0</v>
      </c>
      <c r="N1643">
        <f>IF(Table1[[#This Row],[وسيلة الدفع]]="بطاقة",1,0)</f>
        <v>0</v>
      </c>
      <c r="O1643">
        <f>IF(Table1[[#This Row],[وسيلة الدفع]]="محفظة",1,0)</f>
        <v>1</v>
      </c>
      <c r="P1643">
        <f>IF(Table1[[#This Row],[وسيلة الدفع]]="تحويل",1,0)</f>
        <v>0</v>
      </c>
      <c r="Q1643">
        <f>IF(Table1[[#This Row],[حضر التهيئة]]="نعم",1,0)</f>
        <v>0</v>
      </c>
      <c r="R1643">
        <f>IF(Table1[[#This Row],[دورة الفوترة]]="شهري",1,0)</f>
        <v>1</v>
      </c>
    </row>
    <row r="1644" spans="1:18" x14ac:dyDescent="0.25">
      <c r="A1644" t="s">
        <v>1664</v>
      </c>
      <c r="B1644" s="1">
        <v>45902</v>
      </c>
      <c r="C1644" t="s">
        <v>28</v>
      </c>
      <c r="D1644">
        <v>39</v>
      </c>
      <c r="E1644" t="s">
        <v>14</v>
      </c>
      <c r="F1644">
        <v>27</v>
      </c>
      <c r="G1644" t="s">
        <v>21</v>
      </c>
      <c r="H1644">
        <v>1</v>
      </c>
      <c r="I1644">
        <v>57</v>
      </c>
      <c r="J1644">
        <v>0</v>
      </c>
      <c r="K1644" t="s">
        <v>16</v>
      </c>
      <c r="L1644" t="s">
        <v>17</v>
      </c>
      <c r="M1644">
        <f>IF(Table1[[#This Row],[ألغى الاشتراك]]="نعم",1,0)</f>
        <v>0</v>
      </c>
      <c r="N1644">
        <f>IF(Table1[[#This Row],[وسيلة الدفع]]="بطاقة",1,0)</f>
        <v>0</v>
      </c>
      <c r="O1644">
        <f>IF(Table1[[#This Row],[وسيلة الدفع]]="محفظة",1,0)</f>
        <v>1</v>
      </c>
      <c r="P1644">
        <f>IF(Table1[[#This Row],[وسيلة الدفع]]="تحويل",1,0)</f>
        <v>0</v>
      </c>
      <c r="Q1644">
        <f>IF(Table1[[#This Row],[حضر التهيئة]]="نعم",1,0)</f>
        <v>1</v>
      </c>
      <c r="R1644">
        <f>IF(Table1[[#This Row],[دورة الفوترة]]="شهري",1,0)</f>
        <v>1</v>
      </c>
    </row>
    <row r="1645" spans="1:18" x14ac:dyDescent="0.25">
      <c r="A1645" t="s">
        <v>1665</v>
      </c>
      <c r="B1645" s="1">
        <v>45466</v>
      </c>
      <c r="C1645" t="s">
        <v>28</v>
      </c>
      <c r="D1645">
        <v>39</v>
      </c>
      <c r="E1645" t="s">
        <v>14</v>
      </c>
      <c r="F1645">
        <v>30</v>
      </c>
      <c r="G1645" t="s">
        <v>15</v>
      </c>
      <c r="H1645">
        <v>2</v>
      </c>
      <c r="I1645">
        <v>52</v>
      </c>
      <c r="J1645">
        <v>0</v>
      </c>
      <c r="K1645" t="s">
        <v>17</v>
      </c>
      <c r="L1645" t="s">
        <v>16</v>
      </c>
      <c r="M1645">
        <f>IF(Table1[[#This Row],[ألغى الاشتراك]]="نعم",1,0)</f>
        <v>1</v>
      </c>
      <c r="N1645">
        <f>IF(Table1[[#This Row],[وسيلة الدفع]]="بطاقة",1,0)</f>
        <v>1</v>
      </c>
      <c r="O1645">
        <f>IF(Table1[[#This Row],[وسيلة الدفع]]="محفظة",1,0)</f>
        <v>0</v>
      </c>
      <c r="P1645">
        <f>IF(Table1[[#This Row],[وسيلة الدفع]]="تحويل",1,0)</f>
        <v>0</v>
      </c>
      <c r="Q1645">
        <f>IF(Table1[[#This Row],[حضر التهيئة]]="نعم",1,0)</f>
        <v>0</v>
      </c>
      <c r="R1645">
        <f>IF(Table1[[#This Row],[دورة الفوترة]]="شهري",1,0)</f>
        <v>1</v>
      </c>
    </row>
    <row r="1646" spans="1:18" x14ac:dyDescent="0.25">
      <c r="A1646" t="s">
        <v>1666</v>
      </c>
      <c r="B1646" s="1">
        <v>45395</v>
      </c>
      <c r="C1646" t="s">
        <v>13</v>
      </c>
      <c r="D1646">
        <v>89</v>
      </c>
      <c r="E1646" t="s">
        <v>14</v>
      </c>
      <c r="F1646">
        <v>15</v>
      </c>
      <c r="G1646" t="s">
        <v>15</v>
      </c>
      <c r="H1646">
        <v>1</v>
      </c>
      <c r="I1646">
        <v>31</v>
      </c>
      <c r="J1646">
        <v>25</v>
      </c>
      <c r="K1646" t="s">
        <v>16</v>
      </c>
      <c r="L1646" t="s">
        <v>17</v>
      </c>
      <c r="M1646">
        <f>IF(Table1[[#This Row],[ألغى الاشتراك]]="نعم",1,0)</f>
        <v>0</v>
      </c>
      <c r="N1646">
        <f>IF(Table1[[#This Row],[وسيلة الدفع]]="بطاقة",1,0)</f>
        <v>1</v>
      </c>
      <c r="O1646">
        <f>IF(Table1[[#This Row],[وسيلة الدفع]]="محفظة",1,0)</f>
        <v>0</v>
      </c>
      <c r="P1646">
        <f>IF(Table1[[#This Row],[وسيلة الدفع]]="تحويل",1,0)</f>
        <v>0</v>
      </c>
      <c r="Q1646">
        <f>IF(Table1[[#This Row],[حضر التهيئة]]="نعم",1,0)</f>
        <v>1</v>
      </c>
      <c r="R1646">
        <f>IF(Table1[[#This Row],[دورة الفوترة]]="شهري",1,0)</f>
        <v>1</v>
      </c>
    </row>
    <row r="1647" spans="1:18" x14ac:dyDescent="0.25">
      <c r="A1647" t="s">
        <v>1667</v>
      </c>
      <c r="B1647" s="1">
        <v>45783</v>
      </c>
      <c r="C1647" t="s">
        <v>19</v>
      </c>
      <c r="D1647">
        <v>189</v>
      </c>
      <c r="E1647" t="s">
        <v>20</v>
      </c>
      <c r="F1647">
        <v>15</v>
      </c>
      <c r="G1647" t="s">
        <v>15</v>
      </c>
      <c r="H1647">
        <v>7</v>
      </c>
      <c r="I1647">
        <v>29</v>
      </c>
      <c r="J1647">
        <v>0</v>
      </c>
      <c r="K1647" t="s">
        <v>17</v>
      </c>
      <c r="L1647" t="s">
        <v>17</v>
      </c>
      <c r="M1647">
        <f>IF(Table1[[#This Row],[ألغى الاشتراك]]="نعم",1,0)</f>
        <v>0</v>
      </c>
      <c r="N1647">
        <f>IF(Table1[[#This Row],[وسيلة الدفع]]="بطاقة",1,0)</f>
        <v>1</v>
      </c>
      <c r="O1647">
        <f>IF(Table1[[#This Row],[وسيلة الدفع]]="محفظة",1,0)</f>
        <v>0</v>
      </c>
      <c r="P1647">
        <f>IF(Table1[[#This Row],[وسيلة الدفع]]="تحويل",1,0)</f>
        <v>0</v>
      </c>
      <c r="Q1647">
        <f>IF(Table1[[#This Row],[حضر التهيئة]]="نعم",1,0)</f>
        <v>0</v>
      </c>
      <c r="R1647">
        <f>IF(Table1[[#This Row],[دورة الفوترة]]="شهري",1,0)</f>
        <v>0</v>
      </c>
    </row>
    <row r="1648" spans="1:18" x14ac:dyDescent="0.25">
      <c r="A1648" t="s">
        <v>1668</v>
      </c>
      <c r="B1648" s="1">
        <v>45345</v>
      </c>
      <c r="C1648" t="s">
        <v>13</v>
      </c>
      <c r="D1648">
        <v>89</v>
      </c>
      <c r="E1648" t="s">
        <v>14</v>
      </c>
      <c r="F1648">
        <v>22</v>
      </c>
      <c r="G1648" t="s">
        <v>15</v>
      </c>
      <c r="H1648">
        <v>2</v>
      </c>
      <c r="I1648">
        <v>8</v>
      </c>
      <c r="J1648">
        <v>0</v>
      </c>
      <c r="K1648" t="s">
        <v>16</v>
      </c>
      <c r="L1648" t="s">
        <v>17</v>
      </c>
      <c r="M1648">
        <f>IF(Table1[[#This Row],[ألغى الاشتراك]]="نعم",1,0)</f>
        <v>0</v>
      </c>
      <c r="N1648">
        <f>IF(Table1[[#This Row],[وسيلة الدفع]]="بطاقة",1,0)</f>
        <v>1</v>
      </c>
      <c r="O1648">
        <f>IF(Table1[[#This Row],[وسيلة الدفع]]="محفظة",1,0)</f>
        <v>0</v>
      </c>
      <c r="P1648">
        <f>IF(Table1[[#This Row],[وسيلة الدفع]]="تحويل",1,0)</f>
        <v>0</v>
      </c>
      <c r="Q1648">
        <f>IF(Table1[[#This Row],[حضر التهيئة]]="نعم",1,0)</f>
        <v>1</v>
      </c>
      <c r="R1648">
        <f>IF(Table1[[#This Row],[دورة الفوترة]]="شهري",1,0)</f>
        <v>1</v>
      </c>
    </row>
    <row r="1649" spans="1:18" x14ac:dyDescent="0.25">
      <c r="A1649" t="s">
        <v>1669</v>
      </c>
      <c r="B1649" s="1">
        <v>45858</v>
      </c>
      <c r="C1649" t="s">
        <v>13</v>
      </c>
      <c r="D1649">
        <v>89</v>
      </c>
      <c r="E1649" t="s">
        <v>14</v>
      </c>
      <c r="F1649">
        <v>13</v>
      </c>
      <c r="G1649" t="s">
        <v>21</v>
      </c>
      <c r="H1649">
        <v>8</v>
      </c>
      <c r="I1649">
        <v>19</v>
      </c>
      <c r="J1649">
        <v>0</v>
      </c>
      <c r="K1649" t="s">
        <v>16</v>
      </c>
      <c r="L1649" t="s">
        <v>17</v>
      </c>
      <c r="M1649">
        <f>IF(Table1[[#This Row],[ألغى الاشتراك]]="نعم",1,0)</f>
        <v>0</v>
      </c>
      <c r="N1649">
        <f>IF(Table1[[#This Row],[وسيلة الدفع]]="بطاقة",1,0)</f>
        <v>0</v>
      </c>
      <c r="O1649">
        <f>IF(Table1[[#This Row],[وسيلة الدفع]]="محفظة",1,0)</f>
        <v>1</v>
      </c>
      <c r="P1649">
        <f>IF(Table1[[#This Row],[وسيلة الدفع]]="تحويل",1,0)</f>
        <v>0</v>
      </c>
      <c r="Q1649">
        <f>IF(Table1[[#This Row],[حضر التهيئة]]="نعم",1,0)</f>
        <v>1</v>
      </c>
      <c r="R1649">
        <f>IF(Table1[[#This Row],[دورة الفوترة]]="شهري",1,0)</f>
        <v>1</v>
      </c>
    </row>
    <row r="1650" spans="1:18" x14ac:dyDescent="0.25">
      <c r="A1650" t="s">
        <v>1670</v>
      </c>
      <c r="B1650" s="1">
        <v>45529</v>
      </c>
      <c r="C1650" t="s">
        <v>13</v>
      </c>
      <c r="D1650">
        <v>89</v>
      </c>
      <c r="E1650" t="s">
        <v>14</v>
      </c>
      <c r="F1650">
        <v>2</v>
      </c>
      <c r="G1650" t="s">
        <v>23</v>
      </c>
      <c r="H1650">
        <v>0</v>
      </c>
      <c r="I1650">
        <v>24</v>
      </c>
      <c r="J1650">
        <v>0</v>
      </c>
      <c r="K1650" t="s">
        <v>16</v>
      </c>
      <c r="L1650" t="s">
        <v>17</v>
      </c>
      <c r="M1650">
        <f>IF(Table1[[#This Row],[ألغى الاشتراك]]="نعم",1,0)</f>
        <v>0</v>
      </c>
      <c r="N1650">
        <f>IF(Table1[[#This Row],[وسيلة الدفع]]="بطاقة",1,0)</f>
        <v>0</v>
      </c>
      <c r="O1650">
        <f>IF(Table1[[#This Row],[وسيلة الدفع]]="محفظة",1,0)</f>
        <v>0</v>
      </c>
      <c r="P1650">
        <f>IF(Table1[[#This Row],[وسيلة الدفع]]="تحويل",1,0)</f>
        <v>1</v>
      </c>
      <c r="Q1650">
        <f>IF(Table1[[#This Row],[حضر التهيئة]]="نعم",1,0)</f>
        <v>1</v>
      </c>
      <c r="R1650">
        <f>IF(Table1[[#This Row],[دورة الفوترة]]="شهري",1,0)</f>
        <v>1</v>
      </c>
    </row>
    <row r="1651" spans="1:18" x14ac:dyDescent="0.25">
      <c r="A1651" t="s">
        <v>1671</v>
      </c>
      <c r="B1651" s="1">
        <v>45458</v>
      </c>
      <c r="C1651" t="s">
        <v>19</v>
      </c>
      <c r="D1651">
        <v>189</v>
      </c>
      <c r="E1651" t="s">
        <v>20</v>
      </c>
      <c r="F1651">
        <v>5</v>
      </c>
      <c r="G1651" t="s">
        <v>23</v>
      </c>
      <c r="H1651">
        <v>0</v>
      </c>
      <c r="I1651">
        <v>57</v>
      </c>
      <c r="J1651">
        <v>10</v>
      </c>
      <c r="K1651" t="s">
        <v>16</v>
      </c>
      <c r="L1651" t="s">
        <v>17</v>
      </c>
      <c r="M1651">
        <f>IF(Table1[[#This Row],[ألغى الاشتراك]]="نعم",1,0)</f>
        <v>0</v>
      </c>
      <c r="N1651">
        <f>IF(Table1[[#This Row],[وسيلة الدفع]]="بطاقة",1,0)</f>
        <v>0</v>
      </c>
      <c r="O1651">
        <f>IF(Table1[[#This Row],[وسيلة الدفع]]="محفظة",1,0)</f>
        <v>0</v>
      </c>
      <c r="P1651">
        <f>IF(Table1[[#This Row],[وسيلة الدفع]]="تحويل",1,0)</f>
        <v>1</v>
      </c>
      <c r="Q1651">
        <f>IF(Table1[[#This Row],[حضر التهيئة]]="نعم",1,0)</f>
        <v>1</v>
      </c>
      <c r="R1651">
        <f>IF(Table1[[#This Row],[دورة الفوترة]]="شهري",1,0)</f>
        <v>0</v>
      </c>
    </row>
    <row r="1652" spans="1:18" x14ac:dyDescent="0.25">
      <c r="A1652" t="s">
        <v>1672</v>
      </c>
      <c r="B1652" s="1">
        <v>45627</v>
      </c>
      <c r="C1652" t="s">
        <v>19</v>
      </c>
      <c r="D1652">
        <v>189</v>
      </c>
      <c r="E1652" t="s">
        <v>14</v>
      </c>
      <c r="F1652">
        <v>11</v>
      </c>
      <c r="G1652" t="s">
        <v>23</v>
      </c>
      <c r="H1652">
        <v>0</v>
      </c>
      <c r="I1652">
        <v>43</v>
      </c>
      <c r="J1652">
        <v>25</v>
      </c>
      <c r="K1652" t="s">
        <v>16</v>
      </c>
      <c r="L1652" t="s">
        <v>17</v>
      </c>
      <c r="M1652">
        <f>IF(Table1[[#This Row],[ألغى الاشتراك]]="نعم",1,0)</f>
        <v>0</v>
      </c>
      <c r="N1652">
        <f>IF(Table1[[#This Row],[وسيلة الدفع]]="بطاقة",1,0)</f>
        <v>0</v>
      </c>
      <c r="O1652">
        <f>IF(Table1[[#This Row],[وسيلة الدفع]]="محفظة",1,0)</f>
        <v>0</v>
      </c>
      <c r="P1652">
        <f>IF(Table1[[#This Row],[وسيلة الدفع]]="تحويل",1,0)</f>
        <v>1</v>
      </c>
      <c r="Q1652">
        <f>IF(Table1[[#This Row],[حضر التهيئة]]="نعم",1,0)</f>
        <v>1</v>
      </c>
      <c r="R1652">
        <f>IF(Table1[[#This Row],[دورة الفوترة]]="شهري",1,0)</f>
        <v>1</v>
      </c>
    </row>
    <row r="1653" spans="1:18" x14ac:dyDescent="0.25">
      <c r="A1653" t="s">
        <v>1673</v>
      </c>
      <c r="B1653" s="1">
        <v>45683</v>
      </c>
      <c r="C1653" t="s">
        <v>19</v>
      </c>
      <c r="D1653">
        <v>189</v>
      </c>
      <c r="E1653" t="s">
        <v>14</v>
      </c>
      <c r="F1653">
        <v>23</v>
      </c>
      <c r="G1653" t="s">
        <v>15</v>
      </c>
      <c r="H1653">
        <v>0</v>
      </c>
      <c r="I1653">
        <v>55</v>
      </c>
      <c r="J1653">
        <v>0</v>
      </c>
      <c r="K1653" t="s">
        <v>17</v>
      </c>
      <c r="L1653" t="s">
        <v>17</v>
      </c>
      <c r="M1653">
        <f>IF(Table1[[#This Row],[ألغى الاشتراك]]="نعم",1,0)</f>
        <v>0</v>
      </c>
      <c r="N1653">
        <f>IF(Table1[[#This Row],[وسيلة الدفع]]="بطاقة",1,0)</f>
        <v>1</v>
      </c>
      <c r="O1653">
        <f>IF(Table1[[#This Row],[وسيلة الدفع]]="محفظة",1,0)</f>
        <v>0</v>
      </c>
      <c r="P1653">
        <f>IF(Table1[[#This Row],[وسيلة الدفع]]="تحويل",1,0)</f>
        <v>0</v>
      </c>
      <c r="Q1653">
        <f>IF(Table1[[#This Row],[حضر التهيئة]]="نعم",1,0)</f>
        <v>0</v>
      </c>
      <c r="R1653">
        <f>IF(Table1[[#This Row],[دورة الفوترة]]="شهري",1,0)</f>
        <v>1</v>
      </c>
    </row>
    <row r="1654" spans="1:18" x14ac:dyDescent="0.25">
      <c r="A1654" t="s">
        <v>1674</v>
      </c>
      <c r="B1654" s="1">
        <v>45965</v>
      </c>
      <c r="C1654" t="s">
        <v>28</v>
      </c>
      <c r="D1654">
        <v>39</v>
      </c>
      <c r="E1654" t="s">
        <v>14</v>
      </c>
      <c r="F1654">
        <v>10</v>
      </c>
      <c r="G1654" t="s">
        <v>15</v>
      </c>
      <c r="H1654">
        <v>2</v>
      </c>
      <c r="I1654">
        <v>24</v>
      </c>
      <c r="J1654">
        <v>15</v>
      </c>
      <c r="K1654" t="s">
        <v>16</v>
      </c>
      <c r="L1654" t="s">
        <v>17</v>
      </c>
      <c r="M1654">
        <f>IF(Table1[[#This Row],[ألغى الاشتراك]]="نعم",1,0)</f>
        <v>0</v>
      </c>
      <c r="N1654">
        <f>IF(Table1[[#This Row],[وسيلة الدفع]]="بطاقة",1,0)</f>
        <v>1</v>
      </c>
      <c r="O1654">
        <f>IF(Table1[[#This Row],[وسيلة الدفع]]="محفظة",1,0)</f>
        <v>0</v>
      </c>
      <c r="P1654">
        <f>IF(Table1[[#This Row],[وسيلة الدفع]]="تحويل",1,0)</f>
        <v>0</v>
      </c>
      <c r="Q1654">
        <f>IF(Table1[[#This Row],[حضر التهيئة]]="نعم",1,0)</f>
        <v>1</v>
      </c>
      <c r="R1654">
        <f>IF(Table1[[#This Row],[دورة الفوترة]]="شهري",1,0)</f>
        <v>1</v>
      </c>
    </row>
    <row r="1655" spans="1:18" x14ac:dyDescent="0.25">
      <c r="A1655" t="s">
        <v>1675</v>
      </c>
      <c r="B1655" s="1">
        <v>45679</v>
      </c>
      <c r="C1655" t="s">
        <v>13</v>
      </c>
      <c r="D1655">
        <v>89</v>
      </c>
      <c r="E1655" t="s">
        <v>20</v>
      </c>
      <c r="F1655">
        <v>20</v>
      </c>
      <c r="G1655" t="s">
        <v>23</v>
      </c>
      <c r="H1655">
        <v>2</v>
      </c>
      <c r="I1655">
        <v>14</v>
      </c>
      <c r="J1655">
        <v>5</v>
      </c>
      <c r="K1655" t="s">
        <v>16</v>
      </c>
      <c r="L1655" t="s">
        <v>17</v>
      </c>
      <c r="M1655">
        <f>IF(Table1[[#This Row],[ألغى الاشتراك]]="نعم",1,0)</f>
        <v>0</v>
      </c>
      <c r="N1655">
        <f>IF(Table1[[#This Row],[وسيلة الدفع]]="بطاقة",1,0)</f>
        <v>0</v>
      </c>
      <c r="O1655">
        <f>IF(Table1[[#This Row],[وسيلة الدفع]]="محفظة",1,0)</f>
        <v>0</v>
      </c>
      <c r="P1655">
        <f>IF(Table1[[#This Row],[وسيلة الدفع]]="تحويل",1,0)</f>
        <v>1</v>
      </c>
      <c r="Q1655">
        <f>IF(Table1[[#This Row],[حضر التهيئة]]="نعم",1,0)</f>
        <v>1</v>
      </c>
      <c r="R1655">
        <f>IF(Table1[[#This Row],[دورة الفوترة]]="شهري",1,0)</f>
        <v>0</v>
      </c>
    </row>
    <row r="1656" spans="1:18" x14ac:dyDescent="0.25">
      <c r="A1656" t="s">
        <v>1676</v>
      </c>
      <c r="B1656" s="1">
        <v>45458</v>
      </c>
      <c r="C1656" t="s">
        <v>28</v>
      </c>
      <c r="D1656">
        <v>39</v>
      </c>
      <c r="E1656" t="s">
        <v>14</v>
      </c>
      <c r="F1656">
        <v>16</v>
      </c>
      <c r="G1656" t="s">
        <v>23</v>
      </c>
      <c r="H1656">
        <v>1</v>
      </c>
      <c r="I1656">
        <v>54</v>
      </c>
      <c r="J1656">
        <v>0</v>
      </c>
      <c r="K1656" t="s">
        <v>16</v>
      </c>
      <c r="L1656" t="s">
        <v>17</v>
      </c>
      <c r="M1656">
        <f>IF(Table1[[#This Row],[ألغى الاشتراك]]="نعم",1,0)</f>
        <v>0</v>
      </c>
      <c r="N1656">
        <f>IF(Table1[[#This Row],[وسيلة الدفع]]="بطاقة",1,0)</f>
        <v>0</v>
      </c>
      <c r="O1656">
        <f>IF(Table1[[#This Row],[وسيلة الدفع]]="محفظة",1,0)</f>
        <v>0</v>
      </c>
      <c r="P1656">
        <f>IF(Table1[[#This Row],[وسيلة الدفع]]="تحويل",1,0)</f>
        <v>1</v>
      </c>
      <c r="Q1656">
        <f>IF(Table1[[#This Row],[حضر التهيئة]]="نعم",1,0)</f>
        <v>1</v>
      </c>
      <c r="R1656">
        <f>IF(Table1[[#This Row],[دورة الفوترة]]="شهري",1,0)</f>
        <v>1</v>
      </c>
    </row>
    <row r="1657" spans="1:18" x14ac:dyDescent="0.25">
      <c r="A1657" t="s">
        <v>1677</v>
      </c>
      <c r="B1657" s="1">
        <v>45720</v>
      </c>
      <c r="C1657" t="s">
        <v>13</v>
      </c>
      <c r="D1657">
        <v>89</v>
      </c>
      <c r="E1657" t="s">
        <v>20</v>
      </c>
      <c r="F1657">
        <v>9</v>
      </c>
      <c r="G1657" t="s">
        <v>23</v>
      </c>
      <c r="H1657">
        <v>1</v>
      </c>
      <c r="I1657">
        <v>5</v>
      </c>
      <c r="J1657">
        <v>0</v>
      </c>
      <c r="K1657" t="s">
        <v>17</v>
      </c>
      <c r="L1657" t="s">
        <v>17</v>
      </c>
      <c r="M1657">
        <f>IF(Table1[[#This Row],[ألغى الاشتراك]]="نعم",1,0)</f>
        <v>0</v>
      </c>
      <c r="N1657">
        <f>IF(Table1[[#This Row],[وسيلة الدفع]]="بطاقة",1,0)</f>
        <v>0</v>
      </c>
      <c r="O1657">
        <f>IF(Table1[[#This Row],[وسيلة الدفع]]="محفظة",1,0)</f>
        <v>0</v>
      </c>
      <c r="P1657">
        <f>IF(Table1[[#This Row],[وسيلة الدفع]]="تحويل",1,0)</f>
        <v>1</v>
      </c>
      <c r="Q1657">
        <f>IF(Table1[[#This Row],[حضر التهيئة]]="نعم",1,0)</f>
        <v>0</v>
      </c>
      <c r="R1657">
        <f>IF(Table1[[#This Row],[دورة الفوترة]]="شهري",1,0)</f>
        <v>0</v>
      </c>
    </row>
    <row r="1658" spans="1:18" x14ac:dyDescent="0.25">
      <c r="A1658" t="s">
        <v>1678</v>
      </c>
      <c r="B1658" s="1">
        <v>45387</v>
      </c>
      <c r="C1658" t="s">
        <v>19</v>
      </c>
      <c r="D1658">
        <v>189</v>
      </c>
      <c r="E1658" t="s">
        <v>14</v>
      </c>
      <c r="F1658">
        <v>24</v>
      </c>
      <c r="G1658" t="s">
        <v>23</v>
      </c>
      <c r="H1658">
        <v>0</v>
      </c>
      <c r="I1658">
        <v>42</v>
      </c>
      <c r="J1658">
        <v>0</v>
      </c>
      <c r="K1658" t="s">
        <v>16</v>
      </c>
      <c r="L1658" t="s">
        <v>17</v>
      </c>
      <c r="M1658">
        <f>IF(Table1[[#This Row],[ألغى الاشتراك]]="نعم",1,0)</f>
        <v>0</v>
      </c>
      <c r="N1658">
        <f>IF(Table1[[#This Row],[وسيلة الدفع]]="بطاقة",1,0)</f>
        <v>0</v>
      </c>
      <c r="O1658">
        <f>IF(Table1[[#This Row],[وسيلة الدفع]]="محفظة",1,0)</f>
        <v>0</v>
      </c>
      <c r="P1658">
        <f>IF(Table1[[#This Row],[وسيلة الدفع]]="تحويل",1,0)</f>
        <v>1</v>
      </c>
      <c r="Q1658">
        <f>IF(Table1[[#This Row],[حضر التهيئة]]="نعم",1,0)</f>
        <v>1</v>
      </c>
      <c r="R1658">
        <f>IF(Table1[[#This Row],[دورة الفوترة]]="شهري",1,0)</f>
        <v>1</v>
      </c>
    </row>
    <row r="1659" spans="1:18" x14ac:dyDescent="0.25">
      <c r="A1659" t="s">
        <v>1679</v>
      </c>
      <c r="B1659" s="1">
        <v>45568</v>
      </c>
      <c r="C1659" t="s">
        <v>13</v>
      </c>
      <c r="D1659">
        <v>89</v>
      </c>
      <c r="E1659" t="s">
        <v>20</v>
      </c>
      <c r="F1659">
        <v>11</v>
      </c>
      <c r="G1659" t="s">
        <v>23</v>
      </c>
      <c r="H1659">
        <v>1</v>
      </c>
      <c r="I1659">
        <v>57</v>
      </c>
      <c r="J1659">
        <v>10</v>
      </c>
      <c r="K1659" t="s">
        <v>16</v>
      </c>
      <c r="L1659" t="s">
        <v>17</v>
      </c>
      <c r="M1659">
        <f>IF(Table1[[#This Row],[ألغى الاشتراك]]="نعم",1,0)</f>
        <v>0</v>
      </c>
      <c r="N1659">
        <f>IF(Table1[[#This Row],[وسيلة الدفع]]="بطاقة",1,0)</f>
        <v>0</v>
      </c>
      <c r="O1659">
        <f>IF(Table1[[#This Row],[وسيلة الدفع]]="محفظة",1,0)</f>
        <v>0</v>
      </c>
      <c r="P1659">
        <f>IF(Table1[[#This Row],[وسيلة الدفع]]="تحويل",1,0)</f>
        <v>1</v>
      </c>
      <c r="Q1659">
        <f>IF(Table1[[#This Row],[حضر التهيئة]]="نعم",1,0)</f>
        <v>1</v>
      </c>
      <c r="R1659">
        <f>IF(Table1[[#This Row],[دورة الفوترة]]="شهري",1,0)</f>
        <v>0</v>
      </c>
    </row>
    <row r="1660" spans="1:18" x14ac:dyDescent="0.25">
      <c r="A1660" t="s">
        <v>1680</v>
      </c>
      <c r="B1660" s="1">
        <v>45395</v>
      </c>
      <c r="C1660" t="s">
        <v>13</v>
      </c>
      <c r="D1660">
        <v>89</v>
      </c>
      <c r="E1660" t="s">
        <v>14</v>
      </c>
      <c r="F1660">
        <v>5</v>
      </c>
      <c r="G1660" t="s">
        <v>15</v>
      </c>
      <c r="H1660">
        <v>1</v>
      </c>
      <c r="I1660">
        <v>49</v>
      </c>
      <c r="J1660">
        <v>25</v>
      </c>
      <c r="K1660" t="s">
        <v>16</v>
      </c>
      <c r="L1660" t="s">
        <v>17</v>
      </c>
      <c r="M1660">
        <f>IF(Table1[[#This Row],[ألغى الاشتراك]]="نعم",1,0)</f>
        <v>0</v>
      </c>
      <c r="N1660">
        <f>IF(Table1[[#This Row],[وسيلة الدفع]]="بطاقة",1,0)</f>
        <v>1</v>
      </c>
      <c r="O1660">
        <f>IF(Table1[[#This Row],[وسيلة الدفع]]="محفظة",1,0)</f>
        <v>0</v>
      </c>
      <c r="P1660">
        <f>IF(Table1[[#This Row],[وسيلة الدفع]]="تحويل",1,0)</f>
        <v>0</v>
      </c>
      <c r="Q1660">
        <f>IF(Table1[[#This Row],[حضر التهيئة]]="نعم",1,0)</f>
        <v>1</v>
      </c>
      <c r="R1660">
        <f>IF(Table1[[#This Row],[دورة الفوترة]]="شهري",1,0)</f>
        <v>1</v>
      </c>
    </row>
    <row r="1661" spans="1:18" x14ac:dyDescent="0.25">
      <c r="A1661" t="s">
        <v>1681</v>
      </c>
      <c r="B1661" s="1">
        <v>45679</v>
      </c>
      <c r="C1661" t="s">
        <v>19</v>
      </c>
      <c r="D1661">
        <v>189</v>
      </c>
      <c r="E1661" t="s">
        <v>20</v>
      </c>
      <c r="F1661">
        <v>25</v>
      </c>
      <c r="G1661" t="s">
        <v>15</v>
      </c>
      <c r="H1661">
        <v>5</v>
      </c>
      <c r="I1661">
        <v>5</v>
      </c>
      <c r="J1661">
        <v>0</v>
      </c>
      <c r="K1661" t="s">
        <v>17</v>
      </c>
      <c r="L1661" t="s">
        <v>17</v>
      </c>
      <c r="M1661">
        <f>IF(Table1[[#This Row],[ألغى الاشتراك]]="نعم",1,0)</f>
        <v>0</v>
      </c>
      <c r="N1661">
        <f>IF(Table1[[#This Row],[وسيلة الدفع]]="بطاقة",1,0)</f>
        <v>1</v>
      </c>
      <c r="O1661">
        <f>IF(Table1[[#This Row],[وسيلة الدفع]]="محفظة",1,0)</f>
        <v>0</v>
      </c>
      <c r="P1661">
        <f>IF(Table1[[#This Row],[وسيلة الدفع]]="تحويل",1,0)</f>
        <v>0</v>
      </c>
      <c r="Q1661">
        <f>IF(Table1[[#This Row],[حضر التهيئة]]="نعم",1,0)</f>
        <v>0</v>
      </c>
      <c r="R1661">
        <f>IF(Table1[[#This Row],[دورة الفوترة]]="شهري",1,0)</f>
        <v>0</v>
      </c>
    </row>
    <row r="1662" spans="1:18" x14ac:dyDescent="0.25">
      <c r="A1662" t="s">
        <v>1682</v>
      </c>
      <c r="B1662" s="1">
        <v>45584</v>
      </c>
      <c r="C1662" t="s">
        <v>19</v>
      </c>
      <c r="D1662">
        <v>189</v>
      </c>
      <c r="E1662" t="s">
        <v>20</v>
      </c>
      <c r="F1662">
        <v>12</v>
      </c>
      <c r="G1662" t="s">
        <v>21</v>
      </c>
      <c r="H1662">
        <v>0</v>
      </c>
      <c r="I1662">
        <v>16</v>
      </c>
      <c r="J1662">
        <v>0</v>
      </c>
      <c r="K1662" t="s">
        <v>17</v>
      </c>
      <c r="L1662" t="s">
        <v>17</v>
      </c>
      <c r="M1662">
        <f>IF(Table1[[#This Row],[ألغى الاشتراك]]="نعم",1,0)</f>
        <v>0</v>
      </c>
      <c r="N1662">
        <f>IF(Table1[[#This Row],[وسيلة الدفع]]="بطاقة",1,0)</f>
        <v>0</v>
      </c>
      <c r="O1662">
        <f>IF(Table1[[#This Row],[وسيلة الدفع]]="محفظة",1,0)</f>
        <v>1</v>
      </c>
      <c r="P1662">
        <f>IF(Table1[[#This Row],[وسيلة الدفع]]="تحويل",1,0)</f>
        <v>0</v>
      </c>
      <c r="Q1662">
        <f>IF(Table1[[#This Row],[حضر التهيئة]]="نعم",1,0)</f>
        <v>0</v>
      </c>
      <c r="R1662">
        <f>IF(Table1[[#This Row],[دورة الفوترة]]="شهري",1,0)</f>
        <v>0</v>
      </c>
    </row>
    <row r="1663" spans="1:18" x14ac:dyDescent="0.25">
      <c r="A1663" t="s">
        <v>1683</v>
      </c>
      <c r="B1663" s="1">
        <v>45383</v>
      </c>
      <c r="C1663" t="s">
        <v>28</v>
      </c>
      <c r="D1663">
        <v>39</v>
      </c>
      <c r="E1663" t="s">
        <v>14</v>
      </c>
      <c r="F1663">
        <v>21</v>
      </c>
      <c r="G1663" t="s">
        <v>21</v>
      </c>
      <c r="H1663">
        <v>1</v>
      </c>
      <c r="I1663">
        <v>51</v>
      </c>
      <c r="J1663">
        <v>25</v>
      </c>
      <c r="K1663" t="s">
        <v>16</v>
      </c>
      <c r="L1663" t="s">
        <v>17</v>
      </c>
      <c r="M1663">
        <f>IF(Table1[[#This Row],[ألغى الاشتراك]]="نعم",1,0)</f>
        <v>0</v>
      </c>
      <c r="N1663">
        <f>IF(Table1[[#This Row],[وسيلة الدفع]]="بطاقة",1,0)</f>
        <v>0</v>
      </c>
      <c r="O1663">
        <f>IF(Table1[[#This Row],[وسيلة الدفع]]="محفظة",1,0)</f>
        <v>1</v>
      </c>
      <c r="P1663">
        <f>IF(Table1[[#This Row],[وسيلة الدفع]]="تحويل",1,0)</f>
        <v>0</v>
      </c>
      <c r="Q1663">
        <f>IF(Table1[[#This Row],[حضر التهيئة]]="نعم",1,0)</f>
        <v>1</v>
      </c>
      <c r="R1663">
        <f>IF(Table1[[#This Row],[دورة الفوترة]]="شهري",1,0)</f>
        <v>1</v>
      </c>
    </row>
    <row r="1664" spans="1:18" x14ac:dyDescent="0.25">
      <c r="A1664" t="s">
        <v>1684</v>
      </c>
      <c r="B1664" s="1">
        <v>45922</v>
      </c>
      <c r="C1664" t="s">
        <v>13</v>
      </c>
      <c r="D1664">
        <v>89</v>
      </c>
      <c r="E1664" t="s">
        <v>20</v>
      </c>
      <c r="F1664">
        <v>5</v>
      </c>
      <c r="G1664" t="s">
        <v>21</v>
      </c>
      <c r="H1664">
        <v>7</v>
      </c>
      <c r="I1664">
        <v>27</v>
      </c>
      <c r="J1664">
        <v>0</v>
      </c>
      <c r="K1664" t="s">
        <v>16</v>
      </c>
      <c r="L1664" t="s">
        <v>17</v>
      </c>
      <c r="M1664">
        <f>IF(Table1[[#This Row],[ألغى الاشتراك]]="نعم",1,0)</f>
        <v>0</v>
      </c>
      <c r="N1664">
        <f>IF(Table1[[#This Row],[وسيلة الدفع]]="بطاقة",1,0)</f>
        <v>0</v>
      </c>
      <c r="O1664">
        <f>IF(Table1[[#This Row],[وسيلة الدفع]]="محفظة",1,0)</f>
        <v>1</v>
      </c>
      <c r="P1664">
        <f>IF(Table1[[#This Row],[وسيلة الدفع]]="تحويل",1,0)</f>
        <v>0</v>
      </c>
      <c r="Q1664">
        <f>IF(Table1[[#This Row],[حضر التهيئة]]="نعم",1,0)</f>
        <v>1</v>
      </c>
      <c r="R1664">
        <f>IF(Table1[[#This Row],[دورة الفوترة]]="شهري",1,0)</f>
        <v>0</v>
      </c>
    </row>
    <row r="1665" spans="1:18" x14ac:dyDescent="0.25">
      <c r="A1665" t="s">
        <v>1685</v>
      </c>
      <c r="B1665" s="1">
        <v>45568</v>
      </c>
      <c r="C1665" t="s">
        <v>19</v>
      </c>
      <c r="D1665">
        <v>189</v>
      </c>
      <c r="E1665" t="s">
        <v>14</v>
      </c>
      <c r="F1665">
        <v>28</v>
      </c>
      <c r="G1665" t="s">
        <v>15</v>
      </c>
      <c r="H1665">
        <v>0</v>
      </c>
      <c r="I1665">
        <v>8</v>
      </c>
      <c r="J1665">
        <v>0</v>
      </c>
      <c r="K1665" t="s">
        <v>16</v>
      </c>
      <c r="L1665" t="s">
        <v>17</v>
      </c>
      <c r="M1665">
        <f>IF(Table1[[#This Row],[ألغى الاشتراك]]="نعم",1,0)</f>
        <v>0</v>
      </c>
      <c r="N1665">
        <f>IF(Table1[[#This Row],[وسيلة الدفع]]="بطاقة",1,0)</f>
        <v>1</v>
      </c>
      <c r="O1665">
        <f>IF(Table1[[#This Row],[وسيلة الدفع]]="محفظة",1,0)</f>
        <v>0</v>
      </c>
      <c r="P1665">
        <f>IF(Table1[[#This Row],[وسيلة الدفع]]="تحويل",1,0)</f>
        <v>0</v>
      </c>
      <c r="Q1665">
        <f>IF(Table1[[#This Row],[حضر التهيئة]]="نعم",1,0)</f>
        <v>1</v>
      </c>
      <c r="R1665">
        <f>IF(Table1[[#This Row],[دورة الفوترة]]="شهري",1,0)</f>
        <v>1</v>
      </c>
    </row>
    <row r="1666" spans="1:18" x14ac:dyDescent="0.25">
      <c r="A1666" t="s">
        <v>1686</v>
      </c>
      <c r="B1666" s="1">
        <v>45989</v>
      </c>
      <c r="C1666" t="s">
        <v>13</v>
      </c>
      <c r="D1666">
        <v>89</v>
      </c>
      <c r="E1666" t="s">
        <v>14</v>
      </c>
      <c r="F1666">
        <v>19</v>
      </c>
      <c r="G1666" t="s">
        <v>23</v>
      </c>
      <c r="H1666">
        <v>1</v>
      </c>
      <c r="I1666">
        <v>19</v>
      </c>
      <c r="J1666">
        <v>0</v>
      </c>
      <c r="K1666" t="s">
        <v>16</v>
      </c>
      <c r="L1666" t="s">
        <v>17</v>
      </c>
      <c r="M1666">
        <f>IF(Table1[[#This Row],[ألغى الاشتراك]]="نعم",1,0)</f>
        <v>0</v>
      </c>
      <c r="N1666">
        <f>IF(Table1[[#This Row],[وسيلة الدفع]]="بطاقة",1,0)</f>
        <v>0</v>
      </c>
      <c r="O1666">
        <f>IF(Table1[[#This Row],[وسيلة الدفع]]="محفظة",1,0)</f>
        <v>0</v>
      </c>
      <c r="P1666">
        <f>IF(Table1[[#This Row],[وسيلة الدفع]]="تحويل",1,0)</f>
        <v>1</v>
      </c>
      <c r="Q1666">
        <f>IF(Table1[[#This Row],[حضر التهيئة]]="نعم",1,0)</f>
        <v>1</v>
      </c>
      <c r="R1666">
        <f>IF(Table1[[#This Row],[دورة الفوترة]]="شهري",1,0)</f>
        <v>1</v>
      </c>
    </row>
    <row r="1667" spans="1:18" x14ac:dyDescent="0.25">
      <c r="A1667" t="s">
        <v>1687</v>
      </c>
      <c r="B1667" s="1">
        <v>45627</v>
      </c>
      <c r="C1667" t="s">
        <v>28</v>
      </c>
      <c r="D1667">
        <v>39</v>
      </c>
      <c r="E1667" t="s">
        <v>20</v>
      </c>
      <c r="F1667">
        <v>6</v>
      </c>
      <c r="G1667" t="s">
        <v>23</v>
      </c>
      <c r="H1667">
        <v>2</v>
      </c>
      <c r="I1667">
        <v>10</v>
      </c>
      <c r="J1667">
        <v>0</v>
      </c>
      <c r="K1667" t="s">
        <v>16</v>
      </c>
      <c r="L1667" t="s">
        <v>17</v>
      </c>
      <c r="M1667">
        <f>IF(Table1[[#This Row],[ألغى الاشتراك]]="نعم",1,0)</f>
        <v>0</v>
      </c>
      <c r="N1667">
        <f>IF(Table1[[#This Row],[وسيلة الدفع]]="بطاقة",1,0)</f>
        <v>0</v>
      </c>
      <c r="O1667">
        <f>IF(Table1[[#This Row],[وسيلة الدفع]]="محفظة",1,0)</f>
        <v>0</v>
      </c>
      <c r="P1667">
        <f>IF(Table1[[#This Row],[وسيلة الدفع]]="تحويل",1,0)</f>
        <v>1</v>
      </c>
      <c r="Q1667">
        <f>IF(Table1[[#This Row],[حضر التهيئة]]="نعم",1,0)</f>
        <v>1</v>
      </c>
      <c r="R1667">
        <f>IF(Table1[[#This Row],[دورة الفوترة]]="شهري",1,0)</f>
        <v>0</v>
      </c>
    </row>
    <row r="1668" spans="1:18" x14ac:dyDescent="0.25">
      <c r="A1668" t="s">
        <v>1688</v>
      </c>
      <c r="B1668" s="1">
        <v>45791</v>
      </c>
      <c r="C1668" t="s">
        <v>28</v>
      </c>
      <c r="D1668">
        <v>39</v>
      </c>
      <c r="E1668" t="s">
        <v>20</v>
      </c>
      <c r="F1668">
        <v>25</v>
      </c>
      <c r="G1668" t="s">
        <v>23</v>
      </c>
      <c r="H1668">
        <v>2</v>
      </c>
      <c r="I1668">
        <v>25</v>
      </c>
      <c r="J1668">
        <v>0</v>
      </c>
      <c r="K1668" t="s">
        <v>17</v>
      </c>
      <c r="L1668" t="s">
        <v>17</v>
      </c>
      <c r="M1668">
        <f>IF(Table1[[#This Row],[ألغى الاشتراك]]="نعم",1,0)</f>
        <v>0</v>
      </c>
      <c r="N1668">
        <f>IF(Table1[[#This Row],[وسيلة الدفع]]="بطاقة",1,0)</f>
        <v>0</v>
      </c>
      <c r="O1668">
        <f>IF(Table1[[#This Row],[وسيلة الدفع]]="محفظة",1,0)</f>
        <v>0</v>
      </c>
      <c r="P1668">
        <f>IF(Table1[[#This Row],[وسيلة الدفع]]="تحويل",1,0)</f>
        <v>1</v>
      </c>
      <c r="Q1668">
        <f>IF(Table1[[#This Row],[حضر التهيئة]]="نعم",1,0)</f>
        <v>0</v>
      </c>
      <c r="R1668">
        <f>IF(Table1[[#This Row],[دورة الفوترة]]="شهري",1,0)</f>
        <v>0</v>
      </c>
    </row>
    <row r="1669" spans="1:18" x14ac:dyDescent="0.25">
      <c r="A1669" t="s">
        <v>1689</v>
      </c>
      <c r="B1669" s="1">
        <v>45580</v>
      </c>
      <c r="C1669" t="s">
        <v>13</v>
      </c>
      <c r="D1669">
        <v>89</v>
      </c>
      <c r="E1669" t="s">
        <v>14</v>
      </c>
      <c r="F1669">
        <v>8</v>
      </c>
      <c r="G1669" t="s">
        <v>21</v>
      </c>
      <c r="H1669">
        <v>0</v>
      </c>
      <c r="I1669">
        <v>10</v>
      </c>
      <c r="J1669">
        <v>0</v>
      </c>
      <c r="K1669" t="s">
        <v>16</v>
      </c>
      <c r="L1669" t="s">
        <v>17</v>
      </c>
      <c r="M1669">
        <f>IF(Table1[[#This Row],[ألغى الاشتراك]]="نعم",1,0)</f>
        <v>0</v>
      </c>
      <c r="N1669">
        <f>IF(Table1[[#This Row],[وسيلة الدفع]]="بطاقة",1,0)</f>
        <v>0</v>
      </c>
      <c r="O1669">
        <f>IF(Table1[[#This Row],[وسيلة الدفع]]="محفظة",1,0)</f>
        <v>1</v>
      </c>
      <c r="P1669">
        <f>IF(Table1[[#This Row],[وسيلة الدفع]]="تحويل",1,0)</f>
        <v>0</v>
      </c>
      <c r="Q1669">
        <f>IF(Table1[[#This Row],[حضر التهيئة]]="نعم",1,0)</f>
        <v>1</v>
      </c>
      <c r="R1669">
        <f>IF(Table1[[#This Row],[دورة الفوترة]]="شهري",1,0)</f>
        <v>1</v>
      </c>
    </row>
    <row r="1670" spans="1:18" x14ac:dyDescent="0.25">
      <c r="A1670" t="s">
        <v>1690</v>
      </c>
      <c r="B1670" s="1">
        <v>45736</v>
      </c>
      <c r="C1670" t="s">
        <v>19</v>
      </c>
      <c r="D1670">
        <v>189</v>
      </c>
      <c r="E1670" t="s">
        <v>20</v>
      </c>
      <c r="F1670">
        <v>11</v>
      </c>
      <c r="G1670" t="s">
        <v>15</v>
      </c>
      <c r="H1670">
        <v>0</v>
      </c>
      <c r="I1670">
        <v>59</v>
      </c>
      <c r="J1670">
        <v>0</v>
      </c>
      <c r="K1670" t="s">
        <v>17</v>
      </c>
      <c r="L1670" t="s">
        <v>17</v>
      </c>
      <c r="M1670">
        <f>IF(Table1[[#This Row],[ألغى الاشتراك]]="نعم",1,0)</f>
        <v>0</v>
      </c>
      <c r="N1670">
        <f>IF(Table1[[#This Row],[وسيلة الدفع]]="بطاقة",1,0)</f>
        <v>1</v>
      </c>
      <c r="O1670">
        <f>IF(Table1[[#This Row],[وسيلة الدفع]]="محفظة",1,0)</f>
        <v>0</v>
      </c>
      <c r="P1670">
        <f>IF(Table1[[#This Row],[وسيلة الدفع]]="تحويل",1,0)</f>
        <v>0</v>
      </c>
      <c r="Q1670">
        <f>IF(Table1[[#This Row],[حضر التهيئة]]="نعم",1,0)</f>
        <v>0</v>
      </c>
      <c r="R1670">
        <f>IF(Table1[[#This Row],[دورة الفوترة]]="شهري",1,0)</f>
        <v>0</v>
      </c>
    </row>
    <row r="1671" spans="1:18" x14ac:dyDescent="0.25">
      <c r="A1671" t="s">
        <v>1691</v>
      </c>
      <c r="B1671" s="1">
        <v>45391</v>
      </c>
      <c r="C1671" t="s">
        <v>13</v>
      </c>
      <c r="D1671">
        <v>89</v>
      </c>
      <c r="E1671" t="s">
        <v>14</v>
      </c>
      <c r="F1671">
        <v>6</v>
      </c>
      <c r="G1671" t="s">
        <v>15</v>
      </c>
      <c r="H1671">
        <v>11</v>
      </c>
      <c r="I1671">
        <v>38</v>
      </c>
      <c r="J1671">
        <v>0</v>
      </c>
      <c r="K1671" t="s">
        <v>16</v>
      </c>
      <c r="L1671" t="s">
        <v>16</v>
      </c>
      <c r="M1671">
        <f>IF(Table1[[#This Row],[ألغى الاشتراك]]="نعم",1,0)</f>
        <v>1</v>
      </c>
      <c r="N1671">
        <f>IF(Table1[[#This Row],[وسيلة الدفع]]="بطاقة",1,0)</f>
        <v>1</v>
      </c>
      <c r="O1671">
        <f>IF(Table1[[#This Row],[وسيلة الدفع]]="محفظة",1,0)</f>
        <v>0</v>
      </c>
      <c r="P1671">
        <f>IF(Table1[[#This Row],[وسيلة الدفع]]="تحويل",1,0)</f>
        <v>0</v>
      </c>
      <c r="Q1671">
        <f>IF(Table1[[#This Row],[حضر التهيئة]]="نعم",1,0)</f>
        <v>1</v>
      </c>
      <c r="R1671">
        <f>IF(Table1[[#This Row],[دورة الفوترة]]="شهري",1,0)</f>
        <v>1</v>
      </c>
    </row>
    <row r="1672" spans="1:18" x14ac:dyDescent="0.25">
      <c r="A1672" t="s">
        <v>1692</v>
      </c>
      <c r="B1672" s="1">
        <v>45667</v>
      </c>
      <c r="C1672" t="s">
        <v>28</v>
      </c>
      <c r="D1672">
        <v>39</v>
      </c>
      <c r="E1672" t="s">
        <v>20</v>
      </c>
      <c r="F1672">
        <v>25</v>
      </c>
      <c r="G1672" t="s">
        <v>15</v>
      </c>
      <c r="H1672">
        <v>0</v>
      </c>
      <c r="I1672">
        <v>39</v>
      </c>
      <c r="J1672">
        <v>0</v>
      </c>
      <c r="K1672" t="s">
        <v>16</v>
      </c>
      <c r="L1672" t="s">
        <v>17</v>
      </c>
      <c r="M1672">
        <f>IF(Table1[[#This Row],[ألغى الاشتراك]]="نعم",1,0)</f>
        <v>0</v>
      </c>
      <c r="N1672">
        <f>IF(Table1[[#This Row],[وسيلة الدفع]]="بطاقة",1,0)</f>
        <v>1</v>
      </c>
      <c r="O1672">
        <f>IF(Table1[[#This Row],[وسيلة الدفع]]="محفظة",1,0)</f>
        <v>0</v>
      </c>
      <c r="P1672">
        <f>IF(Table1[[#This Row],[وسيلة الدفع]]="تحويل",1,0)</f>
        <v>0</v>
      </c>
      <c r="Q1672">
        <f>IF(Table1[[#This Row],[حضر التهيئة]]="نعم",1,0)</f>
        <v>1</v>
      </c>
      <c r="R1672">
        <f>IF(Table1[[#This Row],[دورة الفوترة]]="شهري",1,0)</f>
        <v>0</v>
      </c>
    </row>
    <row r="1673" spans="1:18" x14ac:dyDescent="0.25">
      <c r="A1673" t="s">
        <v>1693</v>
      </c>
      <c r="B1673" s="1">
        <v>45985</v>
      </c>
      <c r="C1673" t="s">
        <v>13</v>
      </c>
      <c r="D1673">
        <v>89</v>
      </c>
      <c r="E1673" t="s">
        <v>20</v>
      </c>
      <c r="F1673">
        <v>10</v>
      </c>
      <c r="G1673" t="s">
        <v>23</v>
      </c>
      <c r="H1673">
        <v>2</v>
      </c>
      <c r="I1673">
        <v>58</v>
      </c>
      <c r="J1673">
        <v>15</v>
      </c>
      <c r="K1673" t="s">
        <v>17</v>
      </c>
      <c r="L1673" t="s">
        <v>17</v>
      </c>
      <c r="M1673">
        <f>IF(Table1[[#This Row],[ألغى الاشتراك]]="نعم",1,0)</f>
        <v>0</v>
      </c>
      <c r="N1673">
        <f>IF(Table1[[#This Row],[وسيلة الدفع]]="بطاقة",1,0)</f>
        <v>0</v>
      </c>
      <c r="O1673">
        <f>IF(Table1[[#This Row],[وسيلة الدفع]]="محفظة",1,0)</f>
        <v>0</v>
      </c>
      <c r="P1673">
        <f>IF(Table1[[#This Row],[وسيلة الدفع]]="تحويل",1,0)</f>
        <v>1</v>
      </c>
      <c r="Q1673">
        <f>IF(Table1[[#This Row],[حضر التهيئة]]="نعم",1,0)</f>
        <v>0</v>
      </c>
      <c r="R1673">
        <f>IF(Table1[[#This Row],[دورة الفوترة]]="شهري",1,0)</f>
        <v>0</v>
      </c>
    </row>
    <row r="1674" spans="1:18" x14ac:dyDescent="0.25">
      <c r="A1674" t="s">
        <v>1694</v>
      </c>
      <c r="B1674" s="1">
        <v>45627</v>
      </c>
      <c r="C1674" t="s">
        <v>28</v>
      </c>
      <c r="D1674">
        <v>39</v>
      </c>
      <c r="E1674" t="s">
        <v>14</v>
      </c>
      <c r="F1674">
        <v>26</v>
      </c>
      <c r="G1674" t="s">
        <v>21</v>
      </c>
      <c r="H1674">
        <v>8</v>
      </c>
      <c r="I1674">
        <v>4</v>
      </c>
      <c r="J1674">
        <v>0</v>
      </c>
      <c r="K1674" t="s">
        <v>17</v>
      </c>
      <c r="L1674" t="s">
        <v>17</v>
      </c>
      <c r="M1674">
        <f>IF(Table1[[#This Row],[ألغى الاشتراك]]="نعم",1,0)</f>
        <v>0</v>
      </c>
      <c r="N1674">
        <f>IF(Table1[[#This Row],[وسيلة الدفع]]="بطاقة",1,0)</f>
        <v>0</v>
      </c>
      <c r="O1674">
        <f>IF(Table1[[#This Row],[وسيلة الدفع]]="محفظة",1,0)</f>
        <v>1</v>
      </c>
      <c r="P1674">
        <f>IF(Table1[[#This Row],[وسيلة الدفع]]="تحويل",1,0)</f>
        <v>0</v>
      </c>
      <c r="Q1674">
        <f>IF(Table1[[#This Row],[حضر التهيئة]]="نعم",1,0)</f>
        <v>0</v>
      </c>
      <c r="R1674">
        <f>IF(Table1[[#This Row],[دورة الفوترة]]="شهري",1,0)</f>
        <v>1</v>
      </c>
    </row>
    <row r="1675" spans="1:18" x14ac:dyDescent="0.25">
      <c r="A1675" t="s">
        <v>1695</v>
      </c>
      <c r="B1675" s="1">
        <v>45667</v>
      </c>
      <c r="C1675" t="s">
        <v>28</v>
      </c>
      <c r="D1675">
        <v>39</v>
      </c>
      <c r="E1675" t="s">
        <v>14</v>
      </c>
      <c r="F1675">
        <v>27</v>
      </c>
      <c r="G1675" t="s">
        <v>15</v>
      </c>
      <c r="H1675">
        <v>9</v>
      </c>
      <c r="I1675">
        <v>55</v>
      </c>
      <c r="J1675">
        <v>0</v>
      </c>
      <c r="K1675" t="s">
        <v>17</v>
      </c>
      <c r="L1675" t="s">
        <v>16</v>
      </c>
      <c r="M1675">
        <f>IF(Table1[[#This Row],[ألغى الاشتراك]]="نعم",1,0)</f>
        <v>1</v>
      </c>
      <c r="N1675">
        <f>IF(Table1[[#This Row],[وسيلة الدفع]]="بطاقة",1,0)</f>
        <v>1</v>
      </c>
      <c r="O1675">
        <f>IF(Table1[[#This Row],[وسيلة الدفع]]="محفظة",1,0)</f>
        <v>0</v>
      </c>
      <c r="P1675">
        <f>IF(Table1[[#This Row],[وسيلة الدفع]]="تحويل",1,0)</f>
        <v>0</v>
      </c>
      <c r="Q1675">
        <f>IF(Table1[[#This Row],[حضر التهيئة]]="نعم",1,0)</f>
        <v>0</v>
      </c>
      <c r="R1675">
        <f>IF(Table1[[#This Row],[دورة الفوترة]]="شهري",1,0)</f>
        <v>1</v>
      </c>
    </row>
    <row r="1676" spans="1:18" x14ac:dyDescent="0.25">
      <c r="A1676" t="s">
        <v>1696</v>
      </c>
      <c r="B1676" s="1">
        <v>45329</v>
      </c>
      <c r="C1676" t="s">
        <v>28</v>
      </c>
      <c r="D1676">
        <v>39</v>
      </c>
      <c r="E1676" t="s">
        <v>14</v>
      </c>
      <c r="F1676">
        <v>24</v>
      </c>
      <c r="G1676" t="s">
        <v>21</v>
      </c>
      <c r="H1676">
        <v>3</v>
      </c>
      <c r="I1676">
        <v>18</v>
      </c>
      <c r="J1676">
        <v>0</v>
      </c>
      <c r="K1676" t="s">
        <v>16</v>
      </c>
      <c r="L1676" t="s">
        <v>17</v>
      </c>
      <c r="M1676">
        <f>IF(Table1[[#This Row],[ألغى الاشتراك]]="نعم",1,0)</f>
        <v>0</v>
      </c>
      <c r="N1676">
        <f>IF(Table1[[#This Row],[وسيلة الدفع]]="بطاقة",1,0)</f>
        <v>0</v>
      </c>
      <c r="O1676">
        <f>IF(Table1[[#This Row],[وسيلة الدفع]]="محفظة",1,0)</f>
        <v>1</v>
      </c>
      <c r="P1676">
        <f>IF(Table1[[#This Row],[وسيلة الدفع]]="تحويل",1,0)</f>
        <v>0</v>
      </c>
      <c r="Q1676">
        <f>IF(Table1[[#This Row],[حضر التهيئة]]="نعم",1,0)</f>
        <v>1</v>
      </c>
      <c r="R1676">
        <f>IF(Table1[[#This Row],[دورة الفوترة]]="شهري",1,0)</f>
        <v>1</v>
      </c>
    </row>
    <row r="1677" spans="1:18" x14ac:dyDescent="0.25">
      <c r="A1677" t="s">
        <v>1697</v>
      </c>
      <c r="B1677" s="1">
        <v>45736</v>
      </c>
      <c r="C1677" t="s">
        <v>28</v>
      </c>
      <c r="D1677">
        <v>39</v>
      </c>
      <c r="E1677" t="s">
        <v>14</v>
      </c>
      <c r="F1677">
        <v>19</v>
      </c>
      <c r="G1677" t="s">
        <v>15</v>
      </c>
      <c r="H1677">
        <v>0</v>
      </c>
      <c r="I1677">
        <v>39</v>
      </c>
      <c r="J1677">
        <v>0</v>
      </c>
      <c r="K1677" t="s">
        <v>17</v>
      </c>
      <c r="L1677" t="s">
        <v>17</v>
      </c>
      <c r="M1677">
        <f>IF(Table1[[#This Row],[ألغى الاشتراك]]="نعم",1,0)</f>
        <v>0</v>
      </c>
      <c r="N1677">
        <f>IF(Table1[[#This Row],[وسيلة الدفع]]="بطاقة",1,0)</f>
        <v>1</v>
      </c>
      <c r="O1677">
        <f>IF(Table1[[#This Row],[وسيلة الدفع]]="محفظة",1,0)</f>
        <v>0</v>
      </c>
      <c r="P1677">
        <f>IF(Table1[[#This Row],[وسيلة الدفع]]="تحويل",1,0)</f>
        <v>0</v>
      </c>
      <c r="Q1677">
        <f>IF(Table1[[#This Row],[حضر التهيئة]]="نعم",1,0)</f>
        <v>0</v>
      </c>
      <c r="R1677">
        <f>IF(Table1[[#This Row],[دورة الفوترة]]="شهري",1,0)</f>
        <v>1</v>
      </c>
    </row>
    <row r="1678" spans="1:18" x14ac:dyDescent="0.25">
      <c r="A1678" t="s">
        <v>1698</v>
      </c>
      <c r="B1678" s="1">
        <v>45513</v>
      </c>
      <c r="C1678" t="s">
        <v>28</v>
      </c>
      <c r="D1678">
        <v>39</v>
      </c>
      <c r="E1678" t="s">
        <v>20</v>
      </c>
      <c r="F1678">
        <v>4</v>
      </c>
      <c r="G1678" t="s">
        <v>15</v>
      </c>
      <c r="H1678">
        <v>0</v>
      </c>
      <c r="I1678">
        <v>48</v>
      </c>
      <c r="J1678">
        <v>0</v>
      </c>
      <c r="K1678" t="s">
        <v>17</v>
      </c>
      <c r="L1678" t="s">
        <v>17</v>
      </c>
      <c r="M1678">
        <f>IF(Table1[[#This Row],[ألغى الاشتراك]]="نعم",1,0)</f>
        <v>0</v>
      </c>
      <c r="N1678">
        <f>IF(Table1[[#This Row],[وسيلة الدفع]]="بطاقة",1,0)</f>
        <v>1</v>
      </c>
      <c r="O1678">
        <f>IF(Table1[[#This Row],[وسيلة الدفع]]="محفظة",1,0)</f>
        <v>0</v>
      </c>
      <c r="P1678">
        <f>IF(Table1[[#This Row],[وسيلة الدفع]]="تحويل",1,0)</f>
        <v>0</v>
      </c>
      <c r="Q1678">
        <f>IF(Table1[[#This Row],[حضر التهيئة]]="نعم",1,0)</f>
        <v>0</v>
      </c>
      <c r="R1678">
        <f>IF(Table1[[#This Row],[دورة الفوترة]]="شهري",1,0)</f>
        <v>0</v>
      </c>
    </row>
    <row r="1679" spans="1:18" x14ac:dyDescent="0.25">
      <c r="A1679" t="s">
        <v>1699</v>
      </c>
      <c r="B1679" s="1">
        <v>45910</v>
      </c>
      <c r="C1679" t="s">
        <v>28</v>
      </c>
      <c r="D1679">
        <v>39</v>
      </c>
      <c r="E1679" t="s">
        <v>14</v>
      </c>
      <c r="F1679">
        <v>23</v>
      </c>
      <c r="G1679" t="s">
        <v>21</v>
      </c>
      <c r="H1679">
        <v>2</v>
      </c>
      <c r="I1679">
        <v>35</v>
      </c>
      <c r="J1679">
        <v>0</v>
      </c>
      <c r="K1679" t="s">
        <v>17</v>
      </c>
      <c r="L1679" t="s">
        <v>17</v>
      </c>
      <c r="M1679">
        <f>IF(Table1[[#This Row],[ألغى الاشتراك]]="نعم",1,0)</f>
        <v>0</v>
      </c>
      <c r="N1679">
        <f>IF(Table1[[#This Row],[وسيلة الدفع]]="بطاقة",1,0)</f>
        <v>0</v>
      </c>
      <c r="O1679">
        <f>IF(Table1[[#This Row],[وسيلة الدفع]]="محفظة",1,0)</f>
        <v>1</v>
      </c>
      <c r="P1679">
        <f>IF(Table1[[#This Row],[وسيلة الدفع]]="تحويل",1,0)</f>
        <v>0</v>
      </c>
      <c r="Q1679">
        <f>IF(Table1[[#This Row],[حضر التهيئة]]="نعم",1,0)</f>
        <v>0</v>
      </c>
      <c r="R1679">
        <f>IF(Table1[[#This Row],[دورة الفوترة]]="شهري",1,0)</f>
        <v>1</v>
      </c>
    </row>
    <row r="1680" spans="1:18" x14ac:dyDescent="0.25">
      <c r="A1680" t="s">
        <v>1700</v>
      </c>
      <c r="B1680" s="1">
        <v>45977</v>
      </c>
      <c r="C1680" t="s">
        <v>19</v>
      </c>
      <c r="D1680">
        <v>189</v>
      </c>
      <c r="E1680" t="s">
        <v>14</v>
      </c>
      <c r="F1680">
        <v>26</v>
      </c>
      <c r="G1680" t="s">
        <v>23</v>
      </c>
      <c r="H1680">
        <v>1</v>
      </c>
      <c r="I1680">
        <v>6</v>
      </c>
      <c r="J1680">
        <v>15</v>
      </c>
      <c r="K1680" t="s">
        <v>16</v>
      </c>
      <c r="L1680" t="s">
        <v>17</v>
      </c>
      <c r="M1680">
        <f>IF(Table1[[#This Row],[ألغى الاشتراك]]="نعم",1,0)</f>
        <v>0</v>
      </c>
      <c r="N1680">
        <f>IF(Table1[[#This Row],[وسيلة الدفع]]="بطاقة",1,0)</f>
        <v>0</v>
      </c>
      <c r="O1680">
        <f>IF(Table1[[#This Row],[وسيلة الدفع]]="محفظة",1,0)</f>
        <v>0</v>
      </c>
      <c r="P1680">
        <f>IF(Table1[[#This Row],[وسيلة الدفع]]="تحويل",1,0)</f>
        <v>1</v>
      </c>
      <c r="Q1680">
        <f>IF(Table1[[#This Row],[حضر التهيئة]]="نعم",1,0)</f>
        <v>1</v>
      </c>
      <c r="R1680">
        <f>IF(Table1[[#This Row],[دورة الفوترة]]="شهري",1,0)</f>
        <v>1</v>
      </c>
    </row>
    <row r="1681" spans="1:18" x14ac:dyDescent="0.25">
      <c r="A1681" t="s">
        <v>1701</v>
      </c>
      <c r="B1681" s="1">
        <v>45521</v>
      </c>
      <c r="C1681" t="s">
        <v>19</v>
      </c>
      <c r="D1681">
        <v>189</v>
      </c>
      <c r="E1681" t="s">
        <v>14</v>
      </c>
      <c r="F1681">
        <v>2</v>
      </c>
      <c r="G1681" t="s">
        <v>15</v>
      </c>
      <c r="H1681">
        <v>0</v>
      </c>
      <c r="I1681">
        <v>40</v>
      </c>
      <c r="J1681">
        <v>0</v>
      </c>
      <c r="K1681" t="s">
        <v>16</v>
      </c>
      <c r="L1681" t="s">
        <v>17</v>
      </c>
      <c r="M1681">
        <f>IF(Table1[[#This Row],[ألغى الاشتراك]]="نعم",1,0)</f>
        <v>0</v>
      </c>
      <c r="N1681">
        <f>IF(Table1[[#This Row],[وسيلة الدفع]]="بطاقة",1,0)</f>
        <v>1</v>
      </c>
      <c r="O1681">
        <f>IF(Table1[[#This Row],[وسيلة الدفع]]="محفظة",1,0)</f>
        <v>0</v>
      </c>
      <c r="P1681">
        <f>IF(Table1[[#This Row],[وسيلة الدفع]]="تحويل",1,0)</f>
        <v>0</v>
      </c>
      <c r="Q1681">
        <f>IF(Table1[[#This Row],[حضر التهيئة]]="نعم",1,0)</f>
        <v>1</v>
      </c>
      <c r="R1681">
        <f>IF(Table1[[#This Row],[دورة الفوترة]]="شهري",1,0)</f>
        <v>1</v>
      </c>
    </row>
    <row r="1682" spans="1:18" x14ac:dyDescent="0.25">
      <c r="A1682" t="s">
        <v>1702</v>
      </c>
      <c r="B1682" s="1">
        <v>45341</v>
      </c>
      <c r="C1682" t="s">
        <v>13</v>
      </c>
      <c r="D1682">
        <v>89</v>
      </c>
      <c r="E1682" t="s">
        <v>20</v>
      </c>
      <c r="F1682">
        <v>1</v>
      </c>
      <c r="G1682" t="s">
        <v>21</v>
      </c>
      <c r="H1682">
        <v>5</v>
      </c>
      <c r="I1682">
        <v>29</v>
      </c>
      <c r="J1682">
        <v>10</v>
      </c>
      <c r="K1682" t="s">
        <v>17</v>
      </c>
      <c r="L1682" t="s">
        <v>17</v>
      </c>
      <c r="M1682">
        <f>IF(Table1[[#This Row],[ألغى الاشتراك]]="نعم",1,0)</f>
        <v>0</v>
      </c>
      <c r="N1682">
        <f>IF(Table1[[#This Row],[وسيلة الدفع]]="بطاقة",1,0)</f>
        <v>0</v>
      </c>
      <c r="O1682">
        <f>IF(Table1[[#This Row],[وسيلة الدفع]]="محفظة",1,0)</f>
        <v>1</v>
      </c>
      <c r="P1682">
        <f>IF(Table1[[#This Row],[وسيلة الدفع]]="تحويل",1,0)</f>
        <v>0</v>
      </c>
      <c r="Q1682">
        <f>IF(Table1[[#This Row],[حضر التهيئة]]="نعم",1,0)</f>
        <v>0</v>
      </c>
      <c r="R1682">
        <f>IF(Table1[[#This Row],[دورة الفوترة]]="شهري",1,0)</f>
        <v>0</v>
      </c>
    </row>
    <row r="1683" spans="1:18" x14ac:dyDescent="0.25">
      <c r="A1683" t="s">
        <v>1703</v>
      </c>
      <c r="B1683" s="1">
        <v>45842</v>
      </c>
      <c r="C1683" t="s">
        <v>19</v>
      </c>
      <c r="D1683">
        <v>189</v>
      </c>
      <c r="E1683" t="s">
        <v>14</v>
      </c>
      <c r="F1683">
        <v>5</v>
      </c>
      <c r="G1683" t="s">
        <v>15</v>
      </c>
      <c r="H1683">
        <v>0</v>
      </c>
      <c r="I1683">
        <v>51</v>
      </c>
      <c r="J1683">
        <v>0</v>
      </c>
      <c r="K1683" t="s">
        <v>16</v>
      </c>
      <c r="L1683" t="s">
        <v>17</v>
      </c>
      <c r="M1683">
        <f>IF(Table1[[#This Row],[ألغى الاشتراك]]="نعم",1,0)</f>
        <v>0</v>
      </c>
      <c r="N1683">
        <f>IF(Table1[[#This Row],[وسيلة الدفع]]="بطاقة",1,0)</f>
        <v>1</v>
      </c>
      <c r="O1683">
        <f>IF(Table1[[#This Row],[وسيلة الدفع]]="محفظة",1,0)</f>
        <v>0</v>
      </c>
      <c r="P1683">
        <f>IF(Table1[[#This Row],[وسيلة الدفع]]="تحويل",1,0)</f>
        <v>0</v>
      </c>
      <c r="Q1683">
        <f>IF(Table1[[#This Row],[حضر التهيئة]]="نعم",1,0)</f>
        <v>1</v>
      </c>
      <c r="R1683">
        <f>IF(Table1[[#This Row],[دورة الفوترة]]="شهري",1,0)</f>
        <v>1</v>
      </c>
    </row>
    <row r="1684" spans="1:18" x14ac:dyDescent="0.25">
      <c r="A1684" t="s">
        <v>1704</v>
      </c>
      <c r="B1684" s="1">
        <v>45407</v>
      </c>
      <c r="C1684" t="s">
        <v>13</v>
      </c>
      <c r="D1684">
        <v>89</v>
      </c>
      <c r="E1684" t="s">
        <v>14</v>
      </c>
      <c r="F1684">
        <v>22</v>
      </c>
      <c r="G1684" t="s">
        <v>23</v>
      </c>
      <c r="H1684">
        <v>7</v>
      </c>
      <c r="I1684">
        <v>32</v>
      </c>
      <c r="J1684">
        <v>0</v>
      </c>
      <c r="K1684" t="s">
        <v>16</v>
      </c>
      <c r="L1684" t="s">
        <v>17</v>
      </c>
      <c r="M1684">
        <f>IF(Table1[[#This Row],[ألغى الاشتراك]]="نعم",1,0)</f>
        <v>0</v>
      </c>
      <c r="N1684">
        <f>IF(Table1[[#This Row],[وسيلة الدفع]]="بطاقة",1,0)</f>
        <v>0</v>
      </c>
      <c r="O1684">
        <f>IF(Table1[[#This Row],[وسيلة الدفع]]="محفظة",1,0)</f>
        <v>0</v>
      </c>
      <c r="P1684">
        <f>IF(Table1[[#This Row],[وسيلة الدفع]]="تحويل",1,0)</f>
        <v>1</v>
      </c>
      <c r="Q1684">
        <f>IF(Table1[[#This Row],[حضر التهيئة]]="نعم",1,0)</f>
        <v>1</v>
      </c>
      <c r="R1684">
        <f>IF(Table1[[#This Row],[دورة الفوترة]]="شهري",1,0)</f>
        <v>1</v>
      </c>
    </row>
    <row r="1685" spans="1:18" x14ac:dyDescent="0.25">
      <c r="A1685" t="s">
        <v>1705</v>
      </c>
      <c r="B1685" s="1">
        <v>45914</v>
      </c>
      <c r="C1685" t="s">
        <v>13</v>
      </c>
      <c r="D1685">
        <v>89</v>
      </c>
      <c r="E1685" t="s">
        <v>14</v>
      </c>
      <c r="F1685">
        <v>7</v>
      </c>
      <c r="G1685" t="s">
        <v>15</v>
      </c>
      <c r="H1685">
        <v>4</v>
      </c>
      <c r="I1685">
        <v>9</v>
      </c>
      <c r="J1685">
        <v>0</v>
      </c>
      <c r="K1685" t="s">
        <v>16</v>
      </c>
      <c r="L1685" t="s">
        <v>17</v>
      </c>
      <c r="M1685">
        <f>IF(Table1[[#This Row],[ألغى الاشتراك]]="نعم",1,0)</f>
        <v>0</v>
      </c>
      <c r="N1685">
        <f>IF(Table1[[#This Row],[وسيلة الدفع]]="بطاقة",1,0)</f>
        <v>1</v>
      </c>
      <c r="O1685">
        <f>IF(Table1[[#This Row],[وسيلة الدفع]]="محفظة",1,0)</f>
        <v>0</v>
      </c>
      <c r="P1685">
        <f>IF(Table1[[#This Row],[وسيلة الدفع]]="تحويل",1,0)</f>
        <v>0</v>
      </c>
      <c r="Q1685">
        <f>IF(Table1[[#This Row],[حضر التهيئة]]="نعم",1,0)</f>
        <v>1</v>
      </c>
      <c r="R1685">
        <f>IF(Table1[[#This Row],[دورة الفوترة]]="شهري",1,0)</f>
        <v>1</v>
      </c>
    </row>
    <row r="1686" spans="1:18" x14ac:dyDescent="0.25">
      <c r="A1686" t="s">
        <v>1706</v>
      </c>
      <c r="B1686" s="1">
        <v>45333</v>
      </c>
      <c r="C1686" t="s">
        <v>13</v>
      </c>
      <c r="D1686">
        <v>89</v>
      </c>
      <c r="E1686" t="s">
        <v>20</v>
      </c>
      <c r="F1686">
        <v>24</v>
      </c>
      <c r="G1686" t="s">
        <v>21</v>
      </c>
      <c r="H1686">
        <v>1</v>
      </c>
      <c r="I1686">
        <v>46</v>
      </c>
      <c r="J1686">
        <v>0</v>
      </c>
      <c r="K1686" t="s">
        <v>17</v>
      </c>
      <c r="L1686" t="s">
        <v>17</v>
      </c>
      <c r="M1686">
        <f>IF(Table1[[#This Row],[ألغى الاشتراك]]="نعم",1,0)</f>
        <v>0</v>
      </c>
      <c r="N1686">
        <f>IF(Table1[[#This Row],[وسيلة الدفع]]="بطاقة",1,0)</f>
        <v>0</v>
      </c>
      <c r="O1686">
        <f>IF(Table1[[#This Row],[وسيلة الدفع]]="محفظة",1,0)</f>
        <v>1</v>
      </c>
      <c r="P1686">
        <f>IF(Table1[[#This Row],[وسيلة الدفع]]="تحويل",1,0)</f>
        <v>0</v>
      </c>
      <c r="Q1686">
        <f>IF(Table1[[#This Row],[حضر التهيئة]]="نعم",1,0)</f>
        <v>0</v>
      </c>
      <c r="R1686">
        <f>IF(Table1[[#This Row],[دورة الفوترة]]="شهري",1,0)</f>
        <v>0</v>
      </c>
    </row>
    <row r="1687" spans="1:18" x14ac:dyDescent="0.25">
      <c r="A1687" t="s">
        <v>1707</v>
      </c>
      <c r="B1687" s="1">
        <v>45736</v>
      </c>
      <c r="C1687" t="s">
        <v>13</v>
      </c>
      <c r="D1687">
        <v>89</v>
      </c>
      <c r="E1687" t="s">
        <v>14</v>
      </c>
      <c r="F1687">
        <v>23</v>
      </c>
      <c r="G1687" t="s">
        <v>15</v>
      </c>
      <c r="H1687">
        <v>0</v>
      </c>
      <c r="I1687">
        <v>33</v>
      </c>
      <c r="J1687">
        <v>0</v>
      </c>
      <c r="K1687" t="s">
        <v>17</v>
      </c>
      <c r="L1687" t="s">
        <v>17</v>
      </c>
      <c r="M1687">
        <f>IF(Table1[[#This Row],[ألغى الاشتراك]]="نعم",1,0)</f>
        <v>0</v>
      </c>
      <c r="N1687">
        <f>IF(Table1[[#This Row],[وسيلة الدفع]]="بطاقة",1,0)</f>
        <v>1</v>
      </c>
      <c r="O1687">
        <f>IF(Table1[[#This Row],[وسيلة الدفع]]="محفظة",1,0)</f>
        <v>0</v>
      </c>
      <c r="P1687">
        <f>IF(Table1[[#This Row],[وسيلة الدفع]]="تحويل",1,0)</f>
        <v>0</v>
      </c>
      <c r="Q1687">
        <f>IF(Table1[[#This Row],[حضر التهيئة]]="نعم",1,0)</f>
        <v>0</v>
      </c>
      <c r="R1687">
        <f>IF(Table1[[#This Row],[دورة الفوترة]]="شهري",1,0)</f>
        <v>1</v>
      </c>
    </row>
    <row r="1688" spans="1:18" x14ac:dyDescent="0.25">
      <c r="A1688" t="s">
        <v>1708</v>
      </c>
      <c r="B1688" s="1">
        <v>45671</v>
      </c>
      <c r="C1688" t="s">
        <v>28</v>
      </c>
      <c r="D1688">
        <v>39</v>
      </c>
      <c r="E1688" t="s">
        <v>14</v>
      </c>
      <c r="F1688">
        <v>6</v>
      </c>
      <c r="G1688" t="s">
        <v>21</v>
      </c>
      <c r="H1688">
        <v>11</v>
      </c>
      <c r="I1688">
        <v>4</v>
      </c>
      <c r="J1688">
        <v>5</v>
      </c>
      <c r="K1688" t="s">
        <v>16</v>
      </c>
      <c r="L1688" t="s">
        <v>16</v>
      </c>
      <c r="M1688">
        <f>IF(Table1[[#This Row],[ألغى الاشتراك]]="نعم",1,0)</f>
        <v>1</v>
      </c>
      <c r="N1688">
        <f>IF(Table1[[#This Row],[وسيلة الدفع]]="بطاقة",1,0)</f>
        <v>0</v>
      </c>
      <c r="O1688">
        <f>IF(Table1[[#This Row],[وسيلة الدفع]]="محفظة",1,0)</f>
        <v>1</v>
      </c>
      <c r="P1688">
        <f>IF(Table1[[#This Row],[وسيلة الدفع]]="تحويل",1,0)</f>
        <v>0</v>
      </c>
      <c r="Q1688">
        <f>IF(Table1[[#This Row],[حضر التهيئة]]="نعم",1,0)</f>
        <v>1</v>
      </c>
      <c r="R1688">
        <f>IF(Table1[[#This Row],[دورة الفوترة]]="شهري",1,0)</f>
        <v>1</v>
      </c>
    </row>
    <row r="1689" spans="1:18" x14ac:dyDescent="0.25">
      <c r="A1689" t="s">
        <v>1709</v>
      </c>
      <c r="B1689" s="1">
        <v>45466</v>
      </c>
      <c r="C1689" t="s">
        <v>19</v>
      </c>
      <c r="D1689">
        <v>189</v>
      </c>
      <c r="E1689" t="s">
        <v>14</v>
      </c>
      <c r="F1689">
        <v>22</v>
      </c>
      <c r="G1689" t="s">
        <v>21</v>
      </c>
      <c r="H1689">
        <v>0</v>
      </c>
      <c r="I1689">
        <v>58</v>
      </c>
      <c r="J1689">
        <v>0</v>
      </c>
      <c r="K1689" t="s">
        <v>17</v>
      </c>
      <c r="L1689" t="s">
        <v>17</v>
      </c>
      <c r="M1689">
        <f>IF(Table1[[#This Row],[ألغى الاشتراك]]="نعم",1,0)</f>
        <v>0</v>
      </c>
      <c r="N1689">
        <f>IF(Table1[[#This Row],[وسيلة الدفع]]="بطاقة",1,0)</f>
        <v>0</v>
      </c>
      <c r="O1689">
        <f>IF(Table1[[#This Row],[وسيلة الدفع]]="محفظة",1,0)</f>
        <v>1</v>
      </c>
      <c r="P1689">
        <f>IF(Table1[[#This Row],[وسيلة الدفع]]="تحويل",1,0)</f>
        <v>0</v>
      </c>
      <c r="Q1689">
        <f>IF(Table1[[#This Row],[حضر التهيئة]]="نعم",1,0)</f>
        <v>0</v>
      </c>
      <c r="R1689">
        <f>IF(Table1[[#This Row],[دورة الفوترة]]="شهري",1,0)</f>
        <v>1</v>
      </c>
    </row>
    <row r="1690" spans="1:18" x14ac:dyDescent="0.25">
      <c r="A1690" t="s">
        <v>1710</v>
      </c>
      <c r="B1690" s="1">
        <v>45724</v>
      </c>
      <c r="C1690" t="s">
        <v>19</v>
      </c>
      <c r="D1690">
        <v>189</v>
      </c>
      <c r="E1690" t="s">
        <v>20</v>
      </c>
      <c r="F1690">
        <v>23</v>
      </c>
      <c r="G1690" t="s">
        <v>23</v>
      </c>
      <c r="H1690">
        <v>1</v>
      </c>
      <c r="I1690">
        <v>25</v>
      </c>
      <c r="J1690">
        <v>0</v>
      </c>
      <c r="K1690" t="s">
        <v>16</v>
      </c>
      <c r="L1690" t="s">
        <v>17</v>
      </c>
      <c r="M1690">
        <f>IF(Table1[[#This Row],[ألغى الاشتراك]]="نعم",1,0)</f>
        <v>0</v>
      </c>
      <c r="N1690">
        <f>IF(Table1[[#This Row],[وسيلة الدفع]]="بطاقة",1,0)</f>
        <v>0</v>
      </c>
      <c r="O1690">
        <f>IF(Table1[[#This Row],[وسيلة الدفع]]="محفظة",1,0)</f>
        <v>0</v>
      </c>
      <c r="P1690">
        <f>IF(Table1[[#This Row],[وسيلة الدفع]]="تحويل",1,0)</f>
        <v>1</v>
      </c>
      <c r="Q1690">
        <f>IF(Table1[[#This Row],[حضر التهيئة]]="نعم",1,0)</f>
        <v>1</v>
      </c>
      <c r="R1690">
        <f>IF(Table1[[#This Row],[دورة الفوترة]]="شهري",1,0)</f>
        <v>0</v>
      </c>
    </row>
    <row r="1691" spans="1:18" x14ac:dyDescent="0.25">
      <c r="A1691" t="s">
        <v>1711</v>
      </c>
      <c r="B1691" s="1">
        <v>45521</v>
      </c>
      <c r="C1691" t="s">
        <v>28</v>
      </c>
      <c r="D1691">
        <v>39</v>
      </c>
      <c r="E1691" t="s">
        <v>20</v>
      </c>
      <c r="F1691">
        <v>26</v>
      </c>
      <c r="G1691" t="s">
        <v>15</v>
      </c>
      <c r="H1691">
        <v>5</v>
      </c>
      <c r="I1691">
        <v>10</v>
      </c>
      <c r="J1691">
        <v>0</v>
      </c>
      <c r="K1691" t="s">
        <v>17</v>
      </c>
      <c r="L1691" t="s">
        <v>17</v>
      </c>
      <c r="M1691">
        <f>IF(Table1[[#This Row],[ألغى الاشتراك]]="نعم",1,0)</f>
        <v>0</v>
      </c>
      <c r="N1691">
        <f>IF(Table1[[#This Row],[وسيلة الدفع]]="بطاقة",1,0)</f>
        <v>1</v>
      </c>
      <c r="O1691">
        <f>IF(Table1[[#This Row],[وسيلة الدفع]]="محفظة",1,0)</f>
        <v>0</v>
      </c>
      <c r="P1691">
        <f>IF(Table1[[#This Row],[وسيلة الدفع]]="تحويل",1,0)</f>
        <v>0</v>
      </c>
      <c r="Q1691">
        <f>IF(Table1[[#This Row],[حضر التهيئة]]="نعم",1,0)</f>
        <v>0</v>
      </c>
      <c r="R1691">
        <f>IF(Table1[[#This Row],[دورة الفوترة]]="شهري",1,0)</f>
        <v>0</v>
      </c>
    </row>
    <row r="1692" spans="1:18" x14ac:dyDescent="0.25">
      <c r="A1692" t="s">
        <v>1712</v>
      </c>
      <c r="B1692" s="1">
        <v>45568</v>
      </c>
      <c r="C1692" t="s">
        <v>19</v>
      </c>
      <c r="D1692">
        <v>189</v>
      </c>
      <c r="E1692" t="s">
        <v>14</v>
      </c>
      <c r="F1692">
        <v>9</v>
      </c>
      <c r="G1692" t="s">
        <v>15</v>
      </c>
      <c r="H1692">
        <v>5</v>
      </c>
      <c r="I1692">
        <v>43</v>
      </c>
      <c r="J1692">
        <v>10</v>
      </c>
      <c r="K1692" t="s">
        <v>17</v>
      </c>
      <c r="L1692" t="s">
        <v>17</v>
      </c>
      <c r="M1692">
        <f>IF(Table1[[#This Row],[ألغى الاشتراك]]="نعم",1,0)</f>
        <v>0</v>
      </c>
      <c r="N1692">
        <f>IF(Table1[[#This Row],[وسيلة الدفع]]="بطاقة",1,0)</f>
        <v>1</v>
      </c>
      <c r="O1692">
        <f>IF(Table1[[#This Row],[وسيلة الدفع]]="محفظة",1,0)</f>
        <v>0</v>
      </c>
      <c r="P1692">
        <f>IF(Table1[[#This Row],[وسيلة الدفع]]="تحويل",1,0)</f>
        <v>0</v>
      </c>
      <c r="Q1692">
        <f>IF(Table1[[#This Row],[حضر التهيئة]]="نعم",1,0)</f>
        <v>0</v>
      </c>
      <c r="R1692">
        <f>IF(Table1[[#This Row],[دورة الفوترة]]="شهري",1,0)</f>
        <v>1</v>
      </c>
    </row>
    <row r="1693" spans="1:18" x14ac:dyDescent="0.25">
      <c r="A1693" t="s">
        <v>1713</v>
      </c>
      <c r="B1693" s="1">
        <v>45517</v>
      </c>
      <c r="C1693" t="s">
        <v>28</v>
      </c>
      <c r="D1693">
        <v>39</v>
      </c>
      <c r="E1693" t="s">
        <v>14</v>
      </c>
      <c r="F1693">
        <v>1</v>
      </c>
      <c r="G1693" t="s">
        <v>23</v>
      </c>
      <c r="H1693">
        <v>2</v>
      </c>
      <c r="I1693">
        <v>39</v>
      </c>
      <c r="J1693">
        <v>25</v>
      </c>
      <c r="K1693" t="s">
        <v>17</v>
      </c>
      <c r="L1693" t="s">
        <v>17</v>
      </c>
      <c r="M1693">
        <f>IF(Table1[[#This Row],[ألغى الاشتراك]]="نعم",1,0)</f>
        <v>0</v>
      </c>
      <c r="N1693">
        <f>IF(Table1[[#This Row],[وسيلة الدفع]]="بطاقة",1,0)</f>
        <v>0</v>
      </c>
      <c r="O1693">
        <f>IF(Table1[[#This Row],[وسيلة الدفع]]="محفظة",1,0)</f>
        <v>0</v>
      </c>
      <c r="P1693">
        <f>IF(Table1[[#This Row],[وسيلة الدفع]]="تحويل",1,0)</f>
        <v>1</v>
      </c>
      <c r="Q1693">
        <f>IF(Table1[[#This Row],[حضر التهيئة]]="نعم",1,0)</f>
        <v>0</v>
      </c>
      <c r="R1693">
        <f>IF(Table1[[#This Row],[دورة الفوترة]]="شهري",1,0)</f>
        <v>1</v>
      </c>
    </row>
    <row r="1694" spans="1:18" x14ac:dyDescent="0.25">
      <c r="A1694" t="s">
        <v>1714</v>
      </c>
      <c r="B1694" s="1">
        <v>45450</v>
      </c>
      <c r="C1694" t="s">
        <v>28</v>
      </c>
      <c r="D1694">
        <v>39</v>
      </c>
      <c r="E1694" t="s">
        <v>20</v>
      </c>
      <c r="F1694">
        <v>9</v>
      </c>
      <c r="G1694" t="s">
        <v>21</v>
      </c>
      <c r="H1694">
        <v>3</v>
      </c>
      <c r="I1694">
        <v>41</v>
      </c>
      <c r="J1694">
        <v>10</v>
      </c>
      <c r="K1694" t="s">
        <v>16</v>
      </c>
      <c r="L1694" t="s">
        <v>17</v>
      </c>
      <c r="M1694">
        <f>IF(Table1[[#This Row],[ألغى الاشتراك]]="نعم",1,0)</f>
        <v>0</v>
      </c>
      <c r="N1694">
        <f>IF(Table1[[#This Row],[وسيلة الدفع]]="بطاقة",1,0)</f>
        <v>0</v>
      </c>
      <c r="O1694">
        <f>IF(Table1[[#This Row],[وسيلة الدفع]]="محفظة",1,0)</f>
        <v>1</v>
      </c>
      <c r="P1694">
        <f>IF(Table1[[#This Row],[وسيلة الدفع]]="تحويل",1,0)</f>
        <v>0</v>
      </c>
      <c r="Q1694">
        <f>IF(Table1[[#This Row],[حضر التهيئة]]="نعم",1,0)</f>
        <v>1</v>
      </c>
      <c r="R1694">
        <f>IF(Table1[[#This Row],[دورة الفوترة]]="شهري",1,0)</f>
        <v>0</v>
      </c>
    </row>
    <row r="1695" spans="1:18" x14ac:dyDescent="0.25">
      <c r="A1695" t="s">
        <v>1715</v>
      </c>
      <c r="B1695" s="1">
        <v>45728</v>
      </c>
      <c r="C1695" t="s">
        <v>28</v>
      </c>
      <c r="D1695">
        <v>39</v>
      </c>
      <c r="E1695" t="s">
        <v>14</v>
      </c>
      <c r="F1695">
        <v>9</v>
      </c>
      <c r="G1695" t="s">
        <v>15</v>
      </c>
      <c r="H1695">
        <v>7</v>
      </c>
      <c r="I1695">
        <v>51</v>
      </c>
      <c r="J1695">
        <v>0</v>
      </c>
      <c r="K1695" t="s">
        <v>16</v>
      </c>
      <c r="L1695" t="s">
        <v>17</v>
      </c>
      <c r="M1695">
        <f>IF(Table1[[#This Row],[ألغى الاشتراك]]="نعم",1,0)</f>
        <v>0</v>
      </c>
      <c r="N1695">
        <f>IF(Table1[[#This Row],[وسيلة الدفع]]="بطاقة",1,0)</f>
        <v>1</v>
      </c>
      <c r="O1695">
        <f>IF(Table1[[#This Row],[وسيلة الدفع]]="محفظة",1,0)</f>
        <v>0</v>
      </c>
      <c r="P1695">
        <f>IF(Table1[[#This Row],[وسيلة الدفع]]="تحويل",1,0)</f>
        <v>0</v>
      </c>
      <c r="Q1695">
        <f>IF(Table1[[#This Row],[حضر التهيئة]]="نعم",1,0)</f>
        <v>1</v>
      </c>
      <c r="R1695">
        <f>IF(Table1[[#This Row],[دورة الفوترة]]="شهري",1,0)</f>
        <v>1</v>
      </c>
    </row>
    <row r="1696" spans="1:18" x14ac:dyDescent="0.25">
      <c r="A1696" t="s">
        <v>1716</v>
      </c>
      <c r="B1696" s="1">
        <v>45779</v>
      </c>
      <c r="C1696" t="s">
        <v>19</v>
      </c>
      <c r="D1696">
        <v>189</v>
      </c>
      <c r="E1696" t="s">
        <v>20</v>
      </c>
      <c r="F1696">
        <v>14</v>
      </c>
      <c r="G1696" t="s">
        <v>21</v>
      </c>
      <c r="H1696">
        <v>7</v>
      </c>
      <c r="I1696">
        <v>28</v>
      </c>
      <c r="J1696">
        <v>5</v>
      </c>
      <c r="K1696" t="s">
        <v>16</v>
      </c>
      <c r="L1696" t="s">
        <v>17</v>
      </c>
      <c r="M1696">
        <f>IF(Table1[[#This Row],[ألغى الاشتراك]]="نعم",1,0)</f>
        <v>0</v>
      </c>
      <c r="N1696">
        <f>IF(Table1[[#This Row],[وسيلة الدفع]]="بطاقة",1,0)</f>
        <v>0</v>
      </c>
      <c r="O1696">
        <f>IF(Table1[[#This Row],[وسيلة الدفع]]="محفظة",1,0)</f>
        <v>1</v>
      </c>
      <c r="P1696">
        <f>IF(Table1[[#This Row],[وسيلة الدفع]]="تحويل",1,0)</f>
        <v>0</v>
      </c>
      <c r="Q1696">
        <f>IF(Table1[[#This Row],[حضر التهيئة]]="نعم",1,0)</f>
        <v>1</v>
      </c>
      <c r="R1696">
        <f>IF(Table1[[#This Row],[دورة الفوترة]]="شهري",1,0)</f>
        <v>0</v>
      </c>
    </row>
    <row r="1697" spans="1:18" x14ac:dyDescent="0.25">
      <c r="A1697" t="s">
        <v>1717</v>
      </c>
      <c r="B1697" s="1">
        <v>45454</v>
      </c>
      <c r="C1697" t="s">
        <v>13</v>
      </c>
      <c r="D1697">
        <v>89</v>
      </c>
      <c r="E1697" t="s">
        <v>14</v>
      </c>
      <c r="F1697">
        <v>8</v>
      </c>
      <c r="G1697" t="s">
        <v>23</v>
      </c>
      <c r="H1697">
        <v>7</v>
      </c>
      <c r="I1697">
        <v>52</v>
      </c>
      <c r="J1697">
        <v>0</v>
      </c>
      <c r="K1697" t="s">
        <v>17</v>
      </c>
      <c r="L1697" t="s">
        <v>17</v>
      </c>
      <c r="M1697">
        <f>IF(Table1[[#This Row],[ألغى الاشتراك]]="نعم",1,0)</f>
        <v>0</v>
      </c>
      <c r="N1697">
        <f>IF(Table1[[#This Row],[وسيلة الدفع]]="بطاقة",1,0)</f>
        <v>0</v>
      </c>
      <c r="O1697">
        <f>IF(Table1[[#This Row],[وسيلة الدفع]]="محفظة",1,0)</f>
        <v>0</v>
      </c>
      <c r="P1697">
        <f>IF(Table1[[#This Row],[وسيلة الدفع]]="تحويل",1,0)</f>
        <v>1</v>
      </c>
      <c r="Q1697">
        <f>IF(Table1[[#This Row],[حضر التهيئة]]="نعم",1,0)</f>
        <v>0</v>
      </c>
      <c r="R1697">
        <f>IF(Table1[[#This Row],[دورة الفوترة]]="شهري",1,0)</f>
        <v>1</v>
      </c>
    </row>
    <row r="1698" spans="1:18" x14ac:dyDescent="0.25">
      <c r="A1698" t="s">
        <v>1718</v>
      </c>
      <c r="B1698" s="1">
        <v>45724</v>
      </c>
      <c r="C1698" t="s">
        <v>13</v>
      </c>
      <c r="D1698">
        <v>89</v>
      </c>
      <c r="E1698" t="s">
        <v>20</v>
      </c>
      <c r="F1698">
        <v>1</v>
      </c>
      <c r="G1698" t="s">
        <v>15</v>
      </c>
      <c r="H1698">
        <v>11</v>
      </c>
      <c r="I1698">
        <v>39</v>
      </c>
      <c r="J1698">
        <v>0</v>
      </c>
      <c r="K1698" t="s">
        <v>16</v>
      </c>
      <c r="L1698" t="s">
        <v>17</v>
      </c>
      <c r="M1698">
        <f>IF(Table1[[#This Row],[ألغى الاشتراك]]="نعم",1,0)</f>
        <v>0</v>
      </c>
      <c r="N1698">
        <f>IF(Table1[[#This Row],[وسيلة الدفع]]="بطاقة",1,0)</f>
        <v>1</v>
      </c>
      <c r="O1698">
        <f>IF(Table1[[#This Row],[وسيلة الدفع]]="محفظة",1,0)</f>
        <v>0</v>
      </c>
      <c r="P1698">
        <f>IF(Table1[[#This Row],[وسيلة الدفع]]="تحويل",1,0)</f>
        <v>0</v>
      </c>
      <c r="Q1698">
        <f>IF(Table1[[#This Row],[حضر التهيئة]]="نعم",1,0)</f>
        <v>1</v>
      </c>
      <c r="R1698">
        <f>IF(Table1[[#This Row],[دورة الفوترة]]="شهري",1,0)</f>
        <v>0</v>
      </c>
    </row>
    <row r="1699" spans="1:18" x14ac:dyDescent="0.25">
      <c r="A1699" t="s">
        <v>1719</v>
      </c>
      <c r="B1699" s="1">
        <v>45918</v>
      </c>
      <c r="C1699" t="s">
        <v>19</v>
      </c>
      <c r="D1699">
        <v>189</v>
      </c>
      <c r="E1699" t="s">
        <v>14</v>
      </c>
      <c r="F1699">
        <v>12</v>
      </c>
      <c r="G1699" t="s">
        <v>21</v>
      </c>
      <c r="H1699">
        <v>0</v>
      </c>
      <c r="I1699">
        <v>2</v>
      </c>
      <c r="J1699">
        <v>5</v>
      </c>
      <c r="K1699" t="s">
        <v>16</v>
      </c>
      <c r="L1699" t="s">
        <v>17</v>
      </c>
      <c r="M1699">
        <f>IF(Table1[[#This Row],[ألغى الاشتراك]]="نعم",1,0)</f>
        <v>0</v>
      </c>
      <c r="N1699">
        <f>IF(Table1[[#This Row],[وسيلة الدفع]]="بطاقة",1,0)</f>
        <v>0</v>
      </c>
      <c r="O1699">
        <f>IF(Table1[[#This Row],[وسيلة الدفع]]="محفظة",1,0)</f>
        <v>1</v>
      </c>
      <c r="P1699">
        <f>IF(Table1[[#This Row],[وسيلة الدفع]]="تحويل",1,0)</f>
        <v>0</v>
      </c>
      <c r="Q1699">
        <f>IF(Table1[[#This Row],[حضر التهيئة]]="نعم",1,0)</f>
        <v>1</v>
      </c>
      <c r="R1699">
        <f>IF(Table1[[#This Row],[دورة الفوترة]]="شهري",1,0)</f>
        <v>1</v>
      </c>
    </row>
    <row r="1700" spans="1:18" x14ac:dyDescent="0.25">
      <c r="A1700" t="s">
        <v>1720</v>
      </c>
      <c r="B1700" s="1">
        <v>45329</v>
      </c>
      <c r="C1700" t="s">
        <v>13</v>
      </c>
      <c r="D1700">
        <v>89</v>
      </c>
      <c r="E1700" t="s">
        <v>20</v>
      </c>
      <c r="F1700">
        <v>6</v>
      </c>
      <c r="G1700" t="s">
        <v>21</v>
      </c>
      <c r="H1700">
        <v>10</v>
      </c>
      <c r="I1700">
        <v>50</v>
      </c>
      <c r="J1700">
        <v>0</v>
      </c>
      <c r="K1700" t="s">
        <v>16</v>
      </c>
      <c r="L1700" t="s">
        <v>17</v>
      </c>
      <c r="M1700">
        <f>IF(Table1[[#This Row],[ألغى الاشتراك]]="نعم",1,0)</f>
        <v>0</v>
      </c>
      <c r="N1700">
        <f>IF(Table1[[#This Row],[وسيلة الدفع]]="بطاقة",1,0)</f>
        <v>0</v>
      </c>
      <c r="O1700">
        <f>IF(Table1[[#This Row],[وسيلة الدفع]]="محفظة",1,0)</f>
        <v>1</v>
      </c>
      <c r="P1700">
        <f>IF(Table1[[#This Row],[وسيلة الدفع]]="تحويل",1,0)</f>
        <v>0</v>
      </c>
      <c r="Q1700">
        <f>IF(Table1[[#This Row],[حضر التهيئة]]="نعم",1,0)</f>
        <v>1</v>
      </c>
      <c r="R1700">
        <f>IF(Table1[[#This Row],[دورة الفوترة]]="شهري",1,0)</f>
        <v>0</v>
      </c>
    </row>
    <row r="1701" spans="1:18" x14ac:dyDescent="0.25">
      <c r="A1701" t="s">
        <v>1721</v>
      </c>
      <c r="B1701" s="1">
        <v>45407</v>
      </c>
      <c r="C1701" t="s">
        <v>13</v>
      </c>
      <c r="D1701">
        <v>89</v>
      </c>
      <c r="E1701" t="s">
        <v>20</v>
      </c>
      <c r="F1701">
        <v>5</v>
      </c>
      <c r="G1701" t="s">
        <v>21</v>
      </c>
      <c r="H1701">
        <v>5</v>
      </c>
      <c r="I1701">
        <v>3</v>
      </c>
      <c r="J1701">
        <v>25</v>
      </c>
      <c r="K1701" t="s">
        <v>16</v>
      </c>
      <c r="L1701" t="s">
        <v>17</v>
      </c>
      <c r="M1701">
        <f>IF(Table1[[#This Row],[ألغى الاشتراك]]="نعم",1,0)</f>
        <v>0</v>
      </c>
      <c r="N1701">
        <f>IF(Table1[[#This Row],[وسيلة الدفع]]="بطاقة",1,0)</f>
        <v>0</v>
      </c>
      <c r="O1701">
        <f>IF(Table1[[#This Row],[وسيلة الدفع]]="محفظة",1,0)</f>
        <v>1</v>
      </c>
      <c r="P1701">
        <f>IF(Table1[[#This Row],[وسيلة الدفع]]="تحويل",1,0)</f>
        <v>0</v>
      </c>
      <c r="Q1701">
        <f>IF(Table1[[#This Row],[حضر التهيئة]]="نعم",1,0)</f>
        <v>1</v>
      </c>
      <c r="R1701">
        <f>IF(Table1[[#This Row],[دورة الفوترة]]="شهري",1,0)</f>
        <v>0</v>
      </c>
    </row>
    <row r="1702" spans="1:18" x14ac:dyDescent="0.25">
      <c r="A1702" t="s">
        <v>1722</v>
      </c>
      <c r="B1702" s="1">
        <v>45795</v>
      </c>
      <c r="C1702" t="s">
        <v>13</v>
      </c>
      <c r="D1702">
        <v>89</v>
      </c>
      <c r="E1702" t="s">
        <v>14</v>
      </c>
      <c r="F1702">
        <v>5</v>
      </c>
      <c r="G1702" t="s">
        <v>23</v>
      </c>
      <c r="H1702">
        <v>6</v>
      </c>
      <c r="I1702">
        <v>25</v>
      </c>
      <c r="J1702">
        <v>0</v>
      </c>
      <c r="K1702" t="s">
        <v>17</v>
      </c>
      <c r="L1702" t="s">
        <v>17</v>
      </c>
      <c r="M1702">
        <f>IF(Table1[[#This Row],[ألغى الاشتراك]]="نعم",1,0)</f>
        <v>0</v>
      </c>
      <c r="N1702">
        <f>IF(Table1[[#This Row],[وسيلة الدفع]]="بطاقة",1,0)</f>
        <v>0</v>
      </c>
      <c r="O1702">
        <f>IF(Table1[[#This Row],[وسيلة الدفع]]="محفظة",1,0)</f>
        <v>0</v>
      </c>
      <c r="P1702">
        <f>IF(Table1[[#This Row],[وسيلة الدفع]]="تحويل",1,0)</f>
        <v>1</v>
      </c>
      <c r="Q1702">
        <f>IF(Table1[[#This Row],[حضر التهيئة]]="نعم",1,0)</f>
        <v>0</v>
      </c>
      <c r="R1702">
        <f>IF(Table1[[#This Row],[دورة الفوترة]]="شهري",1,0)</f>
        <v>1</v>
      </c>
    </row>
    <row r="1703" spans="1:18" x14ac:dyDescent="0.25">
      <c r="A1703" t="s">
        <v>1723</v>
      </c>
      <c r="B1703" s="1">
        <v>45989</v>
      </c>
      <c r="C1703" t="s">
        <v>13</v>
      </c>
      <c r="D1703">
        <v>89</v>
      </c>
      <c r="E1703" t="s">
        <v>14</v>
      </c>
      <c r="F1703">
        <v>12</v>
      </c>
      <c r="G1703" t="s">
        <v>15</v>
      </c>
      <c r="H1703">
        <v>8</v>
      </c>
      <c r="I1703">
        <v>44</v>
      </c>
      <c r="J1703">
        <v>15</v>
      </c>
      <c r="K1703" t="s">
        <v>16</v>
      </c>
      <c r="L1703" t="s">
        <v>17</v>
      </c>
      <c r="M1703">
        <f>IF(Table1[[#This Row],[ألغى الاشتراك]]="نعم",1,0)</f>
        <v>0</v>
      </c>
      <c r="N1703">
        <f>IF(Table1[[#This Row],[وسيلة الدفع]]="بطاقة",1,0)</f>
        <v>1</v>
      </c>
      <c r="O1703">
        <f>IF(Table1[[#This Row],[وسيلة الدفع]]="محفظة",1,0)</f>
        <v>0</v>
      </c>
      <c r="P1703">
        <f>IF(Table1[[#This Row],[وسيلة الدفع]]="تحويل",1,0)</f>
        <v>0</v>
      </c>
      <c r="Q1703">
        <f>IF(Table1[[#This Row],[حضر التهيئة]]="نعم",1,0)</f>
        <v>1</v>
      </c>
      <c r="R1703">
        <f>IF(Table1[[#This Row],[دورة الفوترة]]="شهري",1,0)</f>
        <v>1</v>
      </c>
    </row>
    <row r="1704" spans="1:18" x14ac:dyDescent="0.25">
      <c r="A1704" t="s">
        <v>1724</v>
      </c>
      <c r="B1704" s="1">
        <v>45791</v>
      </c>
      <c r="C1704" t="s">
        <v>19</v>
      </c>
      <c r="D1704">
        <v>189</v>
      </c>
      <c r="E1704" t="s">
        <v>14</v>
      </c>
      <c r="F1704">
        <v>22</v>
      </c>
      <c r="G1704" t="s">
        <v>15</v>
      </c>
      <c r="H1704">
        <v>0</v>
      </c>
      <c r="I1704">
        <v>20</v>
      </c>
      <c r="J1704">
        <v>5</v>
      </c>
      <c r="K1704" t="s">
        <v>16</v>
      </c>
      <c r="L1704" t="s">
        <v>17</v>
      </c>
      <c r="M1704">
        <f>IF(Table1[[#This Row],[ألغى الاشتراك]]="نعم",1,0)</f>
        <v>0</v>
      </c>
      <c r="N1704">
        <f>IF(Table1[[#This Row],[وسيلة الدفع]]="بطاقة",1,0)</f>
        <v>1</v>
      </c>
      <c r="O1704">
        <f>IF(Table1[[#This Row],[وسيلة الدفع]]="محفظة",1,0)</f>
        <v>0</v>
      </c>
      <c r="P1704">
        <f>IF(Table1[[#This Row],[وسيلة الدفع]]="تحويل",1,0)</f>
        <v>0</v>
      </c>
      <c r="Q1704">
        <f>IF(Table1[[#This Row],[حضر التهيئة]]="نعم",1,0)</f>
        <v>1</v>
      </c>
      <c r="R1704">
        <f>IF(Table1[[#This Row],[دورة الفوترة]]="شهري",1,0)</f>
        <v>1</v>
      </c>
    </row>
    <row r="1705" spans="1:18" x14ac:dyDescent="0.25">
      <c r="A1705" t="s">
        <v>1725</v>
      </c>
      <c r="B1705" s="1">
        <v>45462</v>
      </c>
      <c r="C1705" t="s">
        <v>13</v>
      </c>
      <c r="D1705">
        <v>89</v>
      </c>
      <c r="E1705" t="s">
        <v>20</v>
      </c>
      <c r="F1705">
        <v>22</v>
      </c>
      <c r="G1705" t="s">
        <v>15</v>
      </c>
      <c r="H1705">
        <v>0</v>
      </c>
      <c r="I1705">
        <v>46</v>
      </c>
      <c r="J1705">
        <v>0</v>
      </c>
      <c r="K1705" t="s">
        <v>16</v>
      </c>
      <c r="L1705" t="s">
        <v>17</v>
      </c>
      <c r="M1705">
        <f>IF(Table1[[#This Row],[ألغى الاشتراك]]="نعم",1,0)</f>
        <v>0</v>
      </c>
      <c r="N1705">
        <f>IF(Table1[[#This Row],[وسيلة الدفع]]="بطاقة",1,0)</f>
        <v>1</v>
      </c>
      <c r="O1705">
        <f>IF(Table1[[#This Row],[وسيلة الدفع]]="محفظة",1,0)</f>
        <v>0</v>
      </c>
      <c r="P1705">
        <f>IF(Table1[[#This Row],[وسيلة الدفع]]="تحويل",1,0)</f>
        <v>0</v>
      </c>
      <c r="Q1705">
        <f>IF(Table1[[#This Row],[حضر التهيئة]]="نعم",1,0)</f>
        <v>1</v>
      </c>
      <c r="R1705">
        <f>IF(Table1[[#This Row],[دورة الفوترة]]="شهري",1,0)</f>
        <v>0</v>
      </c>
    </row>
    <row r="1706" spans="1:18" x14ac:dyDescent="0.25">
      <c r="A1706" t="s">
        <v>1726</v>
      </c>
      <c r="B1706" s="1">
        <v>45521</v>
      </c>
      <c r="C1706" t="s">
        <v>19</v>
      </c>
      <c r="D1706">
        <v>189</v>
      </c>
      <c r="E1706" t="s">
        <v>14</v>
      </c>
      <c r="F1706">
        <v>23</v>
      </c>
      <c r="G1706" t="s">
        <v>21</v>
      </c>
      <c r="H1706">
        <v>2</v>
      </c>
      <c r="I1706">
        <v>43</v>
      </c>
      <c r="J1706">
        <v>25</v>
      </c>
      <c r="K1706" t="s">
        <v>17</v>
      </c>
      <c r="L1706" t="s">
        <v>16</v>
      </c>
      <c r="M1706">
        <f>IF(Table1[[#This Row],[ألغى الاشتراك]]="نعم",1,0)</f>
        <v>1</v>
      </c>
      <c r="N1706">
        <f>IF(Table1[[#This Row],[وسيلة الدفع]]="بطاقة",1,0)</f>
        <v>0</v>
      </c>
      <c r="O1706">
        <f>IF(Table1[[#This Row],[وسيلة الدفع]]="محفظة",1,0)</f>
        <v>1</v>
      </c>
      <c r="P1706">
        <f>IF(Table1[[#This Row],[وسيلة الدفع]]="تحويل",1,0)</f>
        <v>0</v>
      </c>
      <c r="Q1706">
        <f>IF(Table1[[#This Row],[حضر التهيئة]]="نعم",1,0)</f>
        <v>0</v>
      </c>
      <c r="R1706">
        <f>IF(Table1[[#This Row],[دورة الفوترة]]="شهري",1,0)</f>
        <v>1</v>
      </c>
    </row>
    <row r="1707" spans="1:18" x14ac:dyDescent="0.25">
      <c r="A1707" t="s">
        <v>1727</v>
      </c>
      <c r="B1707" s="1">
        <v>45783</v>
      </c>
      <c r="C1707" t="s">
        <v>28</v>
      </c>
      <c r="D1707">
        <v>39</v>
      </c>
      <c r="E1707" t="s">
        <v>20</v>
      </c>
      <c r="F1707">
        <v>19</v>
      </c>
      <c r="G1707" t="s">
        <v>21</v>
      </c>
      <c r="H1707">
        <v>1</v>
      </c>
      <c r="I1707">
        <v>35</v>
      </c>
      <c r="J1707">
        <v>0</v>
      </c>
      <c r="K1707" t="s">
        <v>17</v>
      </c>
      <c r="L1707" t="s">
        <v>16</v>
      </c>
      <c r="M1707">
        <f>IF(Table1[[#This Row],[ألغى الاشتراك]]="نعم",1,0)</f>
        <v>1</v>
      </c>
      <c r="N1707">
        <f>IF(Table1[[#This Row],[وسيلة الدفع]]="بطاقة",1,0)</f>
        <v>0</v>
      </c>
      <c r="O1707">
        <f>IF(Table1[[#This Row],[وسيلة الدفع]]="محفظة",1,0)</f>
        <v>1</v>
      </c>
      <c r="P1707">
        <f>IF(Table1[[#This Row],[وسيلة الدفع]]="تحويل",1,0)</f>
        <v>0</v>
      </c>
      <c r="Q1707">
        <f>IF(Table1[[#This Row],[حضر التهيئة]]="نعم",1,0)</f>
        <v>0</v>
      </c>
      <c r="R1707">
        <f>IF(Table1[[#This Row],[دورة الفوترة]]="شهري",1,0)</f>
        <v>0</v>
      </c>
    </row>
    <row r="1708" spans="1:18" x14ac:dyDescent="0.25">
      <c r="A1708" t="s">
        <v>1728</v>
      </c>
      <c r="B1708" s="1">
        <v>45584</v>
      </c>
      <c r="C1708" t="s">
        <v>19</v>
      </c>
      <c r="D1708">
        <v>189</v>
      </c>
      <c r="E1708" t="s">
        <v>14</v>
      </c>
      <c r="F1708">
        <v>28</v>
      </c>
      <c r="G1708" t="s">
        <v>21</v>
      </c>
      <c r="H1708">
        <v>1</v>
      </c>
      <c r="I1708">
        <v>12</v>
      </c>
      <c r="J1708">
        <v>0</v>
      </c>
      <c r="K1708" t="s">
        <v>17</v>
      </c>
      <c r="L1708" t="s">
        <v>17</v>
      </c>
      <c r="M1708">
        <f>IF(Table1[[#This Row],[ألغى الاشتراك]]="نعم",1,0)</f>
        <v>0</v>
      </c>
      <c r="N1708">
        <f>IF(Table1[[#This Row],[وسيلة الدفع]]="بطاقة",1,0)</f>
        <v>0</v>
      </c>
      <c r="O1708">
        <f>IF(Table1[[#This Row],[وسيلة الدفع]]="محفظة",1,0)</f>
        <v>1</v>
      </c>
      <c r="P1708">
        <f>IF(Table1[[#This Row],[وسيلة الدفع]]="تحويل",1,0)</f>
        <v>0</v>
      </c>
      <c r="Q1708">
        <f>IF(Table1[[#This Row],[حضر التهيئة]]="نعم",1,0)</f>
        <v>0</v>
      </c>
      <c r="R1708">
        <f>IF(Table1[[#This Row],[دورة الفوترة]]="شهري",1,0)</f>
        <v>1</v>
      </c>
    </row>
    <row r="1709" spans="1:18" x14ac:dyDescent="0.25">
      <c r="A1709" t="s">
        <v>1729</v>
      </c>
      <c r="B1709" s="1">
        <v>45862</v>
      </c>
      <c r="C1709" t="s">
        <v>28</v>
      </c>
      <c r="D1709">
        <v>39</v>
      </c>
      <c r="E1709" t="s">
        <v>20</v>
      </c>
      <c r="F1709">
        <v>5</v>
      </c>
      <c r="G1709" t="s">
        <v>15</v>
      </c>
      <c r="H1709">
        <v>0</v>
      </c>
      <c r="I1709">
        <v>11</v>
      </c>
      <c r="J1709">
        <v>0</v>
      </c>
      <c r="K1709" t="s">
        <v>17</v>
      </c>
      <c r="L1709" t="s">
        <v>17</v>
      </c>
      <c r="M1709">
        <f>IF(Table1[[#This Row],[ألغى الاشتراك]]="نعم",1,0)</f>
        <v>0</v>
      </c>
      <c r="N1709">
        <f>IF(Table1[[#This Row],[وسيلة الدفع]]="بطاقة",1,0)</f>
        <v>1</v>
      </c>
      <c r="O1709">
        <f>IF(Table1[[#This Row],[وسيلة الدفع]]="محفظة",1,0)</f>
        <v>0</v>
      </c>
      <c r="P1709">
        <f>IF(Table1[[#This Row],[وسيلة الدفع]]="تحويل",1,0)</f>
        <v>0</v>
      </c>
      <c r="Q1709">
        <f>IF(Table1[[#This Row],[حضر التهيئة]]="نعم",1,0)</f>
        <v>0</v>
      </c>
      <c r="R1709">
        <f>IF(Table1[[#This Row],[دورة الفوترة]]="شهري",1,0)</f>
        <v>0</v>
      </c>
    </row>
    <row r="1710" spans="1:18" x14ac:dyDescent="0.25">
      <c r="A1710" t="s">
        <v>1730</v>
      </c>
      <c r="B1710" s="1">
        <v>45663</v>
      </c>
      <c r="C1710" t="s">
        <v>13</v>
      </c>
      <c r="D1710">
        <v>89</v>
      </c>
      <c r="E1710" t="s">
        <v>20</v>
      </c>
      <c r="F1710">
        <v>18</v>
      </c>
      <c r="G1710" t="s">
        <v>15</v>
      </c>
      <c r="H1710">
        <v>2</v>
      </c>
      <c r="I1710">
        <v>50</v>
      </c>
      <c r="J1710">
        <v>5</v>
      </c>
      <c r="K1710" t="s">
        <v>16</v>
      </c>
      <c r="L1710" t="s">
        <v>17</v>
      </c>
      <c r="M1710">
        <f>IF(Table1[[#This Row],[ألغى الاشتراك]]="نعم",1,0)</f>
        <v>0</v>
      </c>
      <c r="N1710">
        <f>IF(Table1[[#This Row],[وسيلة الدفع]]="بطاقة",1,0)</f>
        <v>1</v>
      </c>
      <c r="O1710">
        <f>IF(Table1[[#This Row],[وسيلة الدفع]]="محفظة",1,0)</f>
        <v>0</v>
      </c>
      <c r="P1710">
        <f>IF(Table1[[#This Row],[وسيلة الدفع]]="تحويل",1,0)</f>
        <v>0</v>
      </c>
      <c r="Q1710">
        <f>IF(Table1[[#This Row],[حضر التهيئة]]="نعم",1,0)</f>
        <v>1</v>
      </c>
      <c r="R1710">
        <f>IF(Table1[[#This Row],[دورة الفوترة]]="شهري",1,0)</f>
        <v>0</v>
      </c>
    </row>
    <row r="1711" spans="1:18" x14ac:dyDescent="0.25">
      <c r="A1711" t="s">
        <v>1731</v>
      </c>
      <c r="B1711" s="1">
        <v>45981</v>
      </c>
      <c r="C1711" t="s">
        <v>19</v>
      </c>
      <c r="D1711">
        <v>189</v>
      </c>
      <c r="E1711" t="s">
        <v>14</v>
      </c>
      <c r="F1711">
        <v>4</v>
      </c>
      <c r="G1711" t="s">
        <v>23</v>
      </c>
      <c r="H1711">
        <v>7</v>
      </c>
      <c r="I1711">
        <v>46</v>
      </c>
      <c r="J1711">
        <v>15</v>
      </c>
      <c r="K1711" t="s">
        <v>16</v>
      </c>
      <c r="L1711" t="s">
        <v>17</v>
      </c>
      <c r="M1711">
        <f>IF(Table1[[#This Row],[ألغى الاشتراك]]="نعم",1,0)</f>
        <v>0</v>
      </c>
      <c r="N1711">
        <f>IF(Table1[[#This Row],[وسيلة الدفع]]="بطاقة",1,0)</f>
        <v>0</v>
      </c>
      <c r="O1711">
        <f>IF(Table1[[#This Row],[وسيلة الدفع]]="محفظة",1,0)</f>
        <v>0</v>
      </c>
      <c r="P1711">
        <f>IF(Table1[[#This Row],[وسيلة الدفع]]="تحويل",1,0)</f>
        <v>1</v>
      </c>
      <c r="Q1711">
        <f>IF(Table1[[#This Row],[حضر التهيئة]]="نعم",1,0)</f>
        <v>1</v>
      </c>
      <c r="R1711">
        <f>IF(Table1[[#This Row],[دورة الفوترة]]="شهري",1,0)</f>
        <v>1</v>
      </c>
    </row>
    <row r="1712" spans="1:18" x14ac:dyDescent="0.25">
      <c r="A1712" t="s">
        <v>1732</v>
      </c>
      <c r="B1712" s="1">
        <v>45914</v>
      </c>
      <c r="C1712" t="s">
        <v>13</v>
      </c>
      <c r="D1712">
        <v>89</v>
      </c>
      <c r="E1712" t="s">
        <v>14</v>
      </c>
      <c r="F1712">
        <v>28</v>
      </c>
      <c r="G1712" t="s">
        <v>15</v>
      </c>
      <c r="H1712">
        <v>2</v>
      </c>
      <c r="I1712">
        <v>56</v>
      </c>
      <c r="J1712">
        <v>5</v>
      </c>
      <c r="K1712" t="s">
        <v>17</v>
      </c>
      <c r="L1712" t="s">
        <v>17</v>
      </c>
      <c r="M1712">
        <f>IF(Table1[[#This Row],[ألغى الاشتراك]]="نعم",1,0)</f>
        <v>0</v>
      </c>
      <c r="N1712">
        <f>IF(Table1[[#This Row],[وسيلة الدفع]]="بطاقة",1,0)</f>
        <v>1</v>
      </c>
      <c r="O1712">
        <f>IF(Table1[[#This Row],[وسيلة الدفع]]="محفظة",1,0)</f>
        <v>0</v>
      </c>
      <c r="P1712">
        <f>IF(Table1[[#This Row],[وسيلة الدفع]]="تحويل",1,0)</f>
        <v>0</v>
      </c>
      <c r="Q1712">
        <f>IF(Table1[[#This Row],[حضر التهيئة]]="نعم",1,0)</f>
        <v>0</v>
      </c>
      <c r="R1712">
        <f>IF(Table1[[#This Row],[دورة الفوترة]]="شهري",1,0)</f>
        <v>1</v>
      </c>
    </row>
    <row r="1713" spans="1:18" x14ac:dyDescent="0.25">
      <c r="A1713" t="s">
        <v>1733</v>
      </c>
      <c r="B1713" s="1">
        <v>45458</v>
      </c>
      <c r="C1713" t="s">
        <v>19</v>
      </c>
      <c r="D1713">
        <v>189</v>
      </c>
      <c r="E1713" t="s">
        <v>14</v>
      </c>
      <c r="F1713">
        <v>30</v>
      </c>
      <c r="G1713" t="s">
        <v>23</v>
      </c>
      <c r="H1713">
        <v>1</v>
      </c>
      <c r="I1713">
        <v>16</v>
      </c>
      <c r="J1713">
        <v>0</v>
      </c>
      <c r="K1713" t="s">
        <v>17</v>
      </c>
      <c r="L1713" t="s">
        <v>17</v>
      </c>
      <c r="M1713">
        <f>IF(Table1[[#This Row],[ألغى الاشتراك]]="نعم",1,0)</f>
        <v>0</v>
      </c>
      <c r="N1713">
        <f>IF(Table1[[#This Row],[وسيلة الدفع]]="بطاقة",1,0)</f>
        <v>0</v>
      </c>
      <c r="O1713">
        <f>IF(Table1[[#This Row],[وسيلة الدفع]]="محفظة",1,0)</f>
        <v>0</v>
      </c>
      <c r="P1713">
        <f>IF(Table1[[#This Row],[وسيلة الدفع]]="تحويل",1,0)</f>
        <v>1</v>
      </c>
      <c r="Q1713">
        <f>IF(Table1[[#This Row],[حضر التهيئة]]="نعم",1,0)</f>
        <v>0</v>
      </c>
      <c r="R1713">
        <f>IF(Table1[[#This Row],[دورة الفوترة]]="شهري",1,0)</f>
        <v>1</v>
      </c>
    </row>
    <row r="1714" spans="1:18" x14ac:dyDescent="0.25">
      <c r="A1714" t="s">
        <v>1734</v>
      </c>
      <c r="B1714" s="1">
        <v>45973</v>
      </c>
      <c r="C1714" t="s">
        <v>19</v>
      </c>
      <c r="D1714">
        <v>189</v>
      </c>
      <c r="E1714" t="s">
        <v>20</v>
      </c>
      <c r="F1714">
        <v>21</v>
      </c>
      <c r="G1714" t="s">
        <v>21</v>
      </c>
      <c r="H1714">
        <v>8</v>
      </c>
      <c r="I1714">
        <v>21</v>
      </c>
      <c r="J1714">
        <v>0</v>
      </c>
      <c r="K1714" t="s">
        <v>17</v>
      </c>
      <c r="L1714" t="s">
        <v>17</v>
      </c>
      <c r="M1714">
        <f>IF(Table1[[#This Row],[ألغى الاشتراك]]="نعم",1,0)</f>
        <v>0</v>
      </c>
      <c r="N1714">
        <f>IF(Table1[[#This Row],[وسيلة الدفع]]="بطاقة",1,0)</f>
        <v>0</v>
      </c>
      <c r="O1714">
        <f>IF(Table1[[#This Row],[وسيلة الدفع]]="محفظة",1,0)</f>
        <v>1</v>
      </c>
      <c r="P1714">
        <f>IF(Table1[[#This Row],[وسيلة الدفع]]="تحويل",1,0)</f>
        <v>0</v>
      </c>
      <c r="Q1714">
        <f>IF(Table1[[#This Row],[حضر التهيئة]]="نعم",1,0)</f>
        <v>0</v>
      </c>
      <c r="R1714">
        <f>IF(Table1[[#This Row],[دورة الفوترة]]="شهري",1,0)</f>
        <v>0</v>
      </c>
    </row>
    <row r="1715" spans="1:18" x14ac:dyDescent="0.25">
      <c r="A1715" t="s">
        <v>1735</v>
      </c>
      <c r="B1715" s="1">
        <v>45387</v>
      </c>
      <c r="C1715" t="s">
        <v>19</v>
      </c>
      <c r="D1715">
        <v>189</v>
      </c>
      <c r="E1715" t="s">
        <v>14</v>
      </c>
      <c r="F1715">
        <v>2</v>
      </c>
      <c r="G1715" t="s">
        <v>15</v>
      </c>
      <c r="H1715">
        <v>2</v>
      </c>
      <c r="I1715">
        <v>38</v>
      </c>
      <c r="J1715">
        <v>0</v>
      </c>
      <c r="K1715" t="s">
        <v>16</v>
      </c>
      <c r="L1715" t="s">
        <v>17</v>
      </c>
      <c r="M1715">
        <f>IF(Table1[[#This Row],[ألغى الاشتراك]]="نعم",1,0)</f>
        <v>0</v>
      </c>
      <c r="N1715">
        <f>IF(Table1[[#This Row],[وسيلة الدفع]]="بطاقة",1,0)</f>
        <v>1</v>
      </c>
      <c r="O1715">
        <f>IF(Table1[[#This Row],[وسيلة الدفع]]="محفظة",1,0)</f>
        <v>0</v>
      </c>
      <c r="P1715">
        <f>IF(Table1[[#This Row],[وسيلة الدفع]]="تحويل",1,0)</f>
        <v>0</v>
      </c>
      <c r="Q1715">
        <f>IF(Table1[[#This Row],[حضر التهيئة]]="نعم",1,0)</f>
        <v>1</v>
      </c>
      <c r="R1715">
        <f>IF(Table1[[#This Row],[دورة الفوترة]]="شهري",1,0)</f>
        <v>1</v>
      </c>
    </row>
    <row r="1716" spans="1:18" x14ac:dyDescent="0.25">
      <c r="A1716" t="s">
        <v>1736</v>
      </c>
      <c r="B1716" s="1">
        <v>45926</v>
      </c>
      <c r="C1716" t="s">
        <v>13</v>
      </c>
      <c r="D1716">
        <v>89</v>
      </c>
      <c r="E1716" t="s">
        <v>14</v>
      </c>
      <c r="F1716">
        <v>13</v>
      </c>
      <c r="G1716" t="s">
        <v>15</v>
      </c>
      <c r="H1716">
        <v>1</v>
      </c>
      <c r="I1716">
        <v>29</v>
      </c>
      <c r="J1716">
        <v>0</v>
      </c>
      <c r="K1716" t="s">
        <v>17</v>
      </c>
      <c r="L1716" t="s">
        <v>17</v>
      </c>
      <c r="M1716">
        <f>IF(Table1[[#This Row],[ألغى الاشتراك]]="نعم",1,0)</f>
        <v>0</v>
      </c>
      <c r="N1716">
        <f>IF(Table1[[#This Row],[وسيلة الدفع]]="بطاقة",1,0)</f>
        <v>1</v>
      </c>
      <c r="O1716">
        <f>IF(Table1[[#This Row],[وسيلة الدفع]]="محفظة",1,0)</f>
        <v>0</v>
      </c>
      <c r="P1716">
        <f>IF(Table1[[#This Row],[وسيلة الدفع]]="تحويل",1,0)</f>
        <v>0</v>
      </c>
      <c r="Q1716">
        <f>IF(Table1[[#This Row],[حضر التهيئة]]="نعم",1,0)</f>
        <v>0</v>
      </c>
      <c r="R1716">
        <f>IF(Table1[[#This Row],[دورة الفوترة]]="شهري",1,0)</f>
        <v>1</v>
      </c>
    </row>
    <row r="1717" spans="1:18" x14ac:dyDescent="0.25">
      <c r="A1717" t="s">
        <v>1737</v>
      </c>
      <c r="B1717" s="1">
        <v>45862</v>
      </c>
      <c r="C1717" t="s">
        <v>13</v>
      </c>
      <c r="D1717">
        <v>89</v>
      </c>
      <c r="E1717" t="s">
        <v>20</v>
      </c>
      <c r="F1717">
        <v>28</v>
      </c>
      <c r="G1717" t="s">
        <v>15</v>
      </c>
      <c r="H1717">
        <v>2</v>
      </c>
      <c r="I1717">
        <v>4</v>
      </c>
      <c r="J1717">
        <v>15</v>
      </c>
      <c r="K1717" t="s">
        <v>17</v>
      </c>
      <c r="L1717" t="s">
        <v>17</v>
      </c>
      <c r="M1717">
        <f>IF(Table1[[#This Row],[ألغى الاشتراك]]="نعم",1,0)</f>
        <v>0</v>
      </c>
      <c r="N1717">
        <f>IF(Table1[[#This Row],[وسيلة الدفع]]="بطاقة",1,0)</f>
        <v>1</v>
      </c>
      <c r="O1717">
        <f>IF(Table1[[#This Row],[وسيلة الدفع]]="محفظة",1,0)</f>
        <v>0</v>
      </c>
      <c r="P1717">
        <f>IF(Table1[[#This Row],[وسيلة الدفع]]="تحويل",1,0)</f>
        <v>0</v>
      </c>
      <c r="Q1717">
        <f>IF(Table1[[#This Row],[حضر التهيئة]]="نعم",1,0)</f>
        <v>0</v>
      </c>
      <c r="R1717">
        <f>IF(Table1[[#This Row],[دورة الفوترة]]="شهري",1,0)</f>
        <v>0</v>
      </c>
    </row>
    <row r="1718" spans="1:18" x14ac:dyDescent="0.25">
      <c r="A1718" t="s">
        <v>1738</v>
      </c>
      <c r="B1718" s="1">
        <v>45399</v>
      </c>
      <c r="C1718" t="s">
        <v>28</v>
      </c>
      <c r="D1718">
        <v>39</v>
      </c>
      <c r="E1718" t="s">
        <v>20</v>
      </c>
      <c r="F1718">
        <v>10</v>
      </c>
      <c r="G1718" t="s">
        <v>15</v>
      </c>
      <c r="H1718">
        <v>0</v>
      </c>
      <c r="I1718">
        <v>44</v>
      </c>
      <c r="J1718">
        <v>0</v>
      </c>
      <c r="K1718" t="s">
        <v>16</v>
      </c>
      <c r="L1718" t="s">
        <v>17</v>
      </c>
      <c r="M1718">
        <f>IF(Table1[[#This Row],[ألغى الاشتراك]]="نعم",1,0)</f>
        <v>0</v>
      </c>
      <c r="N1718">
        <f>IF(Table1[[#This Row],[وسيلة الدفع]]="بطاقة",1,0)</f>
        <v>1</v>
      </c>
      <c r="O1718">
        <f>IF(Table1[[#This Row],[وسيلة الدفع]]="محفظة",1,0)</f>
        <v>0</v>
      </c>
      <c r="P1718">
        <f>IF(Table1[[#This Row],[وسيلة الدفع]]="تحويل",1,0)</f>
        <v>0</v>
      </c>
      <c r="Q1718">
        <f>IF(Table1[[#This Row],[حضر التهيئة]]="نعم",1,0)</f>
        <v>1</v>
      </c>
      <c r="R1718">
        <f>IF(Table1[[#This Row],[دورة الفوترة]]="شهري",1,0)</f>
        <v>0</v>
      </c>
    </row>
    <row r="1719" spans="1:18" x14ac:dyDescent="0.25">
      <c r="A1719" t="s">
        <v>1739</v>
      </c>
      <c r="B1719" s="1">
        <v>45663</v>
      </c>
      <c r="C1719" t="s">
        <v>19</v>
      </c>
      <c r="D1719">
        <v>189</v>
      </c>
      <c r="E1719" t="s">
        <v>14</v>
      </c>
      <c r="F1719">
        <v>19</v>
      </c>
      <c r="G1719" t="s">
        <v>15</v>
      </c>
      <c r="H1719">
        <v>2</v>
      </c>
      <c r="I1719">
        <v>27</v>
      </c>
      <c r="J1719">
        <v>0</v>
      </c>
      <c r="K1719" t="s">
        <v>17</v>
      </c>
      <c r="L1719" t="s">
        <v>17</v>
      </c>
      <c r="M1719">
        <f>IF(Table1[[#This Row],[ألغى الاشتراك]]="نعم",1,0)</f>
        <v>0</v>
      </c>
      <c r="N1719">
        <f>IF(Table1[[#This Row],[وسيلة الدفع]]="بطاقة",1,0)</f>
        <v>1</v>
      </c>
      <c r="O1719">
        <f>IF(Table1[[#This Row],[وسيلة الدفع]]="محفظة",1,0)</f>
        <v>0</v>
      </c>
      <c r="P1719">
        <f>IF(Table1[[#This Row],[وسيلة الدفع]]="تحويل",1,0)</f>
        <v>0</v>
      </c>
      <c r="Q1719">
        <f>IF(Table1[[#This Row],[حضر التهيئة]]="نعم",1,0)</f>
        <v>0</v>
      </c>
      <c r="R1719">
        <f>IF(Table1[[#This Row],[دورة الفوترة]]="شهري",1,0)</f>
        <v>1</v>
      </c>
    </row>
    <row r="1720" spans="1:18" x14ac:dyDescent="0.25">
      <c r="A1720" t="s">
        <v>1740</v>
      </c>
      <c r="B1720" s="1">
        <v>45446</v>
      </c>
      <c r="C1720" t="s">
        <v>28</v>
      </c>
      <c r="D1720">
        <v>39</v>
      </c>
      <c r="E1720" t="s">
        <v>14</v>
      </c>
      <c r="F1720">
        <v>18</v>
      </c>
      <c r="G1720" t="s">
        <v>21</v>
      </c>
      <c r="H1720">
        <v>0</v>
      </c>
      <c r="I1720">
        <v>44</v>
      </c>
      <c r="J1720">
        <v>0</v>
      </c>
      <c r="K1720" t="s">
        <v>17</v>
      </c>
      <c r="L1720" t="s">
        <v>17</v>
      </c>
      <c r="M1720">
        <f>IF(Table1[[#This Row],[ألغى الاشتراك]]="نعم",1,0)</f>
        <v>0</v>
      </c>
      <c r="N1720">
        <f>IF(Table1[[#This Row],[وسيلة الدفع]]="بطاقة",1,0)</f>
        <v>0</v>
      </c>
      <c r="O1720">
        <f>IF(Table1[[#This Row],[وسيلة الدفع]]="محفظة",1,0)</f>
        <v>1</v>
      </c>
      <c r="P1720">
        <f>IF(Table1[[#This Row],[وسيلة الدفع]]="تحويل",1,0)</f>
        <v>0</v>
      </c>
      <c r="Q1720">
        <f>IF(Table1[[#This Row],[حضر التهيئة]]="نعم",1,0)</f>
        <v>0</v>
      </c>
      <c r="R1720">
        <f>IF(Table1[[#This Row],[دورة الفوترة]]="شهري",1,0)</f>
        <v>1</v>
      </c>
    </row>
    <row r="1721" spans="1:18" x14ac:dyDescent="0.25">
      <c r="A1721" t="s">
        <v>1741</v>
      </c>
      <c r="B1721" s="1">
        <v>45977</v>
      </c>
      <c r="C1721" t="s">
        <v>13</v>
      </c>
      <c r="D1721">
        <v>89</v>
      </c>
      <c r="E1721" t="s">
        <v>14</v>
      </c>
      <c r="F1721">
        <v>5</v>
      </c>
      <c r="G1721" t="s">
        <v>15</v>
      </c>
      <c r="H1721">
        <v>1</v>
      </c>
      <c r="I1721">
        <v>9</v>
      </c>
      <c r="J1721">
        <v>0</v>
      </c>
      <c r="K1721" t="s">
        <v>17</v>
      </c>
      <c r="L1721" t="s">
        <v>17</v>
      </c>
      <c r="M1721">
        <f>IF(Table1[[#This Row],[ألغى الاشتراك]]="نعم",1,0)</f>
        <v>0</v>
      </c>
      <c r="N1721">
        <f>IF(Table1[[#This Row],[وسيلة الدفع]]="بطاقة",1,0)</f>
        <v>1</v>
      </c>
      <c r="O1721">
        <f>IF(Table1[[#This Row],[وسيلة الدفع]]="محفظة",1,0)</f>
        <v>0</v>
      </c>
      <c r="P1721">
        <f>IF(Table1[[#This Row],[وسيلة الدفع]]="تحويل",1,0)</f>
        <v>0</v>
      </c>
      <c r="Q1721">
        <f>IF(Table1[[#This Row],[حضر التهيئة]]="نعم",1,0)</f>
        <v>0</v>
      </c>
      <c r="R1721">
        <f>IF(Table1[[#This Row],[دورة الفوترة]]="شهري",1,0)</f>
        <v>1</v>
      </c>
    </row>
    <row r="1722" spans="1:18" x14ac:dyDescent="0.25">
      <c r="A1722" t="s">
        <v>1742</v>
      </c>
      <c r="B1722" s="1">
        <v>45529</v>
      </c>
      <c r="C1722" t="s">
        <v>19</v>
      </c>
      <c r="D1722">
        <v>189</v>
      </c>
      <c r="E1722" t="s">
        <v>14</v>
      </c>
      <c r="F1722">
        <v>10</v>
      </c>
      <c r="G1722" t="s">
        <v>23</v>
      </c>
      <c r="H1722">
        <v>0</v>
      </c>
      <c r="I1722">
        <v>48</v>
      </c>
      <c r="J1722">
        <v>0</v>
      </c>
      <c r="K1722" t="s">
        <v>17</v>
      </c>
      <c r="L1722" t="s">
        <v>17</v>
      </c>
      <c r="M1722">
        <f>IF(Table1[[#This Row],[ألغى الاشتراك]]="نعم",1,0)</f>
        <v>0</v>
      </c>
      <c r="N1722">
        <f>IF(Table1[[#This Row],[وسيلة الدفع]]="بطاقة",1,0)</f>
        <v>0</v>
      </c>
      <c r="O1722">
        <f>IF(Table1[[#This Row],[وسيلة الدفع]]="محفظة",1,0)</f>
        <v>0</v>
      </c>
      <c r="P1722">
        <f>IF(Table1[[#This Row],[وسيلة الدفع]]="تحويل",1,0)</f>
        <v>1</v>
      </c>
      <c r="Q1722">
        <f>IF(Table1[[#This Row],[حضر التهيئة]]="نعم",1,0)</f>
        <v>0</v>
      </c>
      <c r="R1722">
        <f>IF(Table1[[#This Row],[دورة الفوترة]]="شهري",1,0)</f>
        <v>1</v>
      </c>
    </row>
    <row r="1723" spans="1:18" x14ac:dyDescent="0.25">
      <c r="A1723" t="s">
        <v>1743</v>
      </c>
      <c r="B1723" s="1">
        <v>45910</v>
      </c>
      <c r="C1723" t="s">
        <v>13</v>
      </c>
      <c r="D1723">
        <v>89</v>
      </c>
      <c r="E1723" t="s">
        <v>14</v>
      </c>
      <c r="F1723">
        <v>11</v>
      </c>
      <c r="G1723" t="s">
        <v>23</v>
      </c>
      <c r="H1723">
        <v>0</v>
      </c>
      <c r="I1723">
        <v>31</v>
      </c>
      <c r="J1723">
        <v>0</v>
      </c>
      <c r="K1723" t="s">
        <v>16</v>
      </c>
      <c r="L1723" t="s">
        <v>17</v>
      </c>
      <c r="M1723">
        <f>IF(Table1[[#This Row],[ألغى الاشتراك]]="نعم",1,0)</f>
        <v>0</v>
      </c>
      <c r="N1723">
        <f>IF(Table1[[#This Row],[وسيلة الدفع]]="بطاقة",1,0)</f>
        <v>0</v>
      </c>
      <c r="O1723">
        <f>IF(Table1[[#This Row],[وسيلة الدفع]]="محفظة",1,0)</f>
        <v>0</v>
      </c>
      <c r="P1723">
        <f>IF(Table1[[#This Row],[وسيلة الدفع]]="تحويل",1,0)</f>
        <v>1</v>
      </c>
      <c r="Q1723">
        <f>IF(Table1[[#This Row],[حضر التهيئة]]="نعم",1,0)</f>
        <v>1</v>
      </c>
      <c r="R1723">
        <f>IF(Table1[[#This Row],[دورة الفوترة]]="شهري",1,0)</f>
        <v>1</v>
      </c>
    </row>
    <row r="1724" spans="1:18" x14ac:dyDescent="0.25">
      <c r="A1724" t="s">
        <v>1744</v>
      </c>
      <c r="B1724" s="1">
        <v>45337</v>
      </c>
      <c r="C1724" t="s">
        <v>19</v>
      </c>
      <c r="D1724">
        <v>189</v>
      </c>
      <c r="E1724" t="s">
        <v>20</v>
      </c>
      <c r="F1724">
        <v>30</v>
      </c>
      <c r="G1724" t="s">
        <v>21</v>
      </c>
      <c r="H1724">
        <v>10</v>
      </c>
      <c r="I1724">
        <v>28</v>
      </c>
      <c r="J1724">
        <v>0</v>
      </c>
      <c r="K1724" t="s">
        <v>17</v>
      </c>
      <c r="L1724" t="s">
        <v>17</v>
      </c>
      <c r="M1724">
        <f>IF(Table1[[#This Row],[ألغى الاشتراك]]="نعم",1,0)</f>
        <v>0</v>
      </c>
      <c r="N1724">
        <f>IF(Table1[[#This Row],[وسيلة الدفع]]="بطاقة",1,0)</f>
        <v>0</v>
      </c>
      <c r="O1724">
        <f>IF(Table1[[#This Row],[وسيلة الدفع]]="محفظة",1,0)</f>
        <v>1</v>
      </c>
      <c r="P1724">
        <f>IF(Table1[[#This Row],[وسيلة الدفع]]="تحويل",1,0)</f>
        <v>0</v>
      </c>
      <c r="Q1724">
        <f>IF(Table1[[#This Row],[حضر التهيئة]]="نعم",1,0)</f>
        <v>0</v>
      </c>
      <c r="R1724">
        <f>IF(Table1[[#This Row],[دورة الفوترة]]="شهري",1,0)</f>
        <v>0</v>
      </c>
    </row>
    <row r="1725" spans="1:18" x14ac:dyDescent="0.25">
      <c r="A1725" t="s">
        <v>1745</v>
      </c>
      <c r="B1725" s="1">
        <v>45973</v>
      </c>
      <c r="C1725" t="s">
        <v>28</v>
      </c>
      <c r="D1725">
        <v>39</v>
      </c>
      <c r="E1725" t="s">
        <v>14</v>
      </c>
      <c r="F1725">
        <v>3</v>
      </c>
      <c r="G1725" t="s">
        <v>23</v>
      </c>
      <c r="H1725">
        <v>6</v>
      </c>
      <c r="I1725">
        <v>21</v>
      </c>
      <c r="J1725">
        <v>0</v>
      </c>
      <c r="K1725" t="s">
        <v>16</v>
      </c>
      <c r="L1725" t="s">
        <v>17</v>
      </c>
      <c r="M1725">
        <f>IF(Table1[[#This Row],[ألغى الاشتراك]]="نعم",1,0)</f>
        <v>0</v>
      </c>
      <c r="N1725">
        <f>IF(Table1[[#This Row],[وسيلة الدفع]]="بطاقة",1,0)</f>
        <v>0</v>
      </c>
      <c r="O1725">
        <f>IF(Table1[[#This Row],[وسيلة الدفع]]="محفظة",1,0)</f>
        <v>0</v>
      </c>
      <c r="P1725">
        <f>IF(Table1[[#This Row],[وسيلة الدفع]]="تحويل",1,0)</f>
        <v>1</v>
      </c>
      <c r="Q1725">
        <f>IF(Table1[[#This Row],[حضر التهيئة]]="نعم",1,0)</f>
        <v>1</v>
      </c>
      <c r="R1725">
        <f>IF(Table1[[#This Row],[دورة الفوترة]]="شهري",1,0)</f>
        <v>1</v>
      </c>
    </row>
    <row r="1726" spans="1:18" x14ac:dyDescent="0.25">
      <c r="A1726" t="s">
        <v>1746</v>
      </c>
      <c r="B1726" s="1">
        <v>45521</v>
      </c>
      <c r="C1726" t="s">
        <v>19</v>
      </c>
      <c r="D1726">
        <v>189</v>
      </c>
      <c r="E1726" t="s">
        <v>20</v>
      </c>
      <c r="F1726">
        <v>28</v>
      </c>
      <c r="G1726" t="s">
        <v>15</v>
      </c>
      <c r="H1726">
        <v>2</v>
      </c>
      <c r="I1726">
        <v>46</v>
      </c>
      <c r="J1726">
        <v>0</v>
      </c>
      <c r="K1726" t="s">
        <v>17</v>
      </c>
      <c r="L1726" t="s">
        <v>17</v>
      </c>
      <c r="M1726">
        <f>IF(Table1[[#This Row],[ألغى الاشتراك]]="نعم",1,0)</f>
        <v>0</v>
      </c>
      <c r="N1726">
        <f>IF(Table1[[#This Row],[وسيلة الدفع]]="بطاقة",1,0)</f>
        <v>1</v>
      </c>
      <c r="O1726">
        <f>IF(Table1[[#This Row],[وسيلة الدفع]]="محفظة",1,0)</f>
        <v>0</v>
      </c>
      <c r="P1726">
        <f>IF(Table1[[#This Row],[وسيلة الدفع]]="تحويل",1,0)</f>
        <v>0</v>
      </c>
      <c r="Q1726">
        <f>IF(Table1[[#This Row],[حضر التهيئة]]="نعم",1,0)</f>
        <v>0</v>
      </c>
      <c r="R1726">
        <f>IF(Table1[[#This Row],[دورة الفوترة]]="شهري",1,0)</f>
        <v>0</v>
      </c>
    </row>
    <row r="1727" spans="1:18" x14ac:dyDescent="0.25">
      <c r="A1727" t="s">
        <v>1747</v>
      </c>
      <c r="B1727" s="1">
        <v>45799</v>
      </c>
      <c r="C1727" t="s">
        <v>13</v>
      </c>
      <c r="D1727">
        <v>89</v>
      </c>
      <c r="E1727" t="s">
        <v>14</v>
      </c>
      <c r="F1727">
        <v>3</v>
      </c>
      <c r="G1727" t="s">
        <v>21</v>
      </c>
      <c r="H1727">
        <v>0</v>
      </c>
      <c r="I1727">
        <v>51</v>
      </c>
      <c r="J1727">
        <v>0</v>
      </c>
      <c r="K1727" t="s">
        <v>16</v>
      </c>
      <c r="L1727" t="s">
        <v>17</v>
      </c>
      <c r="M1727">
        <f>IF(Table1[[#This Row],[ألغى الاشتراك]]="نعم",1,0)</f>
        <v>0</v>
      </c>
      <c r="N1727">
        <f>IF(Table1[[#This Row],[وسيلة الدفع]]="بطاقة",1,0)</f>
        <v>0</v>
      </c>
      <c r="O1727">
        <f>IF(Table1[[#This Row],[وسيلة الدفع]]="محفظة",1,0)</f>
        <v>1</v>
      </c>
      <c r="P1727">
        <f>IF(Table1[[#This Row],[وسيلة الدفع]]="تحويل",1,0)</f>
        <v>0</v>
      </c>
      <c r="Q1727">
        <f>IF(Table1[[#This Row],[حضر التهيئة]]="نعم",1,0)</f>
        <v>1</v>
      </c>
      <c r="R1727">
        <f>IF(Table1[[#This Row],[دورة الفوترة]]="شهري",1,0)</f>
        <v>1</v>
      </c>
    </row>
    <row r="1728" spans="1:18" x14ac:dyDescent="0.25">
      <c r="A1728" t="s">
        <v>1748</v>
      </c>
      <c r="B1728" s="1">
        <v>45450</v>
      </c>
      <c r="C1728" t="s">
        <v>19</v>
      </c>
      <c r="D1728">
        <v>189</v>
      </c>
      <c r="E1728" t="s">
        <v>14</v>
      </c>
      <c r="F1728">
        <v>30</v>
      </c>
      <c r="G1728" t="s">
        <v>23</v>
      </c>
      <c r="H1728">
        <v>0</v>
      </c>
      <c r="I1728">
        <v>34</v>
      </c>
      <c r="J1728">
        <v>0</v>
      </c>
      <c r="K1728" t="s">
        <v>17</v>
      </c>
      <c r="L1728" t="s">
        <v>16</v>
      </c>
      <c r="M1728">
        <f>IF(Table1[[#This Row],[ألغى الاشتراك]]="نعم",1,0)</f>
        <v>1</v>
      </c>
      <c r="N1728">
        <f>IF(Table1[[#This Row],[وسيلة الدفع]]="بطاقة",1,0)</f>
        <v>0</v>
      </c>
      <c r="O1728">
        <f>IF(Table1[[#This Row],[وسيلة الدفع]]="محفظة",1,0)</f>
        <v>0</v>
      </c>
      <c r="P1728">
        <f>IF(Table1[[#This Row],[وسيلة الدفع]]="تحويل",1,0)</f>
        <v>1</v>
      </c>
      <c r="Q1728">
        <f>IF(Table1[[#This Row],[حضر التهيئة]]="نعم",1,0)</f>
        <v>0</v>
      </c>
      <c r="R1728">
        <f>IF(Table1[[#This Row],[دورة الفوترة]]="شهري",1,0)</f>
        <v>1</v>
      </c>
    </row>
    <row r="1729" spans="1:18" x14ac:dyDescent="0.25">
      <c r="A1729" t="s">
        <v>1749</v>
      </c>
      <c r="B1729" s="1">
        <v>45744</v>
      </c>
      <c r="C1729" t="s">
        <v>13</v>
      </c>
      <c r="D1729">
        <v>89</v>
      </c>
      <c r="E1729" t="s">
        <v>14</v>
      </c>
      <c r="F1729">
        <v>19</v>
      </c>
      <c r="G1729" t="s">
        <v>15</v>
      </c>
      <c r="H1729">
        <v>7</v>
      </c>
      <c r="I1729">
        <v>17</v>
      </c>
      <c r="J1729">
        <v>0</v>
      </c>
      <c r="K1729" t="s">
        <v>16</v>
      </c>
      <c r="L1729" t="s">
        <v>17</v>
      </c>
      <c r="M1729">
        <f>IF(Table1[[#This Row],[ألغى الاشتراك]]="نعم",1,0)</f>
        <v>0</v>
      </c>
      <c r="N1729">
        <f>IF(Table1[[#This Row],[وسيلة الدفع]]="بطاقة",1,0)</f>
        <v>1</v>
      </c>
      <c r="O1729">
        <f>IF(Table1[[#This Row],[وسيلة الدفع]]="محفظة",1,0)</f>
        <v>0</v>
      </c>
      <c r="P1729">
        <f>IF(Table1[[#This Row],[وسيلة الدفع]]="تحويل",1,0)</f>
        <v>0</v>
      </c>
      <c r="Q1729">
        <f>IF(Table1[[#This Row],[حضر التهيئة]]="نعم",1,0)</f>
        <v>1</v>
      </c>
      <c r="R1729">
        <f>IF(Table1[[#This Row],[دورة الفوترة]]="شهري",1,0)</f>
        <v>1</v>
      </c>
    </row>
    <row r="1730" spans="1:18" x14ac:dyDescent="0.25">
      <c r="A1730" t="s">
        <v>1750</v>
      </c>
      <c r="B1730" s="1">
        <v>45529</v>
      </c>
      <c r="C1730" t="s">
        <v>13</v>
      </c>
      <c r="D1730">
        <v>89</v>
      </c>
      <c r="E1730" t="s">
        <v>20</v>
      </c>
      <c r="F1730">
        <v>8</v>
      </c>
      <c r="G1730" t="s">
        <v>21</v>
      </c>
      <c r="H1730">
        <v>2</v>
      </c>
      <c r="I1730">
        <v>56</v>
      </c>
      <c r="J1730">
        <v>0</v>
      </c>
      <c r="K1730" t="s">
        <v>17</v>
      </c>
      <c r="L1730" t="s">
        <v>17</v>
      </c>
      <c r="M1730">
        <f>IF(Table1[[#This Row],[ألغى الاشتراك]]="نعم",1,0)</f>
        <v>0</v>
      </c>
      <c r="N1730">
        <f>IF(Table1[[#This Row],[وسيلة الدفع]]="بطاقة",1,0)</f>
        <v>0</v>
      </c>
      <c r="O1730">
        <f>IF(Table1[[#This Row],[وسيلة الدفع]]="محفظة",1,0)</f>
        <v>1</v>
      </c>
      <c r="P1730">
        <f>IF(Table1[[#This Row],[وسيلة الدفع]]="تحويل",1,0)</f>
        <v>0</v>
      </c>
      <c r="Q1730">
        <f>IF(Table1[[#This Row],[حضر التهيئة]]="نعم",1,0)</f>
        <v>0</v>
      </c>
      <c r="R1730">
        <f>IF(Table1[[#This Row],[دورة الفوترة]]="شهري",1,0)</f>
        <v>0</v>
      </c>
    </row>
    <row r="1731" spans="1:18" x14ac:dyDescent="0.25">
      <c r="A1731" t="s">
        <v>1751</v>
      </c>
      <c r="B1731" s="1">
        <v>45580</v>
      </c>
      <c r="C1731" t="s">
        <v>13</v>
      </c>
      <c r="D1731">
        <v>89</v>
      </c>
      <c r="E1731" t="s">
        <v>14</v>
      </c>
      <c r="F1731">
        <v>27</v>
      </c>
      <c r="G1731" t="s">
        <v>23</v>
      </c>
      <c r="H1731">
        <v>2</v>
      </c>
      <c r="I1731">
        <v>47</v>
      </c>
      <c r="J1731">
        <v>10</v>
      </c>
      <c r="K1731" t="s">
        <v>16</v>
      </c>
      <c r="L1731" t="s">
        <v>17</v>
      </c>
      <c r="M1731">
        <f>IF(Table1[[#This Row],[ألغى الاشتراك]]="نعم",1,0)</f>
        <v>0</v>
      </c>
      <c r="N1731">
        <f>IF(Table1[[#This Row],[وسيلة الدفع]]="بطاقة",1,0)</f>
        <v>0</v>
      </c>
      <c r="O1731">
        <f>IF(Table1[[#This Row],[وسيلة الدفع]]="محفظة",1,0)</f>
        <v>0</v>
      </c>
      <c r="P1731">
        <f>IF(Table1[[#This Row],[وسيلة الدفع]]="تحويل",1,0)</f>
        <v>1</v>
      </c>
      <c r="Q1731">
        <f>IF(Table1[[#This Row],[حضر التهيئة]]="نعم",1,0)</f>
        <v>1</v>
      </c>
      <c r="R1731">
        <f>IF(Table1[[#This Row],[دورة الفوترة]]="شهري",1,0)</f>
        <v>1</v>
      </c>
    </row>
    <row r="1732" spans="1:18" x14ac:dyDescent="0.25">
      <c r="A1732" t="s">
        <v>1752</v>
      </c>
      <c r="B1732" s="1">
        <v>45639</v>
      </c>
      <c r="C1732" t="s">
        <v>28</v>
      </c>
      <c r="D1732">
        <v>39</v>
      </c>
      <c r="E1732" t="s">
        <v>14</v>
      </c>
      <c r="F1732">
        <v>21</v>
      </c>
      <c r="G1732" t="s">
        <v>15</v>
      </c>
      <c r="H1732">
        <v>2</v>
      </c>
      <c r="I1732">
        <v>33</v>
      </c>
      <c r="J1732">
        <v>25</v>
      </c>
      <c r="K1732" t="s">
        <v>17</v>
      </c>
      <c r="L1732" t="s">
        <v>17</v>
      </c>
      <c r="M1732">
        <f>IF(Table1[[#This Row],[ألغى الاشتراك]]="نعم",1,0)</f>
        <v>0</v>
      </c>
      <c r="N1732">
        <f>IF(Table1[[#This Row],[وسيلة الدفع]]="بطاقة",1,0)</f>
        <v>1</v>
      </c>
      <c r="O1732">
        <f>IF(Table1[[#This Row],[وسيلة الدفع]]="محفظة",1,0)</f>
        <v>0</v>
      </c>
      <c r="P1732">
        <f>IF(Table1[[#This Row],[وسيلة الدفع]]="تحويل",1,0)</f>
        <v>0</v>
      </c>
      <c r="Q1732">
        <f>IF(Table1[[#This Row],[حضر التهيئة]]="نعم",1,0)</f>
        <v>0</v>
      </c>
      <c r="R1732">
        <f>IF(Table1[[#This Row],[دورة الفوترة]]="شهري",1,0)</f>
        <v>1</v>
      </c>
    </row>
    <row r="1733" spans="1:18" x14ac:dyDescent="0.25">
      <c r="A1733" t="s">
        <v>1753</v>
      </c>
      <c r="B1733" s="1">
        <v>45926</v>
      </c>
      <c r="C1733" t="s">
        <v>19</v>
      </c>
      <c r="D1733">
        <v>189</v>
      </c>
      <c r="E1733" t="s">
        <v>14</v>
      </c>
      <c r="F1733">
        <v>9</v>
      </c>
      <c r="G1733" t="s">
        <v>15</v>
      </c>
      <c r="H1733">
        <v>1</v>
      </c>
      <c r="I1733">
        <v>3</v>
      </c>
      <c r="J1733">
        <v>0</v>
      </c>
      <c r="K1733" t="s">
        <v>17</v>
      </c>
      <c r="L1733" t="s">
        <v>17</v>
      </c>
      <c r="M1733">
        <f>IF(Table1[[#This Row],[ألغى الاشتراك]]="نعم",1,0)</f>
        <v>0</v>
      </c>
      <c r="N1733">
        <f>IF(Table1[[#This Row],[وسيلة الدفع]]="بطاقة",1,0)</f>
        <v>1</v>
      </c>
      <c r="O1733">
        <f>IF(Table1[[#This Row],[وسيلة الدفع]]="محفظة",1,0)</f>
        <v>0</v>
      </c>
      <c r="P1733">
        <f>IF(Table1[[#This Row],[وسيلة الدفع]]="تحويل",1,0)</f>
        <v>0</v>
      </c>
      <c r="Q1733">
        <f>IF(Table1[[#This Row],[حضر التهيئة]]="نعم",1,0)</f>
        <v>0</v>
      </c>
      <c r="R1733">
        <f>IF(Table1[[#This Row],[دورة الفوترة]]="شهري",1,0)</f>
        <v>1</v>
      </c>
    </row>
    <row r="1734" spans="1:18" x14ac:dyDescent="0.25">
      <c r="A1734" t="s">
        <v>1754</v>
      </c>
      <c r="B1734" s="1">
        <v>45450</v>
      </c>
      <c r="C1734" t="s">
        <v>28</v>
      </c>
      <c r="D1734">
        <v>39</v>
      </c>
      <c r="E1734" t="s">
        <v>20</v>
      </c>
      <c r="F1734">
        <v>22</v>
      </c>
      <c r="G1734" t="s">
        <v>21</v>
      </c>
      <c r="H1734">
        <v>2</v>
      </c>
      <c r="I1734">
        <v>48</v>
      </c>
      <c r="J1734">
        <v>0</v>
      </c>
      <c r="K1734" t="s">
        <v>17</v>
      </c>
      <c r="L1734" t="s">
        <v>17</v>
      </c>
      <c r="M1734">
        <f>IF(Table1[[#This Row],[ألغى الاشتراك]]="نعم",1,0)</f>
        <v>0</v>
      </c>
      <c r="N1734">
        <f>IF(Table1[[#This Row],[وسيلة الدفع]]="بطاقة",1,0)</f>
        <v>0</v>
      </c>
      <c r="O1734">
        <f>IF(Table1[[#This Row],[وسيلة الدفع]]="محفظة",1,0)</f>
        <v>1</v>
      </c>
      <c r="P1734">
        <f>IF(Table1[[#This Row],[وسيلة الدفع]]="تحويل",1,0)</f>
        <v>0</v>
      </c>
      <c r="Q1734">
        <f>IF(Table1[[#This Row],[حضر التهيئة]]="نعم",1,0)</f>
        <v>0</v>
      </c>
      <c r="R1734">
        <f>IF(Table1[[#This Row],[دورة الفوترة]]="شهري",1,0)</f>
        <v>0</v>
      </c>
    </row>
    <row r="1735" spans="1:18" x14ac:dyDescent="0.25">
      <c r="A1735" t="s">
        <v>1755</v>
      </c>
      <c r="B1735" s="1">
        <v>45866</v>
      </c>
      <c r="C1735" t="s">
        <v>13</v>
      </c>
      <c r="D1735">
        <v>89</v>
      </c>
      <c r="E1735" t="s">
        <v>14</v>
      </c>
      <c r="F1735">
        <v>23</v>
      </c>
      <c r="G1735" t="s">
        <v>21</v>
      </c>
      <c r="H1735">
        <v>10</v>
      </c>
      <c r="I1735">
        <v>31</v>
      </c>
      <c r="J1735">
        <v>0</v>
      </c>
      <c r="K1735" t="s">
        <v>16</v>
      </c>
      <c r="L1735" t="s">
        <v>17</v>
      </c>
      <c r="M1735">
        <f>IF(Table1[[#This Row],[ألغى الاشتراك]]="نعم",1,0)</f>
        <v>0</v>
      </c>
      <c r="N1735">
        <f>IF(Table1[[#This Row],[وسيلة الدفع]]="بطاقة",1,0)</f>
        <v>0</v>
      </c>
      <c r="O1735">
        <f>IF(Table1[[#This Row],[وسيلة الدفع]]="محفظة",1,0)</f>
        <v>1</v>
      </c>
      <c r="P1735">
        <f>IF(Table1[[#This Row],[وسيلة الدفع]]="تحويل",1,0)</f>
        <v>0</v>
      </c>
      <c r="Q1735">
        <f>IF(Table1[[#This Row],[حضر التهيئة]]="نعم",1,0)</f>
        <v>1</v>
      </c>
      <c r="R1735">
        <f>IF(Table1[[#This Row],[دورة الفوترة]]="شهري",1,0)</f>
        <v>1</v>
      </c>
    </row>
    <row r="1736" spans="1:18" x14ac:dyDescent="0.25">
      <c r="A1736" t="s">
        <v>1756</v>
      </c>
      <c r="B1736" s="1">
        <v>45509</v>
      </c>
      <c r="C1736" t="s">
        <v>28</v>
      </c>
      <c r="D1736">
        <v>39</v>
      </c>
      <c r="E1736" t="s">
        <v>14</v>
      </c>
      <c r="F1736">
        <v>20</v>
      </c>
      <c r="G1736" t="s">
        <v>15</v>
      </c>
      <c r="H1736">
        <v>8</v>
      </c>
      <c r="I1736">
        <v>8</v>
      </c>
      <c r="J1736">
        <v>0</v>
      </c>
      <c r="K1736" t="s">
        <v>16</v>
      </c>
      <c r="L1736" t="s">
        <v>16</v>
      </c>
      <c r="M1736">
        <f>IF(Table1[[#This Row],[ألغى الاشتراك]]="نعم",1,0)</f>
        <v>1</v>
      </c>
      <c r="N1736">
        <f>IF(Table1[[#This Row],[وسيلة الدفع]]="بطاقة",1,0)</f>
        <v>1</v>
      </c>
      <c r="O1736">
        <f>IF(Table1[[#This Row],[وسيلة الدفع]]="محفظة",1,0)</f>
        <v>0</v>
      </c>
      <c r="P1736">
        <f>IF(Table1[[#This Row],[وسيلة الدفع]]="تحويل",1,0)</f>
        <v>0</v>
      </c>
      <c r="Q1736">
        <f>IF(Table1[[#This Row],[حضر التهيئة]]="نعم",1,0)</f>
        <v>1</v>
      </c>
      <c r="R1736">
        <f>IF(Table1[[#This Row],[دورة الفوترة]]="شهري",1,0)</f>
        <v>1</v>
      </c>
    </row>
    <row r="1737" spans="1:18" x14ac:dyDescent="0.25">
      <c r="A1737" t="s">
        <v>1757</v>
      </c>
      <c r="B1737" s="1">
        <v>45679</v>
      </c>
      <c r="C1737" t="s">
        <v>19</v>
      </c>
      <c r="D1737">
        <v>189</v>
      </c>
      <c r="E1737" t="s">
        <v>14</v>
      </c>
      <c r="F1737">
        <v>19</v>
      </c>
      <c r="G1737" t="s">
        <v>21</v>
      </c>
      <c r="H1737">
        <v>0</v>
      </c>
      <c r="I1737">
        <v>47</v>
      </c>
      <c r="J1737">
        <v>0</v>
      </c>
      <c r="K1737" t="s">
        <v>16</v>
      </c>
      <c r="L1737" t="s">
        <v>17</v>
      </c>
      <c r="M1737">
        <f>IF(Table1[[#This Row],[ألغى الاشتراك]]="نعم",1,0)</f>
        <v>0</v>
      </c>
      <c r="N1737">
        <f>IF(Table1[[#This Row],[وسيلة الدفع]]="بطاقة",1,0)</f>
        <v>0</v>
      </c>
      <c r="O1737">
        <f>IF(Table1[[#This Row],[وسيلة الدفع]]="محفظة",1,0)</f>
        <v>1</v>
      </c>
      <c r="P1737">
        <f>IF(Table1[[#This Row],[وسيلة الدفع]]="تحويل",1,0)</f>
        <v>0</v>
      </c>
      <c r="Q1737">
        <f>IF(Table1[[#This Row],[حضر التهيئة]]="نعم",1,0)</f>
        <v>1</v>
      </c>
      <c r="R1737">
        <f>IF(Table1[[#This Row],[دورة الفوترة]]="شهري",1,0)</f>
        <v>1</v>
      </c>
    </row>
    <row r="1738" spans="1:18" x14ac:dyDescent="0.25">
      <c r="A1738" t="s">
        <v>1758</v>
      </c>
      <c r="B1738" s="1">
        <v>45333</v>
      </c>
      <c r="C1738" t="s">
        <v>13</v>
      </c>
      <c r="D1738">
        <v>89</v>
      </c>
      <c r="E1738" t="s">
        <v>20</v>
      </c>
      <c r="F1738">
        <v>28</v>
      </c>
      <c r="G1738" t="s">
        <v>23</v>
      </c>
      <c r="H1738">
        <v>4</v>
      </c>
      <c r="I1738">
        <v>52</v>
      </c>
      <c r="J1738">
        <v>0</v>
      </c>
      <c r="K1738" t="s">
        <v>16</v>
      </c>
      <c r="L1738" t="s">
        <v>17</v>
      </c>
      <c r="M1738">
        <f>IF(Table1[[#This Row],[ألغى الاشتراك]]="نعم",1,0)</f>
        <v>0</v>
      </c>
      <c r="N1738">
        <f>IF(Table1[[#This Row],[وسيلة الدفع]]="بطاقة",1,0)</f>
        <v>0</v>
      </c>
      <c r="O1738">
        <f>IF(Table1[[#This Row],[وسيلة الدفع]]="محفظة",1,0)</f>
        <v>0</v>
      </c>
      <c r="P1738">
        <f>IF(Table1[[#This Row],[وسيلة الدفع]]="تحويل",1,0)</f>
        <v>1</v>
      </c>
      <c r="Q1738">
        <f>IF(Table1[[#This Row],[حضر التهيئة]]="نعم",1,0)</f>
        <v>1</v>
      </c>
      <c r="R1738">
        <f>IF(Table1[[#This Row],[دورة الفوترة]]="شهري",1,0)</f>
        <v>0</v>
      </c>
    </row>
    <row r="1739" spans="1:18" x14ac:dyDescent="0.25">
      <c r="A1739" t="s">
        <v>1759</v>
      </c>
      <c r="B1739" s="1">
        <v>45981</v>
      </c>
      <c r="C1739" t="s">
        <v>13</v>
      </c>
      <c r="D1739">
        <v>89</v>
      </c>
      <c r="E1739" t="s">
        <v>20</v>
      </c>
      <c r="F1739">
        <v>27</v>
      </c>
      <c r="G1739" t="s">
        <v>15</v>
      </c>
      <c r="H1739">
        <v>8</v>
      </c>
      <c r="I1739">
        <v>35</v>
      </c>
      <c r="J1739">
        <v>0</v>
      </c>
      <c r="K1739" t="s">
        <v>17</v>
      </c>
      <c r="L1739" t="s">
        <v>17</v>
      </c>
      <c r="M1739">
        <f>IF(Table1[[#This Row],[ألغى الاشتراك]]="نعم",1,0)</f>
        <v>0</v>
      </c>
      <c r="N1739">
        <f>IF(Table1[[#This Row],[وسيلة الدفع]]="بطاقة",1,0)</f>
        <v>1</v>
      </c>
      <c r="O1739">
        <f>IF(Table1[[#This Row],[وسيلة الدفع]]="محفظة",1,0)</f>
        <v>0</v>
      </c>
      <c r="P1739">
        <f>IF(Table1[[#This Row],[وسيلة الدفع]]="تحويل",1,0)</f>
        <v>0</v>
      </c>
      <c r="Q1739">
        <f>IF(Table1[[#This Row],[حضر التهيئة]]="نعم",1,0)</f>
        <v>0</v>
      </c>
      <c r="R1739">
        <f>IF(Table1[[#This Row],[دورة الفوترة]]="شهري",1,0)</f>
        <v>0</v>
      </c>
    </row>
    <row r="1740" spans="1:18" x14ac:dyDescent="0.25">
      <c r="A1740" t="s">
        <v>1760</v>
      </c>
      <c r="B1740" s="1">
        <v>45391</v>
      </c>
      <c r="C1740" t="s">
        <v>19</v>
      </c>
      <c r="D1740">
        <v>189</v>
      </c>
      <c r="E1740" t="s">
        <v>20</v>
      </c>
      <c r="F1740">
        <v>20</v>
      </c>
      <c r="G1740" t="s">
        <v>21</v>
      </c>
      <c r="H1740">
        <v>5</v>
      </c>
      <c r="I1740">
        <v>14</v>
      </c>
      <c r="J1740">
        <v>0</v>
      </c>
      <c r="K1740" t="s">
        <v>16</v>
      </c>
      <c r="L1740" t="s">
        <v>17</v>
      </c>
      <c r="M1740">
        <f>IF(Table1[[#This Row],[ألغى الاشتراك]]="نعم",1,0)</f>
        <v>0</v>
      </c>
      <c r="N1740">
        <f>IF(Table1[[#This Row],[وسيلة الدفع]]="بطاقة",1,0)</f>
        <v>0</v>
      </c>
      <c r="O1740">
        <f>IF(Table1[[#This Row],[وسيلة الدفع]]="محفظة",1,0)</f>
        <v>1</v>
      </c>
      <c r="P1740">
        <f>IF(Table1[[#This Row],[وسيلة الدفع]]="تحويل",1,0)</f>
        <v>0</v>
      </c>
      <c r="Q1740">
        <f>IF(Table1[[#This Row],[حضر التهيئة]]="نعم",1,0)</f>
        <v>1</v>
      </c>
      <c r="R1740">
        <f>IF(Table1[[#This Row],[دورة الفوترة]]="شهري",1,0)</f>
        <v>0</v>
      </c>
    </row>
    <row r="1741" spans="1:18" x14ac:dyDescent="0.25">
      <c r="A1741" t="s">
        <v>1761</v>
      </c>
      <c r="B1741" s="1">
        <v>45906</v>
      </c>
      <c r="C1741" t="s">
        <v>19</v>
      </c>
      <c r="D1741">
        <v>189</v>
      </c>
      <c r="E1741" t="s">
        <v>14</v>
      </c>
      <c r="F1741">
        <v>15</v>
      </c>
      <c r="G1741" t="s">
        <v>23</v>
      </c>
      <c r="H1741">
        <v>1</v>
      </c>
      <c r="I1741">
        <v>25</v>
      </c>
      <c r="J1741">
        <v>0</v>
      </c>
      <c r="K1741" t="s">
        <v>16</v>
      </c>
      <c r="L1741" t="s">
        <v>17</v>
      </c>
      <c r="M1741">
        <f>IF(Table1[[#This Row],[ألغى الاشتراك]]="نعم",1,0)</f>
        <v>0</v>
      </c>
      <c r="N1741">
        <f>IF(Table1[[#This Row],[وسيلة الدفع]]="بطاقة",1,0)</f>
        <v>0</v>
      </c>
      <c r="O1741">
        <f>IF(Table1[[#This Row],[وسيلة الدفع]]="محفظة",1,0)</f>
        <v>0</v>
      </c>
      <c r="P1741">
        <f>IF(Table1[[#This Row],[وسيلة الدفع]]="تحويل",1,0)</f>
        <v>1</v>
      </c>
      <c r="Q1741">
        <f>IF(Table1[[#This Row],[حضر التهيئة]]="نعم",1,0)</f>
        <v>1</v>
      </c>
      <c r="R1741">
        <f>IF(Table1[[#This Row],[دورة الفوترة]]="شهري",1,0)</f>
        <v>1</v>
      </c>
    </row>
    <row r="1742" spans="1:18" x14ac:dyDescent="0.25">
      <c r="A1742" t="s">
        <v>1762</v>
      </c>
      <c r="B1742" s="1">
        <v>45744</v>
      </c>
      <c r="C1742" t="s">
        <v>28</v>
      </c>
      <c r="D1742">
        <v>39</v>
      </c>
      <c r="E1742" t="s">
        <v>20</v>
      </c>
      <c r="F1742">
        <v>8</v>
      </c>
      <c r="G1742" t="s">
        <v>21</v>
      </c>
      <c r="H1742">
        <v>1</v>
      </c>
      <c r="I1742">
        <v>52</v>
      </c>
      <c r="J1742">
        <v>15</v>
      </c>
      <c r="K1742" t="s">
        <v>17</v>
      </c>
      <c r="L1742" t="s">
        <v>17</v>
      </c>
      <c r="M1742">
        <f>IF(Table1[[#This Row],[ألغى الاشتراك]]="نعم",1,0)</f>
        <v>0</v>
      </c>
      <c r="N1742">
        <f>IF(Table1[[#This Row],[وسيلة الدفع]]="بطاقة",1,0)</f>
        <v>0</v>
      </c>
      <c r="O1742">
        <f>IF(Table1[[#This Row],[وسيلة الدفع]]="محفظة",1,0)</f>
        <v>1</v>
      </c>
      <c r="P1742">
        <f>IF(Table1[[#This Row],[وسيلة الدفع]]="تحويل",1,0)</f>
        <v>0</v>
      </c>
      <c r="Q1742">
        <f>IF(Table1[[#This Row],[حضر التهيئة]]="نعم",1,0)</f>
        <v>0</v>
      </c>
      <c r="R1742">
        <f>IF(Table1[[#This Row],[دورة الفوترة]]="شهري",1,0)</f>
        <v>0</v>
      </c>
    </row>
    <row r="1743" spans="1:18" x14ac:dyDescent="0.25">
      <c r="A1743" t="s">
        <v>1763</v>
      </c>
      <c r="B1743" s="1">
        <v>45403</v>
      </c>
      <c r="C1743" t="s">
        <v>13</v>
      </c>
      <c r="D1743">
        <v>89</v>
      </c>
      <c r="E1743" t="s">
        <v>20</v>
      </c>
      <c r="F1743">
        <v>8</v>
      </c>
      <c r="G1743" t="s">
        <v>15</v>
      </c>
      <c r="H1743">
        <v>3</v>
      </c>
      <c r="I1743">
        <v>28</v>
      </c>
      <c r="J1743">
        <v>0</v>
      </c>
      <c r="K1743" t="s">
        <v>16</v>
      </c>
      <c r="L1743" t="s">
        <v>17</v>
      </c>
      <c r="M1743">
        <f>IF(Table1[[#This Row],[ألغى الاشتراك]]="نعم",1,0)</f>
        <v>0</v>
      </c>
      <c r="N1743">
        <f>IF(Table1[[#This Row],[وسيلة الدفع]]="بطاقة",1,0)</f>
        <v>1</v>
      </c>
      <c r="O1743">
        <f>IF(Table1[[#This Row],[وسيلة الدفع]]="محفظة",1,0)</f>
        <v>0</v>
      </c>
      <c r="P1743">
        <f>IF(Table1[[#This Row],[وسيلة الدفع]]="تحويل",1,0)</f>
        <v>0</v>
      </c>
      <c r="Q1743">
        <f>IF(Table1[[#This Row],[حضر التهيئة]]="نعم",1,0)</f>
        <v>1</v>
      </c>
      <c r="R1743">
        <f>IF(Table1[[#This Row],[دورة الفوترة]]="شهري",1,0)</f>
        <v>0</v>
      </c>
    </row>
    <row r="1744" spans="1:18" x14ac:dyDescent="0.25">
      <c r="A1744" t="s">
        <v>1764</v>
      </c>
      <c r="B1744" s="1">
        <v>45671</v>
      </c>
      <c r="C1744" t="s">
        <v>28</v>
      </c>
      <c r="D1744">
        <v>39</v>
      </c>
      <c r="E1744" t="s">
        <v>20</v>
      </c>
      <c r="F1744">
        <v>21</v>
      </c>
      <c r="G1744" t="s">
        <v>21</v>
      </c>
      <c r="H1744">
        <v>0</v>
      </c>
      <c r="I1744">
        <v>35</v>
      </c>
      <c r="J1744">
        <v>0</v>
      </c>
      <c r="K1744" t="s">
        <v>17</v>
      </c>
      <c r="L1744" t="s">
        <v>17</v>
      </c>
      <c r="M1744">
        <f>IF(Table1[[#This Row],[ألغى الاشتراك]]="نعم",1,0)</f>
        <v>0</v>
      </c>
      <c r="N1744">
        <f>IF(Table1[[#This Row],[وسيلة الدفع]]="بطاقة",1,0)</f>
        <v>0</v>
      </c>
      <c r="O1744">
        <f>IF(Table1[[#This Row],[وسيلة الدفع]]="محفظة",1,0)</f>
        <v>1</v>
      </c>
      <c r="P1744">
        <f>IF(Table1[[#This Row],[وسيلة الدفع]]="تحويل",1,0)</f>
        <v>0</v>
      </c>
      <c r="Q1744">
        <f>IF(Table1[[#This Row],[حضر التهيئة]]="نعم",1,0)</f>
        <v>0</v>
      </c>
      <c r="R1744">
        <f>IF(Table1[[#This Row],[دورة الفوترة]]="شهري",1,0)</f>
        <v>0</v>
      </c>
    </row>
    <row r="1745" spans="1:18" x14ac:dyDescent="0.25">
      <c r="A1745" t="s">
        <v>1765</v>
      </c>
      <c r="B1745" s="1">
        <v>45466</v>
      </c>
      <c r="C1745" t="s">
        <v>13</v>
      </c>
      <c r="D1745">
        <v>89</v>
      </c>
      <c r="E1745" t="s">
        <v>20</v>
      </c>
      <c r="F1745">
        <v>6</v>
      </c>
      <c r="G1745" t="s">
        <v>15</v>
      </c>
      <c r="H1745">
        <v>0</v>
      </c>
      <c r="I1745">
        <v>44</v>
      </c>
      <c r="J1745">
        <v>0</v>
      </c>
      <c r="K1745" t="s">
        <v>16</v>
      </c>
      <c r="L1745" t="s">
        <v>17</v>
      </c>
      <c r="M1745">
        <f>IF(Table1[[#This Row],[ألغى الاشتراك]]="نعم",1,0)</f>
        <v>0</v>
      </c>
      <c r="N1745">
        <f>IF(Table1[[#This Row],[وسيلة الدفع]]="بطاقة",1,0)</f>
        <v>1</v>
      </c>
      <c r="O1745">
        <f>IF(Table1[[#This Row],[وسيلة الدفع]]="محفظة",1,0)</f>
        <v>0</v>
      </c>
      <c r="P1745">
        <f>IF(Table1[[#This Row],[وسيلة الدفع]]="تحويل",1,0)</f>
        <v>0</v>
      </c>
      <c r="Q1745">
        <f>IF(Table1[[#This Row],[حضر التهيئة]]="نعم",1,0)</f>
        <v>1</v>
      </c>
      <c r="R1745">
        <f>IF(Table1[[#This Row],[دورة الفوترة]]="شهري",1,0)</f>
        <v>0</v>
      </c>
    </row>
    <row r="1746" spans="1:18" x14ac:dyDescent="0.25">
      <c r="A1746" t="s">
        <v>1766</v>
      </c>
      <c r="B1746" s="1">
        <v>45724</v>
      </c>
      <c r="C1746" t="s">
        <v>19</v>
      </c>
      <c r="D1746">
        <v>189</v>
      </c>
      <c r="E1746" t="s">
        <v>14</v>
      </c>
      <c r="F1746">
        <v>11</v>
      </c>
      <c r="G1746" t="s">
        <v>15</v>
      </c>
      <c r="H1746">
        <v>0</v>
      </c>
      <c r="I1746">
        <v>9</v>
      </c>
      <c r="J1746">
        <v>0</v>
      </c>
      <c r="K1746" t="s">
        <v>16</v>
      </c>
      <c r="L1746" t="s">
        <v>17</v>
      </c>
      <c r="M1746">
        <f>IF(Table1[[#This Row],[ألغى الاشتراك]]="نعم",1,0)</f>
        <v>0</v>
      </c>
      <c r="N1746">
        <f>IF(Table1[[#This Row],[وسيلة الدفع]]="بطاقة",1,0)</f>
        <v>1</v>
      </c>
      <c r="O1746">
        <f>IF(Table1[[#This Row],[وسيلة الدفع]]="محفظة",1,0)</f>
        <v>0</v>
      </c>
      <c r="P1746">
        <f>IF(Table1[[#This Row],[وسيلة الدفع]]="تحويل",1,0)</f>
        <v>0</v>
      </c>
      <c r="Q1746">
        <f>IF(Table1[[#This Row],[حضر التهيئة]]="نعم",1,0)</f>
        <v>1</v>
      </c>
      <c r="R1746">
        <f>IF(Table1[[#This Row],[دورة الفوترة]]="شهري",1,0)</f>
        <v>1</v>
      </c>
    </row>
    <row r="1747" spans="1:18" x14ac:dyDescent="0.25">
      <c r="A1747" t="s">
        <v>1767</v>
      </c>
      <c r="B1747" s="1">
        <v>45403</v>
      </c>
      <c r="C1747" t="s">
        <v>28</v>
      </c>
      <c r="D1747">
        <v>39</v>
      </c>
      <c r="E1747" t="s">
        <v>20</v>
      </c>
      <c r="F1747">
        <v>12</v>
      </c>
      <c r="G1747" t="s">
        <v>15</v>
      </c>
      <c r="H1747">
        <v>1</v>
      </c>
      <c r="I1747">
        <v>48</v>
      </c>
      <c r="J1747">
        <v>0</v>
      </c>
      <c r="K1747" t="s">
        <v>16</v>
      </c>
      <c r="L1747" t="s">
        <v>17</v>
      </c>
      <c r="M1747">
        <f>IF(Table1[[#This Row],[ألغى الاشتراك]]="نعم",1,0)</f>
        <v>0</v>
      </c>
      <c r="N1747">
        <f>IF(Table1[[#This Row],[وسيلة الدفع]]="بطاقة",1,0)</f>
        <v>1</v>
      </c>
      <c r="O1747">
        <f>IF(Table1[[#This Row],[وسيلة الدفع]]="محفظة",1,0)</f>
        <v>0</v>
      </c>
      <c r="P1747">
        <f>IF(Table1[[#This Row],[وسيلة الدفع]]="تحويل",1,0)</f>
        <v>0</v>
      </c>
      <c r="Q1747">
        <f>IF(Table1[[#This Row],[حضر التهيئة]]="نعم",1,0)</f>
        <v>1</v>
      </c>
      <c r="R1747">
        <f>IF(Table1[[#This Row],[دورة الفوترة]]="شهري",1,0)</f>
        <v>0</v>
      </c>
    </row>
    <row r="1748" spans="1:18" x14ac:dyDescent="0.25">
      <c r="A1748" t="s">
        <v>1768</v>
      </c>
      <c r="B1748" s="1">
        <v>45572</v>
      </c>
      <c r="C1748" t="s">
        <v>19</v>
      </c>
      <c r="D1748">
        <v>189</v>
      </c>
      <c r="E1748" t="s">
        <v>14</v>
      </c>
      <c r="F1748">
        <v>19</v>
      </c>
      <c r="G1748" t="s">
        <v>21</v>
      </c>
      <c r="H1748">
        <v>1</v>
      </c>
      <c r="I1748">
        <v>33</v>
      </c>
      <c r="J1748">
        <v>10</v>
      </c>
      <c r="K1748" t="s">
        <v>16</v>
      </c>
      <c r="L1748" t="s">
        <v>17</v>
      </c>
      <c r="M1748">
        <f>IF(Table1[[#This Row],[ألغى الاشتراك]]="نعم",1,0)</f>
        <v>0</v>
      </c>
      <c r="N1748">
        <f>IF(Table1[[#This Row],[وسيلة الدفع]]="بطاقة",1,0)</f>
        <v>0</v>
      </c>
      <c r="O1748">
        <f>IF(Table1[[#This Row],[وسيلة الدفع]]="محفظة",1,0)</f>
        <v>1</v>
      </c>
      <c r="P1748">
        <f>IF(Table1[[#This Row],[وسيلة الدفع]]="تحويل",1,0)</f>
        <v>0</v>
      </c>
      <c r="Q1748">
        <f>IF(Table1[[#This Row],[حضر التهيئة]]="نعم",1,0)</f>
        <v>1</v>
      </c>
      <c r="R1748">
        <f>IF(Table1[[#This Row],[دورة الفوترة]]="شهري",1,0)</f>
        <v>1</v>
      </c>
    </row>
    <row r="1749" spans="1:18" x14ac:dyDescent="0.25">
      <c r="A1749" t="s">
        <v>1769</v>
      </c>
      <c r="B1749" s="1">
        <v>45846</v>
      </c>
      <c r="C1749" t="s">
        <v>19</v>
      </c>
      <c r="D1749">
        <v>189</v>
      </c>
      <c r="E1749" t="s">
        <v>14</v>
      </c>
      <c r="F1749">
        <v>13</v>
      </c>
      <c r="G1749" t="s">
        <v>21</v>
      </c>
      <c r="H1749">
        <v>2</v>
      </c>
      <c r="I1749">
        <v>3</v>
      </c>
      <c r="J1749">
        <v>0</v>
      </c>
      <c r="K1749" t="s">
        <v>16</v>
      </c>
      <c r="L1749" t="s">
        <v>17</v>
      </c>
      <c r="M1749">
        <f>IF(Table1[[#This Row],[ألغى الاشتراك]]="نعم",1,0)</f>
        <v>0</v>
      </c>
      <c r="N1749">
        <f>IF(Table1[[#This Row],[وسيلة الدفع]]="بطاقة",1,0)</f>
        <v>0</v>
      </c>
      <c r="O1749">
        <f>IF(Table1[[#This Row],[وسيلة الدفع]]="محفظة",1,0)</f>
        <v>1</v>
      </c>
      <c r="P1749">
        <f>IF(Table1[[#This Row],[وسيلة الدفع]]="تحويل",1,0)</f>
        <v>0</v>
      </c>
      <c r="Q1749">
        <f>IF(Table1[[#This Row],[حضر التهيئة]]="نعم",1,0)</f>
        <v>1</v>
      </c>
      <c r="R1749">
        <f>IF(Table1[[#This Row],[دورة الفوترة]]="شهري",1,0)</f>
        <v>1</v>
      </c>
    </row>
    <row r="1750" spans="1:18" x14ac:dyDescent="0.25">
      <c r="A1750" t="s">
        <v>1770</v>
      </c>
      <c r="B1750" s="1">
        <v>45517</v>
      </c>
      <c r="C1750" t="s">
        <v>28</v>
      </c>
      <c r="D1750">
        <v>39</v>
      </c>
      <c r="E1750" t="s">
        <v>20</v>
      </c>
      <c r="F1750">
        <v>6</v>
      </c>
      <c r="G1750" t="s">
        <v>15</v>
      </c>
      <c r="H1750">
        <v>1</v>
      </c>
      <c r="I1750">
        <v>28</v>
      </c>
      <c r="J1750">
        <v>0</v>
      </c>
      <c r="K1750" t="s">
        <v>17</v>
      </c>
      <c r="L1750" t="s">
        <v>17</v>
      </c>
      <c r="M1750">
        <f>IF(Table1[[#This Row],[ألغى الاشتراك]]="نعم",1,0)</f>
        <v>0</v>
      </c>
      <c r="N1750">
        <f>IF(Table1[[#This Row],[وسيلة الدفع]]="بطاقة",1,0)</f>
        <v>1</v>
      </c>
      <c r="O1750">
        <f>IF(Table1[[#This Row],[وسيلة الدفع]]="محفظة",1,0)</f>
        <v>0</v>
      </c>
      <c r="P1750">
        <f>IF(Table1[[#This Row],[وسيلة الدفع]]="تحويل",1,0)</f>
        <v>0</v>
      </c>
      <c r="Q1750">
        <f>IF(Table1[[#This Row],[حضر التهيئة]]="نعم",1,0)</f>
        <v>0</v>
      </c>
      <c r="R1750">
        <f>IF(Table1[[#This Row],[دورة الفوترة]]="شهري",1,0)</f>
        <v>0</v>
      </c>
    </row>
    <row r="1751" spans="1:18" x14ac:dyDescent="0.25">
      <c r="A1751" t="s">
        <v>1771</v>
      </c>
      <c r="B1751" s="1">
        <v>45779</v>
      </c>
      <c r="C1751" t="s">
        <v>13</v>
      </c>
      <c r="D1751">
        <v>89</v>
      </c>
      <c r="E1751" t="s">
        <v>14</v>
      </c>
      <c r="F1751">
        <v>23</v>
      </c>
      <c r="G1751" t="s">
        <v>21</v>
      </c>
      <c r="H1751">
        <v>1</v>
      </c>
      <c r="I1751">
        <v>33</v>
      </c>
      <c r="J1751">
        <v>0</v>
      </c>
      <c r="K1751" t="s">
        <v>17</v>
      </c>
      <c r="L1751" t="s">
        <v>17</v>
      </c>
      <c r="M1751">
        <f>IF(Table1[[#This Row],[ألغى الاشتراك]]="نعم",1,0)</f>
        <v>0</v>
      </c>
      <c r="N1751">
        <f>IF(Table1[[#This Row],[وسيلة الدفع]]="بطاقة",1,0)</f>
        <v>0</v>
      </c>
      <c r="O1751">
        <f>IF(Table1[[#This Row],[وسيلة الدفع]]="محفظة",1,0)</f>
        <v>1</v>
      </c>
      <c r="P1751">
        <f>IF(Table1[[#This Row],[وسيلة الدفع]]="تحويل",1,0)</f>
        <v>0</v>
      </c>
      <c r="Q1751">
        <f>IF(Table1[[#This Row],[حضر التهيئة]]="نعم",1,0)</f>
        <v>0</v>
      </c>
      <c r="R1751">
        <f>IF(Table1[[#This Row],[دورة الفوترة]]="شهري",1,0)</f>
        <v>1</v>
      </c>
    </row>
    <row r="1752" spans="1:18" x14ac:dyDescent="0.25">
      <c r="A1752" t="s">
        <v>1772</v>
      </c>
      <c r="B1752" s="1">
        <v>45728</v>
      </c>
      <c r="C1752" t="s">
        <v>13</v>
      </c>
      <c r="D1752">
        <v>89</v>
      </c>
      <c r="E1752" t="s">
        <v>20</v>
      </c>
      <c r="F1752">
        <v>2</v>
      </c>
      <c r="G1752" t="s">
        <v>23</v>
      </c>
      <c r="H1752">
        <v>6</v>
      </c>
      <c r="I1752">
        <v>44</v>
      </c>
      <c r="J1752">
        <v>15</v>
      </c>
      <c r="K1752" t="s">
        <v>16</v>
      </c>
      <c r="L1752" t="s">
        <v>17</v>
      </c>
      <c r="M1752">
        <f>IF(Table1[[#This Row],[ألغى الاشتراك]]="نعم",1,0)</f>
        <v>0</v>
      </c>
      <c r="N1752">
        <f>IF(Table1[[#This Row],[وسيلة الدفع]]="بطاقة",1,0)</f>
        <v>0</v>
      </c>
      <c r="O1752">
        <f>IF(Table1[[#This Row],[وسيلة الدفع]]="محفظة",1,0)</f>
        <v>0</v>
      </c>
      <c r="P1752">
        <f>IF(Table1[[#This Row],[وسيلة الدفع]]="تحويل",1,0)</f>
        <v>1</v>
      </c>
      <c r="Q1752">
        <f>IF(Table1[[#This Row],[حضر التهيئة]]="نعم",1,0)</f>
        <v>1</v>
      </c>
      <c r="R1752">
        <f>IF(Table1[[#This Row],[دورة الفوترة]]="شهري",1,0)</f>
        <v>0</v>
      </c>
    </row>
    <row r="1753" spans="1:18" x14ac:dyDescent="0.25">
      <c r="A1753" t="s">
        <v>1773</v>
      </c>
      <c r="B1753" s="1">
        <v>45922</v>
      </c>
      <c r="C1753" t="s">
        <v>28</v>
      </c>
      <c r="D1753">
        <v>39</v>
      </c>
      <c r="E1753" t="s">
        <v>14</v>
      </c>
      <c r="F1753">
        <v>12</v>
      </c>
      <c r="G1753" t="s">
        <v>15</v>
      </c>
      <c r="H1753">
        <v>0</v>
      </c>
      <c r="I1753">
        <v>50</v>
      </c>
      <c r="J1753">
        <v>5</v>
      </c>
      <c r="K1753" t="s">
        <v>16</v>
      </c>
      <c r="L1753" t="s">
        <v>17</v>
      </c>
      <c r="M1753">
        <f>IF(Table1[[#This Row],[ألغى الاشتراك]]="نعم",1,0)</f>
        <v>0</v>
      </c>
      <c r="N1753">
        <f>IF(Table1[[#This Row],[وسيلة الدفع]]="بطاقة",1,0)</f>
        <v>1</v>
      </c>
      <c r="O1753">
        <f>IF(Table1[[#This Row],[وسيلة الدفع]]="محفظة",1,0)</f>
        <v>0</v>
      </c>
      <c r="P1753">
        <f>IF(Table1[[#This Row],[وسيلة الدفع]]="تحويل",1,0)</f>
        <v>0</v>
      </c>
      <c r="Q1753">
        <f>IF(Table1[[#This Row],[حضر التهيئة]]="نعم",1,0)</f>
        <v>1</v>
      </c>
      <c r="R1753">
        <f>IF(Table1[[#This Row],[دورة الفوترة]]="شهري",1,0)</f>
        <v>1</v>
      </c>
    </row>
    <row r="1754" spans="1:18" x14ac:dyDescent="0.25">
      <c r="A1754" t="s">
        <v>1774</v>
      </c>
      <c r="B1754" s="1">
        <v>45592</v>
      </c>
      <c r="C1754" t="s">
        <v>19</v>
      </c>
      <c r="D1754">
        <v>189</v>
      </c>
      <c r="E1754" t="s">
        <v>20</v>
      </c>
      <c r="F1754">
        <v>22</v>
      </c>
      <c r="G1754" t="s">
        <v>23</v>
      </c>
      <c r="H1754">
        <v>2</v>
      </c>
      <c r="I1754">
        <v>10</v>
      </c>
      <c r="J1754">
        <v>0</v>
      </c>
      <c r="K1754" t="s">
        <v>17</v>
      </c>
      <c r="L1754" t="s">
        <v>16</v>
      </c>
      <c r="M1754">
        <f>IF(Table1[[#This Row],[ألغى الاشتراك]]="نعم",1,0)</f>
        <v>1</v>
      </c>
      <c r="N1754">
        <f>IF(Table1[[#This Row],[وسيلة الدفع]]="بطاقة",1,0)</f>
        <v>0</v>
      </c>
      <c r="O1754">
        <f>IF(Table1[[#This Row],[وسيلة الدفع]]="محفظة",1,0)</f>
        <v>0</v>
      </c>
      <c r="P1754">
        <f>IF(Table1[[#This Row],[وسيلة الدفع]]="تحويل",1,0)</f>
        <v>1</v>
      </c>
      <c r="Q1754">
        <f>IF(Table1[[#This Row],[حضر التهيئة]]="نعم",1,0)</f>
        <v>0</v>
      </c>
      <c r="R1754">
        <f>IF(Table1[[#This Row],[دورة الفوترة]]="شهري",1,0)</f>
        <v>0</v>
      </c>
    </row>
    <row r="1755" spans="1:18" x14ac:dyDescent="0.25">
      <c r="A1755" t="s">
        <v>1775</v>
      </c>
      <c r="B1755" s="1">
        <v>45509</v>
      </c>
      <c r="C1755" t="s">
        <v>19</v>
      </c>
      <c r="D1755">
        <v>189</v>
      </c>
      <c r="E1755" t="s">
        <v>14</v>
      </c>
      <c r="F1755">
        <v>9</v>
      </c>
      <c r="G1755" t="s">
        <v>21</v>
      </c>
      <c r="H1755">
        <v>2</v>
      </c>
      <c r="I1755">
        <v>9</v>
      </c>
      <c r="J1755">
        <v>25</v>
      </c>
      <c r="K1755" t="s">
        <v>16</v>
      </c>
      <c r="L1755" t="s">
        <v>17</v>
      </c>
      <c r="M1755">
        <f>IF(Table1[[#This Row],[ألغى الاشتراك]]="نعم",1,0)</f>
        <v>0</v>
      </c>
      <c r="N1755">
        <f>IF(Table1[[#This Row],[وسيلة الدفع]]="بطاقة",1,0)</f>
        <v>0</v>
      </c>
      <c r="O1755">
        <f>IF(Table1[[#This Row],[وسيلة الدفع]]="محفظة",1,0)</f>
        <v>1</v>
      </c>
      <c r="P1755">
        <f>IF(Table1[[#This Row],[وسيلة الدفع]]="تحويل",1,0)</f>
        <v>0</v>
      </c>
      <c r="Q1755">
        <f>IF(Table1[[#This Row],[حضر التهيئة]]="نعم",1,0)</f>
        <v>1</v>
      </c>
      <c r="R1755">
        <f>IF(Table1[[#This Row],[دورة الفوترة]]="شهري",1,0)</f>
        <v>1</v>
      </c>
    </row>
    <row r="1756" spans="1:18" x14ac:dyDescent="0.25">
      <c r="A1756" t="s">
        <v>1776</v>
      </c>
      <c r="B1756" s="1">
        <v>45580</v>
      </c>
      <c r="C1756" t="s">
        <v>19</v>
      </c>
      <c r="D1756">
        <v>189</v>
      </c>
      <c r="E1756" t="s">
        <v>20</v>
      </c>
      <c r="F1756">
        <v>23</v>
      </c>
      <c r="G1756" t="s">
        <v>15</v>
      </c>
      <c r="H1756">
        <v>9</v>
      </c>
      <c r="I1756">
        <v>31</v>
      </c>
      <c r="J1756">
        <v>10</v>
      </c>
      <c r="K1756" t="s">
        <v>17</v>
      </c>
      <c r="L1756" t="s">
        <v>16</v>
      </c>
      <c r="M1756">
        <f>IF(Table1[[#This Row],[ألغى الاشتراك]]="نعم",1,0)</f>
        <v>1</v>
      </c>
      <c r="N1756">
        <f>IF(Table1[[#This Row],[وسيلة الدفع]]="بطاقة",1,0)</f>
        <v>1</v>
      </c>
      <c r="O1756">
        <f>IF(Table1[[#This Row],[وسيلة الدفع]]="محفظة",1,0)</f>
        <v>0</v>
      </c>
      <c r="P1756">
        <f>IF(Table1[[#This Row],[وسيلة الدفع]]="تحويل",1,0)</f>
        <v>0</v>
      </c>
      <c r="Q1756">
        <f>IF(Table1[[#This Row],[حضر التهيئة]]="نعم",1,0)</f>
        <v>0</v>
      </c>
      <c r="R1756">
        <f>IF(Table1[[#This Row],[دورة الفوترة]]="شهري",1,0)</f>
        <v>0</v>
      </c>
    </row>
    <row r="1757" spans="1:18" x14ac:dyDescent="0.25">
      <c r="A1757" t="s">
        <v>1777</v>
      </c>
      <c r="B1757" s="1">
        <v>45969</v>
      </c>
      <c r="C1757" t="s">
        <v>28</v>
      </c>
      <c r="D1757">
        <v>39</v>
      </c>
      <c r="E1757" t="s">
        <v>14</v>
      </c>
      <c r="F1757">
        <v>1</v>
      </c>
      <c r="G1757" t="s">
        <v>21</v>
      </c>
      <c r="H1757">
        <v>1</v>
      </c>
      <c r="I1757">
        <v>51</v>
      </c>
      <c r="J1757">
        <v>0</v>
      </c>
      <c r="K1757" t="s">
        <v>16</v>
      </c>
      <c r="L1757" t="s">
        <v>17</v>
      </c>
      <c r="M1757">
        <f>IF(Table1[[#This Row],[ألغى الاشتراك]]="نعم",1,0)</f>
        <v>0</v>
      </c>
      <c r="N1757">
        <f>IF(Table1[[#This Row],[وسيلة الدفع]]="بطاقة",1,0)</f>
        <v>0</v>
      </c>
      <c r="O1757">
        <f>IF(Table1[[#This Row],[وسيلة الدفع]]="محفظة",1,0)</f>
        <v>1</v>
      </c>
      <c r="P1757">
        <f>IF(Table1[[#This Row],[وسيلة الدفع]]="تحويل",1,0)</f>
        <v>0</v>
      </c>
      <c r="Q1757">
        <f>IF(Table1[[#This Row],[حضر التهيئة]]="نعم",1,0)</f>
        <v>1</v>
      </c>
      <c r="R1757">
        <f>IF(Table1[[#This Row],[دورة الفوترة]]="شهري",1,0)</f>
        <v>1</v>
      </c>
    </row>
    <row r="1758" spans="1:18" x14ac:dyDescent="0.25">
      <c r="A1758" t="s">
        <v>1778</v>
      </c>
      <c r="B1758" s="1">
        <v>45513</v>
      </c>
      <c r="C1758" t="s">
        <v>19</v>
      </c>
      <c r="D1758">
        <v>189</v>
      </c>
      <c r="E1758" t="s">
        <v>20</v>
      </c>
      <c r="F1758">
        <v>10</v>
      </c>
      <c r="G1758" t="s">
        <v>15</v>
      </c>
      <c r="H1758">
        <v>2</v>
      </c>
      <c r="I1758">
        <v>4</v>
      </c>
      <c r="J1758">
        <v>0</v>
      </c>
      <c r="K1758" t="s">
        <v>17</v>
      </c>
      <c r="L1758" t="s">
        <v>17</v>
      </c>
      <c r="M1758">
        <f>IF(Table1[[#This Row],[ألغى الاشتراك]]="نعم",1,0)</f>
        <v>0</v>
      </c>
      <c r="N1758">
        <f>IF(Table1[[#This Row],[وسيلة الدفع]]="بطاقة",1,0)</f>
        <v>1</v>
      </c>
      <c r="O1758">
        <f>IF(Table1[[#This Row],[وسيلة الدفع]]="محفظة",1,0)</f>
        <v>0</v>
      </c>
      <c r="P1758">
        <f>IF(Table1[[#This Row],[وسيلة الدفع]]="تحويل",1,0)</f>
        <v>0</v>
      </c>
      <c r="Q1758">
        <f>IF(Table1[[#This Row],[حضر التهيئة]]="نعم",1,0)</f>
        <v>0</v>
      </c>
      <c r="R1758">
        <f>IF(Table1[[#This Row],[دورة الفوترة]]="شهري",1,0)</f>
        <v>0</v>
      </c>
    </row>
    <row r="1759" spans="1:18" x14ac:dyDescent="0.25">
      <c r="A1759" t="s">
        <v>1779</v>
      </c>
      <c r="B1759" s="1">
        <v>45906</v>
      </c>
      <c r="C1759" t="s">
        <v>13</v>
      </c>
      <c r="D1759">
        <v>89</v>
      </c>
      <c r="E1759" t="s">
        <v>20</v>
      </c>
      <c r="F1759">
        <v>11</v>
      </c>
      <c r="G1759" t="s">
        <v>15</v>
      </c>
      <c r="H1759">
        <v>2</v>
      </c>
      <c r="I1759">
        <v>3</v>
      </c>
      <c r="J1759">
        <v>0</v>
      </c>
      <c r="K1759" t="s">
        <v>17</v>
      </c>
      <c r="L1759" t="s">
        <v>17</v>
      </c>
      <c r="M1759">
        <f>IF(Table1[[#This Row],[ألغى الاشتراك]]="نعم",1,0)</f>
        <v>0</v>
      </c>
      <c r="N1759">
        <f>IF(Table1[[#This Row],[وسيلة الدفع]]="بطاقة",1,0)</f>
        <v>1</v>
      </c>
      <c r="O1759">
        <f>IF(Table1[[#This Row],[وسيلة الدفع]]="محفظة",1,0)</f>
        <v>0</v>
      </c>
      <c r="P1759">
        <f>IF(Table1[[#This Row],[وسيلة الدفع]]="تحويل",1,0)</f>
        <v>0</v>
      </c>
      <c r="Q1759">
        <f>IF(Table1[[#This Row],[حضر التهيئة]]="نعم",1,0)</f>
        <v>0</v>
      </c>
      <c r="R1759">
        <f>IF(Table1[[#This Row],[دورة الفوترة]]="شهري",1,0)</f>
        <v>0</v>
      </c>
    </row>
    <row r="1760" spans="1:18" x14ac:dyDescent="0.25">
      <c r="A1760" t="s">
        <v>1780</v>
      </c>
      <c r="B1760" s="1">
        <v>45866</v>
      </c>
      <c r="C1760" t="s">
        <v>13</v>
      </c>
      <c r="D1760">
        <v>89</v>
      </c>
      <c r="E1760" t="s">
        <v>20</v>
      </c>
      <c r="F1760">
        <v>8</v>
      </c>
      <c r="G1760" t="s">
        <v>23</v>
      </c>
      <c r="H1760">
        <v>8</v>
      </c>
      <c r="I1760">
        <v>58</v>
      </c>
      <c r="J1760">
        <v>15</v>
      </c>
      <c r="K1760" t="s">
        <v>17</v>
      </c>
      <c r="L1760" t="s">
        <v>16</v>
      </c>
      <c r="M1760">
        <f>IF(Table1[[#This Row],[ألغى الاشتراك]]="نعم",1,0)</f>
        <v>1</v>
      </c>
      <c r="N1760">
        <f>IF(Table1[[#This Row],[وسيلة الدفع]]="بطاقة",1,0)</f>
        <v>0</v>
      </c>
      <c r="O1760">
        <f>IF(Table1[[#This Row],[وسيلة الدفع]]="محفظة",1,0)</f>
        <v>0</v>
      </c>
      <c r="P1760">
        <f>IF(Table1[[#This Row],[وسيلة الدفع]]="تحويل",1,0)</f>
        <v>1</v>
      </c>
      <c r="Q1760">
        <f>IF(Table1[[#This Row],[حضر التهيئة]]="نعم",1,0)</f>
        <v>0</v>
      </c>
      <c r="R1760">
        <f>IF(Table1[[#This Row],[دورة الفوترة]]="شهري",1,0)</f>
        <v>0</v>
      </c>
    </row>
    <row r="1761" spans="1:18" x14ac:dyDescent="0.25">
      <c r="A1761" t="s">
        <v>1781</v>
      </c>
      <c r="B1761" s="1">
        <v>45521</v>
      </c>
      <c r="C1761" t="s">
        <v>13</v>
      </c>
      <c r="D1761">
        <v>89</v>
      </c>
      <c r="E1761" t="s">
        <v>20</v>
      </c>
      <c r="F1761">
        <v>8</v>
      </c>
      <c r="G1761" t="s">
        <v>23</v>
      </c>
      <c r="H1761">
        <v>4</v>
      </c>
      <c r="I1761">
        <v>14</v>
      </c>
      <c r="J1761">
        <v>0</v>
      </c>
      <c r="K1761" t="s">
        <v>17</v>
      </c>
      <c r="L1761" t="s">
        <v>17</v>
      </c>
      <c r="M1761">
        <f>IF(Table1[[#This Row],[ألغى الاشتراك]]="نعم",1,0)</f>
        <v>0</v>
      </c>
      <c r="N1761">
        <f>IF(Table1[[#This Row],[وسيلة الدفع]]="بطاقة",1,0)</f>
        <v>0</v>
      </c>
      <c r="O1761">
        <f>IF(Table1[[#This Row],[وسيلة الدفع]]="محفظة",1,0)</f>
        <v>0</v>
      </c>
      <c r="P1761">
        <f>IF(Table1[[#This Row],[وسيلة الدفع]]="تحويل",1,0)</f>
        <v>1</v>
      </c>
      <c r="Q1761">
        <f>IF(Table1[[#This Row],[حضر التهيئة]]="نعم",1,0)</f>
        <v>0</v>
      </c>
      <c r="R1761">
        <f>IF(Table1[[#This Row],[دورة الفوترة]]="شهري",1,0)</f>
        <v>0</v>
      </c>
    </row>
    <row r="1762" spans="1:18" x14ac:dyDescent="0.25">
      <c r="A1762" t="s">
        <v>1782</v>
      </c>
      <c r="B1762" s="1">
        <v>45659</v>
      </c>
      <c r="C1762" t="s">
        <v>13</v>
      </c>
      <c r="D1762">
        <v>89</v>
      </c>
      <c r="E1762" t="s">
        <v>14</v>
      </c>
      <c r="F1762">
        <v>19</v>
      </c>
      <c r="G1762" t="s">
        <v>15</v>
      </c>
      <c r="H1762">
        <v>2</v>
      </c>
      <c r="I1762">
        <v>39</v>
      </c>
      <c r="J1762">
        <v>0</v>
      </c>
      <c r="K1762" t="s">
        <v>16</v>
      </c>
      <c r="L1762" t="s">
        <v>17</v>
      </c>
      <c r="M1762">
        <f>IF(Table1[[#This Row],[ألغى الاشتراك]]="نعم",1,0)</f>
        <v>0</v>
      </c>
      <c r="N1762">
        <f>IF(Table1[[#This Row],[وسيلة الدفع]]="بطاقة",1,0)</f>
        <v>1</v>
      </c>
      <c r="O1762">
        <f>IF(Table1[[#This Row],[وسيلة الدفع]]="محفظة",1,0)</f>
        <v>0</v>
      </c>
      <c r="P1762">
        <f>IF(Table1[[#This Row],[وسيلة الدفع]]="تحويل",1,0)</f>
        <v>0</v>
      </c>
      <c r="Q1762">
        <f>IF(Table1[[#This Row],[حضر التهيئة]]="نعم",1,0)</f>
        <v>1</v>
      </c>
      <c r="R1762">
        <f>IF(Table1[[#This Row],[دورة الفوترة]]="شهري",1,0)</f>
        <v>1</v>
      </c>
    </row>
    <row r="1763" spans="1:18" x14ac:dyDescent="0.25">
      <c r="A1763" t="s">
        <v>1783</v>
      </c>
      <c r="B1763" s="1">
        <v>45981</v>
      </c>
      <c r="C1763" t="s">
        <v>13</v>
      </c>
      <c r="D1763">
        <v>89</v>
      </c>
      <c r="E1763" t="s">
        <v>14</v>
      </c>
      <c r="F1763">
        <v>24</v>
      </c>
      <c r="G1763" t="s">
        <v>15</v>
      </c>
      <c r="H1763">
        <v>2</v>
      </c>
      <c r="I1763">
        <v>28</v>
      </c>
      <c r="J1763">
        <v>15</v>
      </c>
      <c r="K1763" t="s">
        <v>17</v>
      </c>
      <c r="L1763" t="s">
        <v>17</v>
      </c>
      <c r="M1763">
        <f>IF(Table1[[#This Row],[ألغى الاشتراك]]="نعم",1,0)</f>
        <v>0</v>
      </c>
      <c r="N1763">
        <f>IF(Table1[[#This Row],[وسيلة الدفع]]="بطاقة",1,0)</f>
        <v>1</v>
      </c>
      <c r="O1763">
        <f>IF(Table1[[#This Row],[وسيلة الدفع]]="محفظة",1,0)</f>
        <v>0</v>
      </c>
      <c r="P1763">
        <f>IF(Table1[[#This Row],[وسيلة الدفع]]="تحويل",1,0)</f>
        <v>0</v>
      </c>
      <c r="Q1763">
        <f>IF(Table1[[#This Row],[حضر التهيئة]]="نعم",1,0)</f>
        <v>0</v>
      </c>
      <c r="R1763">
        <f>IF(Table1[[#This Row],[دورة الفوترة]]="شهري",1,0)</f>
        <v>1</v>
      </c>
    </row>
    <row r="1764" spans="1:18" x14ac:dyDescent="0.25">
      <c r="A1764" t="s">
        <v>1784</v>
      </c>
      <c r="B1764" s="1">
        <v>45902</v>
      </c>
      <c r="C1764" t="s">
        <v>28</v>
      </c>
      <c r="D1764">
        <v>39</v>
      </c>
      <c r="E1764" t="s">
        <v>14</v>
      </c>
      <c r="F1764">
        <v>24</v>
      </c>
      <c r="G1764" t="s">
        <v>15</v>
      </c>
      <c r="H1764">
        <v>1</v>
      </c>
      <c r="I1764">
        <v>4</v>
      </c>
      <c r="J1764">
        <v>5</v>
      </c>
      <c r="K1764" t="s">
        <v>16</v>
      </c>
      <c r="L1764" t="s">
        <v>17</v>
      </c>
      <c r="M1764">
        <f>IF(Table1[[#This Row],[ألغى الاشتراك]]="نعم",1,0)</f>
        <v>0</v>
      </c>
      <c r="N1764">
        <f>IF(Table1[[#This Row],[وسيلة الدفع]]="بطاقة",1,0)</f>
        <v>1</v>
      </c>
      <c r="O1764">
        <f>IF(Table1[[#This Row],[وسيلة الدفع]]="محفظة",1,0)</f>
        <v>0</v>
      </c>
      <c r="P1764">
        <f>IF(Table1[[#This Row],[وسيلة الدفع]]="تحويل",1,0)</f>
        <v>0</v>
      </c>
      <c r="Q1764">
        <f>IF(Table1[[#This Row],[حضر التهيئة]]="نعم",1,0)</f>
        <v>1</v>
      </c>
      <c r="R1764">
        <f>IF(Table1[[#This Row],[دورة الفوترة]]="شهري",1,0)</f>
        <v>1</v>
      </c>
    </row>
    <row r="1765" spans="1:18" x14ac:dyDescent="0.25">
      <c r="A1765" t="s">
        <v>1785</v>
      </c>
      <c r="B1765" s="1">
        <v>45989</v>
      </c>
      <c r="C1765" t="s">
        <v>13</v>
      </c>
      <c r="D1765">
        <v>89</v>
      </c>
      <c r="E1765" t="s">
        <v>14</v>
      </c>
      <c r="F1765">
        <v>6</v>
      </c>
      <c r="G1765" t="s">
        <v>15</v>
      </c>
      <c r="H1765">
        <v>1</v>
      </c>
      <c r="I1765">
        <v>46</v>
      </c>
      <c r="J1765">
        <v>15</v>
      </c>
      <c r="K1765" t="s">
        <v>16</v>
      </c>
      <c r="L1765" t="s">
        <v>17</v>
      </c>
      <c r="M1765">
        <f>IF(Table1[[#This Row],[ألغى الاشتراك]]="نعم",1,0)</f>
        <v>0</v>
      </c>
      <c r="N1765">
        <f>IF(Table1[[#This Row],[وسيلة الدفع]]="بطاقة",1,0)</f>
        <v>1</v>
      </c>
      <c r="O1765">
        <f>IF(Table1[[#This Row],[وسيلة الدفع]]="محفظة",1,0)</f>
        <v>0</v>
      </c>
      <c r="P1765">
        <f>IF(Table1[[#This Row],[وسيلة الدفع]]="تحويل",1,0)</f>
        <v>0</v>
      </c>
      <c r="Q1765">
        <f>IF(Table1[[#This Row],[حضر التهيئة]]="نعم",1,0)</f>
        <v>1</v>
      </c>
      <c r="R1765">
        <f>IF(Table1[[#This Row],[دورة الفوترة]]="شهري",1,0)</f>
        <v>1</v>
      </c>
    </row>
    <row r="1766" spans="1:18" x14ac:dyDescent="0.25">
      <c r="A1766" t="s">
        <v>1786</v>
      </c>
      <c r="B1766" s="1">
        <v>45509</v>
      </c>
      <c r="C1766" t="s">
        <v>13</v>
      </c>
      <c r="D1766">
        <v>89</v>
      </c>
      <c r="E1766" t="s">
        <v>20</v>
      </c>
      <c r="F1766">
        <v>24</v>
      </c>
      <c r="G1766" t="s">
        <v>23</v>
      </c>
      <c r="H1766">
        <v>2</v>
      </c>
      <c r="I1766">
        <v>42</v>
      </c>
      <c r="J1766">
        <v>0</v>
      </c>
      <c r="K1766" t="s">
        <v>17</v>
      </c>
      <c r="L1766" t="s">
        <v>17</v>
      </c>
      <c r="M1766">
        <f>IF(Table1[[#This Row],[ألغى الاشتراك]]="نعم",1,0)</f>
        <v>0</v>
      </c>
      <c r="N1766">
        <f>IF(Table1[[#This Row],[وسيلة الدفع]]="بطاقة",1,0)</f>
        <v>0</v>
      </c>
      <c r="O1766">
        <f>IF(Table1[[#This Row],[وسيلة الدفع]]="محفظة",1,0)</f>
        <v>0</v>
      </c>
      <c r="P1766">
        <f>IF(Table1[[#This Row],[وسيلة الدفع]]="تحويل",1,0)</f>
        <v>1</v>
      </c>
      <c r="Q1766">
        <f>IF(Table1[[#This Row],[حضر التهيئة]]="نعم",1,0)</f>
        <v>0</v>
      </c>
      <c r="R1766">
        <f>IF(Table1[[#This Row],[دورة الفوترة]]="شهري",1,0)</f>
        <v>0</v>
      </c>
    </row>
    <row r="1767" spans="1:18" x14ac:dyDescent="0.25">
      <c r="A1767" t="s">
        <v>1787</v>
      </c>
      <c r="B1767" s="1">
        <v>45906</v>
      </c>
      <c r="C1767" t="s">
        <v>19</v>
      </c>
      <c r="D1767">
        <v>189</v>
      </c>
      <c r="E1767" t="s">
        <v>14</v>
      </c>
      <c r="F1767">
        <v>27</v>
      </c>
      <c r="G1767" t="s">
        <v>15</v>
      </c>
      <c r="H1767">
        <v>0</v>
      </c>
      <c r="I1767">
        <v>47</v>
      </c>
      <c r="J1767">
        <v>0</v>
      </c>
      <c r="K1767" t="s">
        <v>16</v>
      </c>
      <c r="L1767" t="s">
        <v>17</v>
      </c>
      <c r="M1767">
        <f>IF(Table1[[#This Row],[ألغى الاشتراك]]="نعم",1,0)</f>
        <v>0</v>
      </c>
      <c r="N1767">
        <f>IF(Table1[[#This Row],[وسيلة الدفع]]="بطاقة",1,0)</f>
        <v>1</v>
      </c>
      <c r="O1767">
        <f>IF(Table1[[#This Row],[وسيلة الدفع]]="محفظة",1,0)</f>
        <v>0</v>
      </c>
      <c r="P1767">
        <f>IF(Table1[[#This Row],[وسيلة الدفع]]="تحويل",1,0)</f>
        <v>0</v>
      </c>
      <c r="Q1767">
        <f>IF(Table1[[#This Row],[حضر التهيئة]]="نعم",1,0)</f>
        <v>1</v>
      </c>
      <c r="R1767">
        <f>IF(Table1[[#This Row],[دورة الفوترة]]="شهري",1,0)</f>
        <v>1</v>
      </c>
    </row>
    <row r="1768" spans="1:18" x14ac:dyDescent="0.25">
      <c r="A1768" t="s">
        <v>1788</v>
      </c>
      <c r="B1768" s="1">
        <v>45349</v>
      </c>
      <c r="C1768" t="s">
        <v>13</v>
      </c>
      <c r="D1768">
        <v>89</v>
      </c>
      <c r="E1768" t="s">
        <v>20</v>
      </c>
      <c r="F1768">
        <v>4</v>
      </c>
      <c r="G1768" t="s">
        <v>15</v>
      </c>
      <c r="H1768">
        <v>6</v>
      </c>
      <c r="I1768">
        <v>42</v>
      </c>
      <c r="J1768">
        <v>0</v>
      </c>
      <c r="K1768" t="s">
        <v>16</v>
      </c>
      <c r="L1768" t="s">
        <v>17</v>
      </c>
      <c r="M1768">
        <f>IF(Table1[[#This Row],[ألغى الاشتراك]]="نعم",1,0)</f>
        <v>0</v>
      </c>
      <c r="N1768">
        <f>IF(Table1[[#This Row],[وسيلة الدفع]]="بطاقة",1,0)</f>
        <v>1</v>
      </c>
      <c r="O1768">
        <f>IF(Table1[[#This Row],[وسيلة الدفع]]="محفظة",1,0)</f>
        <v>0</v>
      </c>
      <c r="P1768">
        <f>IF(Table1[[#This Row],[وسيلة الدفع]]="تحويل",1,0)</f>
        <v>0</v>
      </c>
      <c r="Q1768">
        <f>IF(Table1[[#This Row],[حضر التهيئة]]="نعم",1,0)</f>
        <v>1</v>
      </c>
      <c r="R1768">
        <f>IF(Table1[[#This Row],[دورة الفوترة]]="شهري",1,0)</f>
        <v>0</v>
      </c>
    </row>
    <row r="1769" spans="1:18" x14ac:dyDescent="0.25">
      <c r="A1769" t="s">
        <v>1789</v>
      </c>
      <c r="B1769" s="1">
        <v>45858</v>
      </c>
      <c r="C1769" t="s">
        <v>28</v>
      </c>
      <c r="D1769">
        <v>39</v>
      </c>
      <c r="E1769" t="s">
        <v>20</v>
      </c>
      <c r="F1769">
        <v>25</v>
      </c>
      <c r="G1769" t="s">
        <v>21</v>
      </c>
      <c r="H1769">
        <v>2</v>
      </c>
      <c r="I1769">
        <v>17</v>
      </c>
      <c r="J1769">
        <v>0</v>
      </c>
      <c r="K1769" t="s">
        <v>16</v>
      </c>
      <c r="L1769" t="s">
        <v>17</v>
      </c>
      <c r="M1769">
        <f>IF(Table1[[#This Row],[ألغى الاشتراك]]="نعم",1,0)</f>
        <v>0</v>
      </c>
      <c r="N1769">
        <f>IF(Table1[[#This Row],[وسيلة الدفع]]="بطاقة",1,0)</f>
        <v>0</v>
      </c>
      <c r="O1769">
        <f>IF(Table1[[#This Row],[وسيلة الدفع]]="محفظة",1,0)</f>
        <v>1</v>
      </c>
      <c r="P1769">
        <f>IF(Table1[[#This Row],[وسيلة الدفع]]="تحويل",1,0)</f>
        <v>0</v>
      </c>
      <c r="Q1769">
        <f>IF(Table1[[#This Row],[حضر التهيئة]]="نعم",1,0)</f>
        <v>1</v>
      </c>
      <c r="R1769">
        <f>IF(Table1[[#This Row],[دورة الفوترة]]="شهري",1,0)</f>
        <v>0</v>
      </c>
    </row>
    <row r="1770" spans="1:18" x14ac:dyDescent="0.25">
      <c r="A1770" t="s">
        <v>1790</v>
      </c>
      <c r="B1770" s="1">
        <v>45395</v>
      </c>
      <c r="C1770" t="s">
        <v>13</v>
      </c>
      <c r="D1770">
        <v>89</v>
      </c>
      <c r="E1770" t="s">
        <v>20</v>
      </c>
      <c r="F1770">
        <v>18</v>
      </c>
      <c r="G1770" t="s">
        <v>23</v>
      </c>
      <c r="H1770">
        <v>0</v>
      </c>
      <c r="I1770">
        <v>6</v>
      </c>
      <c r="J1770">
        <v>0</v>
      </c>
      <c r="K1770" t="s">
        <v>16</v>
      </c>
      <c r="L1770" t="s">
        <v>17</v>
      </c>
      <c r="M1770">
        <f>IF(Table1[[#This Row],[ألغى الاشتراك]]="نعم",1,0)</f>
        <v>0</v>
      </c>
      <c r="N1770">
        <f>IF(Table1[[#This Row],[وسيلة الدفع]]="بطاقة",1,0)</f>
        <v>0</v>
      </c>
      <c r="O1770">
        <f>IF(Table1[[#This Row],[وسيلة الدفع]]="محفظة",1,0)</f>
        <v>0</v>
      </c>
      <c r="P1770">
        <f>IF(Table1[[#This Row],[وسيلة الدفع]]="تحويل",1,0)</f>
        <v>1</v>
      </c>
      <c r="Q1770">
        <f>IF(Table1[[#This Row],[حضر التهيئة]]="نعم",1,0)</f>
        <v>1</v>
      </c>
      <c r="R1770">
        <f>IF(Table1[[#This Row],[دورة الفوترة]]="شهري",1,0)</f>
        <v>0</v>
      </c>
    </row>
    <row r="1771" spans="1:18" x14ac:dyDescent="0.25">
      <c r="A1771" t="s">
        <v>1791</v>
      </c>
      <c r="B1771" s="1">
        <v>45671</v>
      </c>
      <c r="C1771" t="s">
        <v>28</v>
      </c>
      <c r="D1771">
        <v>39</v>
      </c>
      <c r="E1771" t="s">
        <v>20</v>
      </c>
      <c r="F1771">
        <v>7</v>
      </c>
      <c r="G1771" t="s">
        <v>23</v>
      </c>
      <c r="H1771">
        <v>1</v>
      </c>
      <c r="I1771">
        <v>45</v>
      </c>
      <c r="J1771">
        <v>0</v>
      </c>
      <c r="K1771" t="s">
        <v>16</v>
      </c>
      <c r="L1771" t="s">
        <v>17</v>
      </c>
      <c r="M1771">
        <f>IF(Table1[[#This Row],[ألغى الاشتراك]]="نعم",1,0)</f>
        <v>0</v>
      </c>
      <c r="N1771">
        <f>IF(Table1[[#This Row],[وسيلة الدفع]]="بطاقة",1,0)</f>
        <v>0</v>
      </c>
      <c r="O1771">
        <f>IF(Table1[[#This Row],[وسيلة الدفع]]="محفظة",1,0)</f>
        <v>0</v>
      </c>
      <c r="P1771">
        <f>IF(Table1[[#This Row],[وسيلة الدفع]]="تحويل",1,0)</f>
        <v>1</v>
      </c>
      <c r="Q1771">
        <f>IF(Table1[[#This Row],[حضر التهيئة]]="نعم",1,0)</f>
        <v>1</v>
      </c>
      <c r="R1771">
        <f>IF(Table1[[#This Row],[دورة الفوترة]]="شهري",1,0)</f>
        <v>0</v>
      </c>
    </row>
    <row r="1772" spans="1:18" x14ac:dyDescent="0.25">
      <c r="A1772" t="s">
        <v>1792</v>
      </c>
      <c r="B1772" s="1">
        <v>45572</v>
      </c>
      <c r="C1772" t="s">
        <v>13</v>
      </c>
      <c r="D1772">
        <v>89</v>
      </c>
      <c r="E1772" t="s">
        <v>20</v>
      </c>
      <c r="F1772">
        <v>30</v>
      </c>
      <c r="G1772" t="s">
        <v>21</v>
      </c>
      <c r="H1772">
        <v>2</v>
      </c>
      <c r="I1772">
        <v>20</v>
      </c>
      <c r="J1772">
        <v>0</v>
      </c>
      <c r="K1772" t="s">
        <v>16</v>
      </c>
      <c r="L1772" t="s">
        <v>17</v>
      </c>
      <c r="M1772">
        <f>IF(Table1[[#This Row],[ألغى الاشتراك]]="نعم",1,0)</f>
        <v>0</v>
      </c>
      <c r="N1772">
        <f>IF(Table1[[#This Row],[وسيلة الدفع]]="بطاقة",1,0)</f>
        <v>0</v>
      </c>
      <c r="O1772">
        <f>IF(Table1[[#This Row],[وسيلة الدفع]]="محفظة",1,0)</f>
        <v>1</v>
      </c>
      <c r="P1772">
        <f>IF(Table1[[#This Row],[وسيلة الدفع]]="تحويل",1,0)</f>
        <v>0</v>
      </c>
      <c r="Q1772">
        <f>IF(Table1[[#This Row],[حضر التهيئة]]="نعم",1,0)</f>
        <v>1</v>
      </c>
      <c r="R1772">
        <f>IF(Table1[[#This Row],[دورة الفوترة]]="شهري",1,0)</f>
        <v>0</v>
      </c>
    </row>
    <row r="1773" spans="1:18" x14ac:dyDescent="0.25">
      <c r="A1773" t="s">
        <v>1793</v>
      </c>
      <c r="B1773" s="1">
        <v>45965</v>
      </c>
      <c r="C1773" t="s">
        <v>13</v>
      </c>
      <c r="D1773">
        <v>89</v>
      </c>
      <c r="E1773" t="s">
        <v>14</v>
      </c>
      <c r="F1773">
        <v>3</v>
      </c>
      <c r="G1773" t="s">
        <v>23</v>
      </c>
      <c r="H1773">
        <v>1</v>
      </c>
      <c r="I1773">
        <v>51</v>
      </c>
      <c r="J1773">
        <v>0</v>
      </c>
      <c r="K1773" t="s">
        <v>17</v>
      </c>
      <c r="L1773" t="s">
        <v>17</v>
      </c>
      <c r="M1773">
        <f>IF(Table1[[#This Row],[ألغى الاشتراك]]="نعم",1,0)</f>
        <v>0</v>
      </c>
      <c r="N1773">
        <f>IF(Table1[[#This Row],[وسيلة الدفع]]="بطاقة",1,0)</f>
        <v>0</v>
      </c>
      <c r="O1773">
        <f>IF(Table1[[#This Row],[وسيلة الدفع]]="محفظة",1,0)</f>
        <v>0</v>
      </c>
      <c r="P1773">
        <f>IF(Table1[[#This Row],[وسيلة الدفع]]="تحويل",1,0)</f>
        <v>1</v>
      </c>
      <c r="Q1773">
        <f>IF(Table1[[#This Row],[حضر التهيئة]]="نعم",1,0)</f>
        <v>0</v>
      </c>
      <c r="R1773">
        <f>IF(Table1[[#This Row],[دورة الفوترة]]="شهري",1,0)</f>
        <v>1</v>
      </c>
    </row>
    <row r="1774" spans="1:18" x14ac:dyDescent="0.25">
      <c r="A1774" t="s">
        <v>1794</v>
      </c>
      <c r="B1774" s="1">
        <v>45383</v>
      </c>
      <c r="C1774" t="s">
        <v>19</v>
      </c>
      <c r="D1774">
        <v>189</v>
      </c>
      <c r="E1774" t="s">
        <v>14</v>
      </c>
      <c r="F1774">
        <v>14</v>
      </c>
      <c r="G1774" t="s">
        <v>15</v>
      </c>
      <c r="H1774">
        <v>8</v>
      </c>
      <c r="I1774">
        <v>10</v>
      </c>
      <c r="J1774">
        <v>0</v>
      </c>
      <c r="K1774" t="s">
        <v>16</v>
      </c>
      <c r="L1774" t="s">
        <v>16</v>
      </c>
      <c r="M1774">
        <f>IF(Table1[[#This Row],[ألغى الاشتراك]]="نعم",1,0)</f>
        <v>1</v>
      </c>
      <c r="N1774">
        <f>IF(Table1[[#This Row],[وسيلة الدفع]]="بطاقة",1,0)</f>
        <v>1</v>
      </c>
      <c r="O1774">
        <f>IF(Table1[[#This Row],[وسيلة الدفع]]="محفظة",1,0)</f>
        <v>0</v>
      </c>
      <c r="P1774">
        <f>IF(Table1[[#This Row],[وسيلة الدفع]]="تحويل",1,0)</f>
        <v>0</v>
      </c>
      <c r="Q1774">
        <f>IF(Table1[[#This Row],[حضر التهيئة]]="نعم",1,0)</f>
        <v>1</v>
      </c>
      <c r="R1774">
        <f>IF(Table1[[#This Row],[دورة الفوترة]]="شهري",1,0)</f>
        <v>1</v>
      </c>
    </row>
    <row r="1775" spans="1:18" x14ac:dyDescent="0.25">
      <c r="A1775" t="s">
        <v>1795</v>
      </c>
      <c r="B1775" s="1">
        <v>45906</v>
      </c>
      <c r="C1775" t="s">
        <v>13</v>
      </c>
      <c r="D1775">
        <v>89</v>
      </c>
      <c r="E1775" t="s">
        <v>14</v>
      </c>
      <c r="F1775">
        <v>7</v>
      </c>
      <c r="G1775" t="s">
        <v>15</v>
      </c>
      <c r="H1775">
        <v>10</v>
      </c>
      <c r="I1775">
        <v>19</v>
      </c>
      <c r="J1775">
        <v>0</v>
      </c>
      <c r="K1775" t="s">
        <v>17</v>
      </c>
      <c r="L1775" t="s">
        <v>17</v>
      </c>
      <c r="M1775">
        <f>IF(Table1[[#This Row],[ألغى الاشتراك]]="نعم",1,0)</f>
        <v>0</v>
      </c>
      <c r="N1775">
        <f>IF(Table1[[#This Row],[وسيلة الدفع]]="بطاقة",1,0)</f>
        <v>1</v>
      </c>
      <c r="O1775">
        <f>IF(Table1[[#This Row],[وسيلة الدفع]]="محفظة",1,0)</f>
        <v>0</v>
      </c>
      <c r="P1775">
        <f>IF(Table1[[#This Row],[وسيلة الدفع]]="تحويل",1,0)</f>
        <v>0</v>
      </c>
      <c r="Q1775">
        <f>IF(Table1[[#This Row],[حضر التهيئة]]="نعم",1,0)</f>
        <v>0</v>
      </c>
      <c r="R1775">
        <f>IF(Table1[[#This Row],[دورة الفوترة]]="شهري",1,0)</f>
        <v>1</v>
      </c>
    </row>
    <row r="1776" spans="1:18" x14ac:dyDescent="0.25">
      <c r="A1776" t="s">
        <v>1796</v>
      </c>
      <c r="B1776" s="1">
        <v>45345</v>
      </c>
      <c r="C1776" t="s">
        <v>19</v>
      </c>
      <c r="D1776">
        <v>189</v>
      </c>
      <c r="E1776" t="s">
        <v>14</v>
      </c>
      <c r="F1776">
        <v>28</v>
      </c>
      <c r="G1776" t="s">
        <v>23</v>
      </c>
      <c r="H1776">
        <v>0</v>
      </c>
      <c r="I1776">
        <v>54</v>
      </c>
      <c r="J1776">
        <v>0</v>
      </c>
      <c r="K1776" t="s">
        <v>17</v>
      </c>
      <c r="L1776" t="s">
        <v>17</v>
      </c>
      <c r="M1776">
        <f>IF(Table1[[#This Row],[ألغى الاشتراك]]="نعم",1,0)</f>
        <v>0</v>
      </c>
      <c r="N1776">
        <f>IF(Table1[[#This Row],[وسيلة الدفع]]="بطاقة",1,0)</f>
        <v>0</v>
      </c>
      <c r="O1776">
        <f>IF(Table1[[#This Row],[وسيلة الدفع]]="محفظة",1,0)</f>
        <v>0</v>
      </c>
      <c r="P1776">
        <f>IF(Table1[[#This Row],[وسيلة الدفع]]="تحويل",1,0)</f>
        <v>1</v>
      </c>
      <c r="Q1776">
        <f>IF(Table1[[#This Row],[حضر التهيئة]]="نعم",1,0)</f>
        <v>0</v>
      </c>
      <c r="R1776">
        <f>IF(Table1[[#This Row],[دورة الفوترة]]="شهري",1,0)</f>
        <v>1</v>
      </c>
    </row>
    <row r="1777" spans="1:18" x14ac:dyDescent="0.25">
      <c r="A1777" t="s">
        <v>1797</v>
      </c>
      <c r="B1777" s="1">
        <v>45965</v>
      </c>
      <c r="C1777" t="s">
        <v>19</v>
      </c>
      <c r="D1777">
        <v>189</v>
      </c>
      <c r="E1777" t="s">
        <v>14</v>
      </c>
      <c r="F1777">
        <v>13</v>
      </c>
      <c r="G1777" t="s">
        <v>23</v>
      </c>
      <c r="H1777">
        <v>0</v>
      </c>
      <c r="I1777">
        <v>55</v>
      </c>
      <c r="J1777">
        <v>0</v>
      </c>
      <c r="K1777" t="s">
        <v>17</v>
      </c>
      <c r="L1777" t="s">
        <v>17</v>
      </c>
      <c r="M1777">
        <f>IF(Table1[[#This Row],[ألغى الاشتراك]]="نعم",1,0)</f>
        <v>0</v>
      </c>
      <c r="N1777">
        <f>IF(Table1[[#This Row],[وسيلة الدفع]]="بطاقة",1,0)</f>
        <v>0</v>
      </c>
      <c r="O1777">
        <f>IF(Table1[[#This Row],[وسيلة الدفع]]="محفظة",1,0)</f>
        <v>0</v>
      </c>
      <c r="P1777">
        <f>IF(Table1[[#This Row],[وسيلة الدفع]]="تحويل",1,0)</f>
        <v>1</v>
      </c>
      <c r="Q1777">
        <f>IF(Table1[[#This Row],[حضر التهيئة]]="نعم",1,0)</f>
        <v>0</v>
      </c>
      <c r="R1777">
        <f>IF(Table1[[#This Row],[دورة الفوترة]]="شهري",1,0)</f>
        <v>1</v>
      </c>
    </row>
    <row r="1778" spans="1:18" x14ac:dyDescent="0.25">
      <c r="A1778" t="s">
        <v>1798</v>
      </c>
      <c r="B1778" s="1">
        <v>45399</v>
      </c>
      <c r="C1778" t="s">
        <v>19</v>
      </c>
      <c r="D1778">
        <v>189</v>
      </c>
      <c r="E1778" t="s">
        <v>20</v>
      </c>
      <c r="F1778">
        <v>18</v>
      </c>
      <c r="G1778" t="s">
        <v>15</v>
      </c>
      <c r="H1778">
        <v>0</v>
      </c>
      <c r="I1778">
        <v>10</v>
      </c>
      <c r="J1778">
        <v>0</v>
      </c>
      <c r="K1778" t="s">
        <v>16</v>
      </c>
      <c r="L1778" t="s">
        <v>16</v>
      </c>
      <c r="M1778">
        <f>IF(Table1[[#This Row],[ألغى الاشتراك]]="نعم",1,0)</f>
        <v>1</v>
      </c>
      <c r="N1778">
        <f>IF(Table1[[#This Row],[وسيلة الدفع]]="بطاقة",1,0)</f>
        <v>1</v>
      </c>
      <c r="O1778">
        <f>IF(Table1[[#This Row],[وسيلة الدفع]]="محفظة",1,0)</f>
        <v>0</v>
      </c>
      <c r="P1778">
        <f>IF(Table1[[#This Row],[وسيلة الدفع]]="تحويل",1,0)</f>
        <v>0</v>
      </c>
      <c r="Q1778">
        <f>IF(Table1[[#This Row],[حضر التهيئة]]="نعم",1,0)</f>
        <v>1</v>
      </c>
      <c r="R1778">
        <f>IF(Table1[[#This Row],[دورة الفوترة]]="شهري",1,0)</f>
        <v>0</v>
      </c>
    </row>
    <row r="1779" spans="1:18" x14ac:dyDescent="0.25">
      <c r="A1779" t="s">
        <v>1799</v>
      </c>
      <c r="B1779" s="1">
        <v>45659</v>
      </c>
      <c r="C1779" t="s">
        <v>19</v>
      </c>
      <c r="D1779">
        <v>189</v>
      </c>
      <c r="E1779" t="s">
        <v>14</v>
      </c>
      <c r="F1779">
        <v>9</v>
      </c>
      <c r="G1779" t="s">
        <v>23</v>
      </c>
      <c r="H1779">
        <v>1</v>
      </c>
      <c r="I1779">
        <v>11</v>
      </c>
      <c r="J1779">
        <v>0</v>
      </c>
      <c r="K1779" t="s">
        <v>16</v>
      </c>
      <c r="L1779" t="s">
        <v>17</v>
      </c>
      <c r="M1779">
        <f>IF(Table1[[#This Row],[ألغى الاشتراك]]="نعم",1,0)</f>
        <v>0</v>
      </c>
      <c r="N1779">
        <f>IF(Table1[[#This Row],[وسيلة الدفع]]="بطاقة",1,0)</f>
        <v>0</v>
      </c>
      <c r="O1779">
        <f>IF(Table1[[#This Row],[وسيلة الدفع]]="محفظة",1,0)</f>
        <v>0</v>
      </c>
      <c r="P1779">
        <f>IF(Table1[[#This Row],[وسيلة الدفع]]="تحويل",1,0)</f>
        <v>1</v>
      </c>
      <c r="Q1779">
        <f>IF(Table1[[#This Row],[حضر التهيئة]]="نعم",1,0)</f>
        <v>1</v>
      </c>
      <c r="R1779">
        <f>IF(Table1[[#This Row],[دورة الفوترة]]="شهري",1,0)</f>
        <v>1</v>
      </c>
    </row>
    <row r="1780" spans="1:18" x14ac:dyDescent="0.25">
      <c r="A1780" t="s">
        <v>1800</v>
      </c>
      <c r="B1780" s="1">
        <v>45584</v>
      </c>
      <c r="C1780" t="s">
        <v>13</v>
      </c>
      <c r="D1780">
        <v>89</v>
      </c>
      <c r="E1780" t="s">
        <v>14</v>
      </c>
      <c r="F1780">
        <v>10</v>
      </c>
      <c r="G1780" t="s">
        <v>23</v>
      </c>
      <c r="H1780">
        <v>2</v>
      </c>
      <c r="I1780">
        <v>56</v>
      </c>
      <c r="J1780">
        <v>0</v>
      </c>
      <c r="K1780" t="s">
        <v>17</v>
      </c>
      <c r="L1780" t="s">
        <v>17</v>
      </c>
      <c r="M1780">
        <f>IF(Table1[[#This Row],[ألغى الاشتراك]]="نعم",1,0)</f>
        <v>0</v>
      </c>
      <c r="N1780">
        <f>IF(Table1[[#This Row],[وسيلة الدفع]]="بطاقة",1,0)</f>
        <v>0</v>
      </c>
      <c r="O1780">
        <f>IF(Table1[[#This Row],[وسيلة الدفع]]="محفظة",1,0)</f>
        <v>0</v>
      </c>
      <c r="P1780">
        <f>IF(Table1[[#This Row],[وسيلة الدفع]]="تحويل",1,0)</f>
        <v>1</v>
      </c>
      <c r="Q1780">
        <f>IF(Table1[[#This Row],[حضر التهيئة]]="نعم",1,0)</f>
        <v>0</v>
      </c>
      <c r="R1780">
        <f>IF(Table1[[#This Row],[دورة الفوترة]]="شهري",1,0)</f>
        <v>1</v>
      </c>
    </row>
    <row r="1781" spans="1:18" x14ac:dyDescent="0.25">
      <c r="A1781" t="s">
        <v>1801</v>
      </c>
      <c r="B1781" s="1">
        <v>45965</v>
      </c>
      <c r="C1781" t="s">
        <v>28</v>
      </c>
      <c r="D1781">
        <v>39</v>
      </c>
      <c r="E1781" t="s">
        <v>14</v>
      </c>
      <c r="F1781">
        <v>3</v>
      </c>
      <c r="G1781" t="s">
        <v>21</v>
      </c>
      <c r="H1781">
        <v>1</v>
      </c>
      <c r="I1781">
        <v>59</v>
      </c>
      <c r="J1781">
        <v>0</v>
      </c>
      <c r="K1781" t="s">
        <v>17</v>
      </c>
      <c r="L1781" t="s">
        <v>17</v>
      </c>
      <c r="M1781">
        <f>IF(Table1[[#This Row],[ألغى الاشتراك]]="نعم",1,0)</f>
        <v>0</v>
      </c>
      <c r="N1781">
        <f>IF(Table1[[#This Row],[وسيلة الدفع]]="بطاقة",1,0)</f>
        <v>0</v>
      </c>
      <c r="O1781">
        <f>IF(Table1[[#This Row],[وسيلة الدفع]]="محفظة",1,0)</f>
        <v>1</v>
      </c>
      <c r="P1781">
        <f>IF(Table1[[#This Row],[وسيلة الدفع]]="تحويل",1,0)</f>
        <v>0</v>
      </c>
      <c r="Q1781">
        <f>IF(Table1[[#This Row],[حضر التهيئة]]="نعم",1,0)</f>
        <v>0</v>
      </c>
      <c r="R1781">
        <f>IF(Table1[[#This Row],[دورة الفوترة]]="شهري",1,0)</f>
        <v>1</v>
      </c>
    </row>
    <row r="1782" spans="1:18" x14ac:dyDescent="0.25">
      <c r="A1782" t="s">
        <v>1802</v>
      </c>
      <c r="B1782" s="1">
        <v>45639</v>
      </c>
      <c r="C1782" t="s">
        <v>28</v>
      </c>
      <c r="D1782">
        <v>39</v>
      </c>
      <c r="E1782" t="s">
        <v>14</v>
      </c>
      <c r="F1782">
        <v>2</v>
      </c>
      <c r="G1782" t="s">
        <v>23</v>
      </c>
      <c r="H1782">
        <v>0</v>
      </c>
      <c r="I1782">
        <v>26</v>
      </c>
      <c r="J1782">
        <v>0</v>
      </c>
      <c r="K1782" t="s">
        <v>17</v>
      </c>
      <c r="L1782" t="s">
        <v>17</v>
      </c>
      <c r="M1782">
        <f>IF(Table1[[#This Row],[ألغى الاشتراك]]="نعم",1,0)</f>
        <v>0</v>
      </c>
      <c r="N1782">
        <f>IF(Table1[[#This Row],[وسيلة الدفع]]="بطاقة",1,0)</f>
        <v>0</v>
      </c>
      <c r="O1782">
        <f>IF(Table1[[#This Row],[وسيلة الدفع]]="محفظة",1,0)</f>
        <v>0</v>
      </c>
      <c r="P1782">
        <f>IF(Table1[[#This Row],[وسيلة الدفع]]="تحويل",1,0)</f>
        <v>1</v>
      </c>
      <c r="Q1782">
        <f>IF(Table1[[#This Row],[حضر التهيئة]]="نعم",1,0)</f>
        <v>0</v>
      </c>
      <c r="R1782">
        <f>IF(Table1[[#This Row],[دورة الفوترة]]="شهري",1,0)</f>
        <v>1</v>
      </c>
    </row>
    <row r="1783" spans="1:18" x14ac:dyDescent="0.25">
      <c r="A1783" t="s">
        <v>1803</v>
      </c>
      <c r="B1783" s="1">
        <v>45791</v>
      </c>
      <c r="C1783" t="s">
        <v>13</v>
      </c>
      <c r="D1783">
        <v>89</v>
      </c>
      <c r="E1783" t="s">
        <v>14</v>
      </c>
      <c r="F1783">
        <v>17</v>
      </c>
      <c r="G1783" t="s">
        <v>21</v>
      </c>
      <c r="H1783">
        <v>1</v>
      </c>
      <c r="I1783">
        <v>33</v>
      </c>
      <c r="J1783">
        <v>0</v>
      </c>
      <c r="K1783" t="s">
        <v>17</v>
      </c>
      <c r="L1783" t="s">
        <v>17</v>
      </c>
      <c r="M1783">
        <f>IF(Table1[[#This Row],[ألغى الاشتراك]]="نعم",1,0)</f>
        <v>0</v>
      </c>
      <c r="N1783">
        <f>IF(Table1[[#This Row],[وسيلة الدفع]]="بطاقة",1,0)</f>
        <v>0</v>
      </c>
      <c r="O1783">
        <f>IF(Table1[[#This Row],[وسيلة الدفع]]="محفظة",1,0)</f>
        <v>1</v>
      </c>
      <c r="P1783">
        <f>IF(Table1[[#This Row],[وسيلة الدفع]]="تحويل",1,0)</f>
        <v>0</v>
      </c>
      <c r="Q1783">
        <f>IF(Table1[[#This Row],[حضر التهيئة]]="نعم",1,0)</f>
        <v>0</v>
      </c>
      <c r="R1783">
        <f>IF(Table1[[#This Row],[دورة الفوترة]]="شهري",1,0)</f>
        <v>1</v>
      </c>
    </row>
    <row r="1784" spans="1:18" x14ac:dyDescent="0.25">
      <c r="A1784" t="s">
        <v>1804</v>
      </c>
      <c r="B1784" s="1">
        <v>45450</v>
      </c>
      <c r="C1784" t="s">
        <v>28</v>
      </c>
      <c r="D1784">
        <v>39</v>
      </c>
      <c r="E1784" t="s">
        <v>14</v>
      </c>
      <c r="F1784">
        <v>8</v>
      </c>
      <c r="G1784" t="s">
        <v>15</v>
      </c>
      <c r="H1784">
        <v>0</v>
      </c>
      <c r="I1784">
        <v>42</v>
      </c>
      <c r="J1784">
        <v>0</v>
      </c>
      <c r="K1784" t="s">
        <v>17</v>
      </c>
      <c r="L1784" t="s">
        <v>17</v>
      </c>
      <c r="M1784">
        <f>IF(Table1[[#This Row],[ألغى الاشتراك]]="نعم",1,0)</f>
        <v>0</v>
      </c>
      <c r="N1784">
        <f>IF(Table1[[#This Row],[وسيلة الدفع]]="بطاقة",1,0)</f>
        <v>1</v>
      </c>
      <c r="O1784">
        <f>IF(Table1[[#This Row],[وسيلة الدفع]]="محفظة",1,0)</f>
        <v>0</v>
      </c>
      <c r="P1784">
        <f>IF(Table1[[#This Row],[وسيلة الدفع]]="تحويل",1,0)</f>
        <v>0</v>
      </c>
      <c r="Q1784">
        <f>IF(Table1[[#This Row],[حضر التهيئة]]="نعم",1,0)</f>
        <v>0</v>
      </c>
      <c r="R1784">
        <f>IF(Table1[[#This Row],[دورة الفوترة]]="شهري",1,0)</f>
        <v>1</v>
      </c>
    </row>
    <row r="1785" spans="1:18" x14ac:dyDescent="0.25">
      <c r="A1785" t="s">
        <v>1805</v>
      </c>
      <c r="B1785" s="1">
        <v>45720</v>
      </c>
      <c r="C1785" t="s">
        <v>13</v>
      </c>
      <c r="D1785">
        <v>89</v>
      </c>
      <c r="E1785" t="s">
        <v>14</v>
      </c>
      <c r="F1785">
        <v>23</v>
      </c>
      <c r="G1785" t="s">
        <v>15</v>
      </c>
      <c r="H1785">
        <v>4</v>
      </c>
      <c r="I1785">
        <v>17</v>
      </c>
      <c r="J1785">
        <v>0</v>
      </c>
      <c r="K1785" t="s">
        <v>17</v>
      </c>
      <c r="L1785" t="s">
        <v>17</v>
      </c>
      <c r="M1785">
        <f>IF(Table1[[#This Row],[ألغى الاشتراك]]="نعم",1,0)</f>
        <v>0</v>
      </c>
      <c r="N1785">
        <f>IF(Table1[[#This Row],[وسيلة الدفع]]="بطاقة",1,0)</f>
        <v>1</v>
      </c>
      <c r="O1785">
        <f>IF(Table1[[#This Row],[وسيلة الدفع]]="محفظة",1,0)</f>
        <v>0</v>
      </c>
      <c r="P1785">
        <f>IF(Table1[[#This Row],[وسيلة الدفع]]="تحويل",1,0)</f>
        <v>0</v>
      </c>
      <c r="Q1785">
        <f>IF(Table1[[#This Row],[حضر التهيئة]]="نعم",1,0)</f>
        <v>0</v>
      </c>
      <c r="R1785">
        <f>IF(Table1[[#This Row],[دورة الفوترة]]="شهري",1,0)</f>
        <v>1</v>
      </c>
    </row>
    <row r="1786" spans="1:18" x14ac:dyDescent="0.25">
      <c r="A1786" t="s">
        <v>1806</v>
      </c>
      <c r="B1786" s="1">
        <v>45395</v>
      </c>
      <c r="C1786" t="s">
        <v>19</v>
      </c>
      <c r="D1786">
        <v>189</v>
      </c>
      <c r="E1786" t="s">
        <v>14</v>
      </c>
      <c r="F1786">
        <v>26</v>
      </c>
      <c r="G1786" t="s">
        <v>21</v>
      </c>
      <c r="H1786">
        <v>10</v>
      </c>
      <c r="I1786">
        <v>18</v>
      </c>
      <c r="J1786">
        <v>0</v>
      </c>
      <c r="K1786" t="s">
        <v>16</v>
      </c>
      <c r="L1786" t="s">
        <v>16</v>
      </c>
      <c r="M1786">
        <f>IF(Table1[[#This Row],[ألغى الاشتراك]]="نعم",1,0)</f>
        <v>1</v>
      </c>
      <c r="N1786">
        <f>IF(Table1[[#This Row],[وسيلة الدفع]]="بطاقة",1,0)</f>
        <v>0</v>
      </c>
      <c r="O1786">
        <f>IF(Table1[[#This Row],[وسيلة الدفع]]="محفظة",1,0)</f>
        <v>1</v>
      </c>
      <c r="P1786">
        <f>IF(Table1[[#This Row],[وسيلة الدفع]]="تحويل",1,0)</f>
        <v>0</v>
      </c>
      <c r="Q1786">
        <f>IF(Table1[[#This Row],[حضر التهيئة]]="نعم",1,0)</f>
        <v>1</v>
      </c>
      <c r="R1786">
        <f>IF(Table1[[#This Row],[دورة الفوترة]]="شهري",1,0)</f>
        <v>1</v>
      </c>
    </row>
    <row r="1787" spans="1:18" x14ac:dyDescent="0.25">
      <c r="A1787" t="s">
        <v>1807</v>
      </c>
      <c r="B1787" s="1">
        <v>45470</v>
      </c>
      <c r="C1787" t="s">
        <v>13</v>
      </c>
      <c r="D1787">
        <v>89</v>
      </c>
      <c r="E1787" t="s">
        <v>20</v>
      </c>
      <c r="F1787">
        <v>3</v>
      </c>
      <c r="G1787" t="s">
        <v>21</v>
      </c>
      <c r="H1787">
        <v>0</v>
      </c>
      <c r="I1787">
        <v>5</v>
      </c>
      <c r="J1787">
        <v>10</v>
      </c>
      <c r="K1787" t="s">
        <v>16</v>
      </c>
      <c r="L1787" t="s">
        <v>17</v>
      </c>
      <c r="M1787">
        <f>IF(Table1[[#This Row],[ألغى الاشتراك]]="نعم",1,0)</f>
        <v>0</v>
      </c>
      <c r="N1787">
        <f>IF(Table1[[#This Row],[وسيلة الدفع]]="بطاقة",1,0)</f>
        <v>0</v>
      </c>
      <c r="O1787">
        <f>IF(Table1[[#This Row],[وسيلة الدفع]]="محفظة",1,0)</f>
        <v>1</v>
      </c>
      <c r="P1787">
        <f>IF(Table1[[#This Row],[وسيلة الدفع]]="تحويل",1,0)</f>
        <v>0</v>
      </c>
      <c r="Q1787">
        <f>IF(Table1[[#This Row],[حضر التهيئة]]="نعم",1,0)</f>
        <v>1</v>
      </c>
      <c r="R1787">
        <f>IF(Table1[[#This Row],[دورة الفوترة]]="شهري",1,0)</f>
        <v>0</v>
      </c>
    </row>
    <row r="1788" spans="1:18" x14ac:dyDescent="0.25">
      <c r="A1788" t="s">
        <v>1808</v>
      </c>
      <c r="B1788" s="1">
        <v>45977</v>
      </c>
      <c r="C1788" t="s">
        <v>28</v>
      </c>
      <c r="D1788">
        <v>39</v>
      </c>
      <c r="E1788" t="s">
        <v>14</v>
      </c>
      <c r="F1788">
        <v>11</v>
      </c>
      <c r="G1788" t="s">
        <v>23</v>
      </c>
      <c r="H1788">
        <v>0</v>
      </c>
      <c r="I1788">
        <v>55</v>
      </c>
      <c r="J1788">
        <v>0</v>
      </c>
      <c r="K1788" t="s">
        <v>17</v>
      </c>
      <c r="L1788" t="s">
        <v>17</v>
      </c>
      <c r="M1788">
        <f>IF(Table1[[#This Row],[ألغى الاشتراك]]="نعم",1,0)</f>
        <v>0</v>
      </c>
      <c r="N1788">
        <f>IF(Table1[[#This Row],[وسيلة الدفع]]="بطاقة",1,0)</f>
        <v>0</v>
      </c>
      <c r="O1788">
        <f>IF(Table1[[#This Row],[وسيلة الدفع]]="محفظة",1,0)</f>
        <v>0</v>
      </c>
      <c r="P1788">
        <f>IF(Table1[[#This Row],[وسيلة الدفع]]="تحويل",1,0)</f>
        <v>1</v>
      </c>
      <c r="Q1788">
        <f>IF(Table1[[#This Row],[حضر التهيئة]]="نعم",1,0)</f>
        <v>0</v>
      </c>
      <c r="R1788">
        <f>IF(Table1[[#This Row],[دورة الفوترة]]="شهري",1,0)</f>
        <v>1</v>
      </c>
    </row>
    <row r="1789" spans="1:18" x14ac:dyDescent="0.25">
      <c r="A1789" t="s">
        <v>1809</v>
      </c>
      <c r="B1789" s="1">
        <v>45627</v>
      </c>
      <c r="C1789" t="s">
        <v>13</v>
      </c>
      <c r="D1789">
        <v>89</v>
      </c>
      <c r="E1789" t="s">
        <v>20</v>
      </c>
      <c r="F1789">
        <v>16</v>
      </c>
      <c r="G1789" t="s">
        <v>23</v>
      </c>
      <c r="H1789">
        <v>9</v>
      </c>
      <c r="I1789">
        <v>2</v>
      </c>
      <c r="J1789">
        <v>0</v>
      </c>
      <c r="K1789" t="s">
        <v>16</v>
      </c>
      <c r="L1789" t="s">
        <v>17</v>
      </c>
      <c r="M1789">
        <f>IF(Table1[[#This Row],[ألغى الاشتراك]]="نعم",1,0)</f>
        <v>0</v>
      </c>
      <c r="N1789">
        <f>IF(Table1[[#This Row],[وسيلة الدفع]]="بطاقة",1,0)</f>
        <v>0</v>
      </c>
      <c r="O1789">
        <f>IF(Table1[[#This Row],[وسيلة الدفع]]="محفظة",1,0)</f>
        <v>0</v>
      </c>
      <c r="P1789">
        <f>IF(Table1[[#This Row],[وسيلة الدفع]]="تحويل",1,0)</f>
        <v>1</v>
      </c>
      <c r="Q1789">
        <f>IF(Table1[[#This Row],[حضر التهيئة]]="نعم",1,0)</f>
        <v>1</v>
      </c>
      <c r="R1789">
        <f>IF(Table1[[#This Row],[دورة الفوترة]]="شهري",1,0)</f>
        <v>0</v>
      </c>
    </row>
    <row r="1790" spans="1:18" x14ac:dyDescent="0.25">
      <c r="A1790" t="s">
        <v>1810</v>
      </c>
      <c r="B1790" s="1">
        <v>45906</v>
      </c>
      <c r="C1790" t="s">
        <v>13</v>
      </c>
      <c r="D1790">
        <v>89</v>
      </c>
      <c r="E1790" t="s">
        <v>14</v>
      </c>
      <c r="F1790">
        <v>9</v>
      </c>
      <c r="G1790" t="s">
        <v>21</v>
      </c>
      <c r="H1790">
        <v>6</v>
      </c>
      <c r="I1790">
        <v>51</v>
      </c>
      <c r="J1790">
        <v>0</v>
      </c>
      <c r="K1790" t="s">
        <v>17</v>
      </c>
      <c r="L1790" t="s">
        <v>17</v>
      </c>
      <c r="M1790">
        <f>IF(Table1[[#This Row],[ألغى الاشتراك]]="نعم",1,0)</f>
        <v>0</v>
      </c>
      <c r="N1790">
        <f>IF(Table1[[#This Row],[وسيلة الدفع]]="بطاقة",1,0)</f>
        <v>0</v>
      </c>
      <c r="O1790">
        <f>IF(Table1[[#This Row],[وسيلة الدفع]]="محفظة",1,0)</f>
        <v>1</v>
      </c>
      <c r="P1790">
        <f>IF(Table1[[#This Row],[وسيلة الدفع]]="تحويل",1,0)</f>
        <v>0</v>
      </c>
      <c r="Q1790">
        <f>IF(Table1[[#This Row],[حضر التهيئة]]="نعم",1,0)</f>
        <v>0</v>
      </c>
      <c r="R1790">
        <f>IF(Table1[[#This Row],[دورة الفوترة]]="شهري",1,0)</f>
        <v>1</v>
      </c>
    </row>
    <row r="1791" spans="1:18" x14ac:dyDescent="0.25">
      <c r="A1791" t="s">
        <v>1811</v>
      </c>
      <c r="B1791" s="1">
        <v>45736</v>
      </c>
      <c r="C1791" t="s">
        <v>13</v>
      </c>
      <c r="D1791">
        <v>89</v>
      </c>
      <c r="E1791" t="s">
        <v>14</v>
      </c>
      <c r="F1791">
        <v>28</v>
      </c>
      <c r="G1791" t="s">
        <v>15</v>
      </c>
      <c r="H1791">
        <v>9</v>
      </c>
      <c r="I1791">
        <v>20</v>
      </c>
      <c r="J1791">
        <v>15</v>
      </c>
      <c r="K1791" t="s">
        <v>17</v>
      </c>
      <c r="L1791" t="s">
        <v>17</v>
      </c>
      <c r="M1791">
        <f>IF(Table1[[#This Row],[ألغى الاشتراك]]="نعم",1,0)</f>
        <v>0</v>
      </c>
      <c r="N1791">
        <f>IF(Table1[[#This Row],[وسيلة الدفع]]="بطاقة",1,0)</f>
        <v>1</v>
      </c>
      <c r="O1791">
        <f>IF(Table1[[#This Row],[وسيلة الدفع]]="محفظة",1,0)</f>
        <v>0</v>
      </c>
      <c r="P1791">
        <f>IF(Table1[[#This Row],[وسيلة الدفع]]="تحويل",1,0)</f>
        <v>0</v>
      </c>
      <c r="Q1791">
        <f>IF(Table1[[#This Row],[حضر التهيئة]]="نعم",1,0)</f>
        <v>0</v>
      </c>
      <c r="R1791">
        <f>IF(Table1[[#This Row],[دورة الفوترة]]="شهري",1,0)</f>
        <v>1</v>
      </c>
    </row>
    <row r="1792" spans="1:18" x14ac:dyDescent="0.25">
      <c r="A1792" t="s">
        <v>1812</v>
      </c>
      <c r="B1792" s="1">
        <v>45383</v>
      </c>
      <c r="C1792" t="s">
        <v>19</v>
      </c>
      <c r="D1792">
        <v>189</v>
      </c>
      <c r="E1792" t="s">
        <v>20</v>
      </c>
      <c r="F1792">
        <v>18</v>
      </c>
      <c r="G1792" t="s">
        <v>21</v>
      </c>
      <c r="H1792">
        <v>11</v>
      </c>
      <c r="I1792">
        <v>28</v>
      </c>
      <c r="J1792">
        <v>0</v>
      </c>
      <c r="K1792" t="s">
        <v>16</v>
      </c>
      <c r="L1792" t="s">
        <v>17</v>
      </c>
      <c r="M1792">
        <f>IF(Table1[[#This Row],[ألغى الاشتراك]]="نعم",1,0)</f>
        <v>0</v>
      </c>
      <c r="N1792">
        <f>IF(Table1[[#This Row],[وسيلة الدفع]]="بطاقة",1,0)</f>
        <v>0</v>
      </c>
      <c r="O1792">
        <f>IF(Table1[[#This Row],[وسيلة الدفع]]="محفظة",1,0)</f>
        <v>1</v>
      </c>
      <c r="P1792">
        <f>IF(Table1[[#This Row],[وسيلة الدفع]]="تحويل",1,0)</f>
        <v>0</v>
      </c>
      <c r="Q1792">
        <f>IF(Table1[[#This Row],[حضر التهيئة]]="نعم",1,0)</f>
        <v>1</v>
      </c>
      <c r="R1792">
        <f>IF(Table1[[#This Row],[دورة الفوترة]]="شهري",1,0)</f>
        <v>0</v>
      </c>
    </row>
    <row r="1793" spans="1:18" x14ac:dyDescent="0.25">
      <c r="A1793" t="s">
        <v>1813</v>
      </c>
      <c r="B1793" s="1">
        <v>45341</v>
      </c>
      <c r="C1793" t="s">
        <v>28</v>
      </c>
      <c r="D1793">
        <v>39</v>
      </c>
      <c r="E1793" t="s">
        <v>20</v>
      </c>
      <c r="F1793">
        <v>21</v>
      </c>
      <c r="G1793" t="s">
        <v>15</v>
      </c>
      <c r="H1793">
        <v>2</v>
      </c>
      <c r="I1793">
        <v>25</v>
      </c>
      <c r="J1793">
        <v>10</v>
      </c>
      <c r="K1793" t="s">
        <v>16</v>
      </c>
      <c r="L1793" t="s">
        <v>17</v>
      </c>
      <c r="M1793">
        <f>IF(Table1[[#This Row],[ألغى الاشتراك]]="نعم",1,0)</f>
        <v>0</v>
      </c>
      <c r="N1793">
        <f>IF(Table1[[#This Row],[وسيلة الدفع]]="بطاقة",1,0)</f>
        <v>1</v>
      </c>
      <c r="O1793">
        <f>IF(Table1[[#This Row],[وسيلة الدفع]]="محفظة",1,0)</f>
        <v>0</v>
      </c>
      <c r="P1793">
        <f>IF(Table1[[#This Row],[وسيلة الدفع]]="تحويل",1,0)</f>
        <v>0</v>
      </c>
      <c r="Q1793">
        <f>IF(Table1[[#This Row],[حضر التهيئة]]="نعم",1,0)</f>
        <v>1</v>
      </c>
      <c r="R1793">
        <f>IF(Table1[[#This Row],[دورة الفوترة]]="شهري",1,0)</f>
        <v>0</v>
      </c>
    </row>
    <row r="1794" spans="1:18" x14ac:dyDescent="0.25">
      <c r="A1794" t="s">
        <v>1814</v>
      </c>
      <c r="B1794" s="1">
        <v>45732</v>
      </c>
      <c r="C1794" t="s">
        <v>19</v>
      </c>
      <c r="D1794">
        <v>189</v>
      </c>
      <c r="E1794" t="s">
        <v>14</v>
      </c>
      <c r="F1794">
        <v>17</v>
      </c>
      <c r="G1794" t="s">
        <v>15</v>
      </c>
      <c r="H1794">
        <v>7</v>
      </c>
      <c r="I1794">
        <v>33</v>
      </c>
      <c r="J1794">
        <v>0</v>
      </c>
      <c r="K1794" t="s">
        <v>17</v>
      </c>
      <c r="L1794" t="s">
        <v>17</v>
      </c>
      <c r="M1794">
        <f>IF(Table1[[#This Row],[ألغى الاشتراك]]="نعم",1,0)</f>
        <v>0</v>
      </c>
      <c r="N1794">
        <f>IF(Table1[[#This Row],[وسيلة الدفع]]="بطاقة",1,0)</f>
        <v>1</v>
      </c>
      <c r="O1794">
        <f>IF(Table1[[#This Row],[وسيلة الدفع]]="محفظة",1,0)</f>
        <v>0</v>
      </c>
      <c r="P1794">
        <f>IF(Table1[[#This Row],[وسيلة الدفع]]="تحويل",1,0)</f>
        <v>0</v>
      </c>
      <c r="Q1794">
        <f>IF(Table1[[#This Row],[حضر التهيئة]]="نعم",1,0)</f>
        <v>0</v>
      </c>
      <c r="R1794">
        <f>IF(Table1[[#This Row],[دورة الفوترة]]="شهري",1,0)</f>
        <v>1</v>
      </c>
    </row>
    <row r="1795" spans="1:18" x14ac:dyDescent="0.25">
      <c r="A1795" t="s">
        <v>1815</v>
      </c>
      <c r="B1795" s="1">
        <v>45639</v>
      </c>
      <c r="C1795" t="s">
        <v>13</v>
      </c>
      <c r="D1795">
        <v>89</v>
      </c>
      <c r="E1795" t="s">
        <v>14</v>
      </c>
      <c r="F1795">
        <v>12</v>
      </c>
      <c r="G1795" t="s">
        <v>21</v>
      </c>
      <c r="H1795">
        <v>9</v>
      </c>
      <c r="I1795">
        <v>34</v>
      </c>
      <c r="J1795">
        <v>0</v>
      </c>
      <c r="K1795" t="s">
        <v>16</v>
      </c>
      <c r="L1795" t="s">
        <v>17</v>
      </c>
      <c r="M1795">
        <f>IF(Table1[[#This Row],[ألغى الاشتراك]]="نعم",1,0)</f>
        <v>0</v>
      </c>
      <c r="N1795">
        <f>IF(Table1[[#This Row],[وسيلة الدفع]]="بطاقة",1,0)</f>
        <v>0</v>
      </c>
      <c r="O1795">
        <f>IF(Table1[[#This Row],[وسيلة الدفع]]="محفظة",1,0)</f>
        <v>1</v>
      </c>
      <c r="P1795">
        <f>IF(Table1[[#This Row],[وسيلة الدفع]]="تحويل",1,0)</f>
        <v>0</v>
      </c>
      <c r="Q1795">
        <f>IF(Table1[[#This Row],[حضر التهيئة]]="نعم",1,0)</f>
        <v>1</v>
      </c>
      <c r="R1795">
        <f>IF(Table1[[#This Row],[دورة الفوترة]]="شهري",1,0)</f>
        <v>1</v>
      </c>
    </row>
    <row r="1796" spans="1:18" x14ac:dyDescent="0.25">
      <c r="A1796" t="s">
        <v>1816</v>
      </c>
      <c r="B1796" s="1">
        <v>45926</v>
      </c>
      <c r="C1796" t="s">
        <v>28</v>
      </c>
      <c r="D1796">
        <v>39</v>
      </c>
      <c r="E1796" t="s">
        <v>20</v>
      </c>
      <c r="F1796">
        <v>15</v>
      </c>
      <c r="G1796" t="s">
        <v>23</v>
      </c>
      <c r="H1796">
        <v>1</v>
      </c>
      <c r="I1796">
        <v>51</v>
      </c>
      <c r="J1796">
        <v>0</v>
      </c>
      <c r="K1796" t="s">
        <v>16</v>
      </c>
      <c r="L1796" t="s">
        <v>17</v>
      </c>
      <c r="M1796">
        <f>IF(Table1[[#This Row],[ألغى الاشتراك]]="نعم",1,0)</f>
        <v>0</v>
      </c>
      <c r="N1796">
        <f>IF(Table1[[#This Row],[وسيلة الدفع]]="بطاقة",1,0)</f>
        <v>0</v>
      </c>
      <c r="O1796">
        <f>IF(Table1[[#This Row],[وسيلة الدفع]]="محفظة",1,0)</f>
        <v>0</v>
      </c>
      <c r="P1796">
        <f>IF(Table1[[#This Row],[وسيلة الدفع]]="تحويل",1,0)</f>
        <v>1</v>
      </c>
      <c r="Q1796">
        <f>IF(Table1[[#This Row],[حضر التهيئة]]="نعم",1,0)</f>
        <v>1</v>
      </c>
      <c r="R1796">
        <f>IF(Table1[[#This Row],[دورة الفوترة]]="شهري",1,0)</f>
        <v>0</v>
      </c>
    </row>
    <row r="1797" spans="1:18" x14ac:dyDescent="0.25">
      <c r="A1797" t="s">
        <v>1817</v>
      </c>
      <c r="B1797" s="1">
        <v>45345</v>
      </c>
      <c r="C1797" t="s">
        <v>19</v>
      </c>
      <c r="D1797">
        <v>189</v>
      </c>
      <c r="E1797" t="s">
        <v>14</v>
      </c>
      <c r="F1797">
        <v>30</v>
      </c>
      <c r="G1797" t="s">
        <v>23</v>
      </c>
      <c r="H1797">
        <v>8</v>
      </c>
      <c r="I1797">
        <v>14</v>
      </c>
      <c r="J1797">
        <v>0</v>
      </c>
      <c r="K1797" t="s">
        <v>16</v>
      </c>
      <c r="L1797" t="s">
        <v>17</v>
      </c>
      <c r="M1797">
        <f>IF(Table1[[#This Row],[ألغى الاشتراك]]="نعم",1,0)</f>
        <v>0</v>
      </c>
      <c r="N1797">
        <f>IF(Table1[[#This Row],[وسيلة الدفع]]="بطاقة",1,0)</f>
        <v>0</v>
      </c>
      <c r="O1797">
        <f>IF(Table1[[#This Row],[وسيلة الدفع]]="محفظة",1,0)</f>
        <v>0</v>
      </c>
      <c r="P1797">
        <f>IF(Table1[[#This Row],[وسيلة الدفع]]="تحويل",1,0)</f>
        <v>1</v>
      </c>
      <c r="Q1797">
        <f>IF(Table1[[#This Row],[حضر التهيئة]]="نعم",1,0)</f>
        <v>1</v>
      </c>
      <c r="R1797">
        <f>IF(Table1[[#This Row],[دورة الفوترة]]="شهري",1,0)</f>
        <v>1</v>
      </c>
    </row>
    <row r="1798" spans="1:18" x14ac:dyDescent="0.25">
      <c r="A1798" t="s">
        <v>1818</v>
      </c>
      <c r="B1798" s="1">
        <v>45525</v>
      </c>
      <c r="C1798" t="s">
        <v>13</v>
      </c>
      <c r="D1798">
        <v>89</v>
      </c>
      <c r="E1798" t="s">
        <v>20</v>
      </c>
      <c r="F1798">
        <v>27</v>
      </c>
      <c r="G1798" t="s">
        <v>15</v>
      </c>
      <c r="H1798">
        <v>6</v>
      </c>
      <c r="I1798">
        <v>5</v>
      </c>
      <c r="J1798">
        <v>25</v>
      </c>
      <c r="K1798" t="s">
        <v>17</v>
      </c>
      <c r="L1798" t="s">
        <v>17</v>
      </c>
      <c r="M1798">
        <f>IF(Table1[[#This Row],[ألغى الاشتراك]]="نعم",1,0)</f>
        <v>0</v>
      </c>
      <c r="N1798">
        <f>IF(Table1[[#This Row],[وسيلة الدفع]]="بطاقة",1,0)</f>
        <v>1</v>
      </c>
      <c r="O1798">
        <f>IF(Table1[[#This Row],[وسيلة الدفع]]="محفظة",1,0)</f>
        <v>0</v>
      </c>
      <c r="P1798">
        <f>IF(Table1[[#This Row],[وسيلة الدفع]]="تحويل",1,0)</f>
        <v>0</v>
      </c>
      <c r="Q1798">
        <f>IF(Table1[[#This Row],[حضر التهيئة]]="نعم",1,0)</f>
        <v>0</v>
      </c>
      <c r="R1798">
        <f>IF(Table1[[#This Row],[دورة الفوترة]]="شهري",1,0)</f>
        <v>0</v>
      </c>
    </row>
    <row r="1799" spans="1:18" x14ac:dyDescent="0.25">
      <c r="A1799" t="s">
        <v>1819</v>
      </c>
      <c r="B1799" s="1">
        <v>45799</v>
      </c>
      <c r="C1799" t="s">
        <v>28</v>
      </c>
      <c r="D1799">
        <v>39</v>
      </c>
      <c r="E1799" t="s">
        <v>14</v>
      </c>
      <c r="F1799">
        <v>9</v>
      </c>
      <c r="G1799" t="s">
        <v>15</v>
      </c>
      <c r="H1799">
        <v>2</v>
      </c>
      <c r="I1799">
        <v>37</v>
      </c>
      <c r="J1799">
        <v>0</v>
      </c>
      <c r="K1799" t="s">
        <v>16</v>
      </c>
      <c r="L1799" t="s">
        <v>17</v>
      </c>
      <c r="M1799">
        <f>IF(Table1[[#This Row],[ألغى الاشتراك]]="نعم",1,0)</f>
        <v>0</v>
      </c>
      <c r="N1799">
        <f>IF(Table1[[#This Row],[وسيلة الدفع]]="بطاقة",1,0)</f>
        <v>1</v>
      </c>
      <c r="O1799">
        <f>IF(Table1[[#This Row],[وسيلة الدفع]]="محفظة",1,0)</f>
        <v>0</v>
      </c>
      <c r="P1799">
        <f>IF(Table1[[#This Row],[وسيلة الدفع]]="تحويل",1,0)</f>
        <v>0</v>
      </c>
      <c r="Q1799">
        <f>IF(Table1[[#This Row],[حضر التهيئة]]="نعم",1,0)</f>
        <v>1</v>
      </c>
      <c r="R1799">
        <f>IF(Table1[[#This Row],[دورة الفوترة]]="شهري",1,0)</f>
        <v>1</v>
      </c>
    </row>
    <row r="1800" spans="1:18" x14ac:dyDescent="0.25">
      <c r="A1800" t="s">
        <v>1820</v>
      </c>
      <c r="B1800" s="1">
        <v>45454</v>
      </c>
      <c r="C1800" t="s">
        <v>28</v>
      </c>
      <c r="D1800">
        <v>39</v>
      </c>
      <c r="E1800" t="s">
        <v>14</v>
      </c>
      <c r="F1800">
        <v>26</v>
      </c>
      <c r="G1800" t="s">
        <v>15</v>
      </c>
      <c r="H1800">
        <v>1</v>
      </c>
      <c r="I1800">
        <v>42</v>
      </c>
      <c r="J1800">
        <v>0</v>
      </c>
      <c r="K1800" t="s">
        <v>16</v>
      </c>
      <c r="L1800" t="s">
        <v>17</v>
      </c>
      <c r="M1800">
        <f>IF(Table1[[#This Row],[ألغى الاشتراك]]="نعم",1,0)</f>
        <v>0</v>
      </c>
      <c r="N1800">
        <f>IF(Table1[[#This Row],[وسيلة الدفع]]="بطاقة",1,0)</f>
        <v>1</v>
      </c>
      <c r="O1800">
        <f>IF(Table1[[#This Row],[وسيلة الدفع]]="محفظة",1,0)</f>
        <v>0</v>
      </c>
      <c r="P1800">
        <f>IF(Table1[[#This Row],[وسيلة الدفع]]="تحويل",1,0)</f>
        <v>0</v>
      </c>
      <c r="Q1800">
        <f>IF(Table1[[#This Row],[حضر التهيئة]]="نعم",1,0)</f>
        <v>1</v>
      </c>
      <c r="R1800">
        <f>IF(Table1[[#This Row],[دورة الفوترة]]="شهري",1,0)</f>
        <v>1</v>
      </c>
    </row>
    <row r="1801" spans="1:18" x14ac:dyDescent="0.25">
      <c r="A1801" t="s">
        <v>1821</v>
      </c>
      <c r="B1801" s="1">
        <v>45732</v>
      </c>
      <c r="C1801" t="s">
        <v>19</v>
      </c>
      <c r="D1801">
        <v>189</v>
      </c>
      <c r="E1801" t="s">
        <v>14</v>
      </c>
      <c r="F1801">
        <v>11</v>
      </c>
      <c r="G1801" t="s">
        <v>21</v>
      </c>
      <c r="H1801">
        <v>1</v>
      </c>
      <c r="I1801">
        <v>15</v>
      </c>
      <c r="J1801">
        <v>0</v>
      </c>
      <c r="K1801" t="s">
        <v>17</v>
      </c>
      <c r="L1801" t="s">
        <v>16</v>
      </c>
      <c r="M1801">
        <f>IF(Table1[[#This Row],[ألغى الاشتراك]]="نعم",1,0)</f>
        <v>1</v>
      </c>
      <c r="N1801">
        <f>IF(Table1[[#This Row],[وسيلة الدفع]]="بطاقة",1,0)</f>
        <v>0</v>
      </c>
      <c r="O1801">
        <f>IF(Table1[[#This Row],[وسيلة الدفع]]="محفظة",1,0)</f>
        <v>1</v>
      </c>
      <c r="P1801">
        <f>IF(Table1[[#This Row],[وسيلة الدفع]]="تحويل",1,0)</f>
        <v>0</v>
      </c>
      <c r="Q1801">
        <f>IF(Table1[[#This Row],[حضر التهيئة]]="نعم",1,0)</f>
        <v>0</v>
      </c>
      <c r="R1801">
        <f>IF(Table1[[#This Row],[دورة الفوترة]]="شهري",1,0)</f>
        <v>1</v>
      </c>
    </row>
    <row r="1802" spans="1:18" x14ac:dyDescent="0.25">
      <c r="A1802" t="s">
        <v>1822</v>
      </c>
      <c r="B1802" s="1">
        <v>45517</v>
      </c>
      <c r="C1802" t="s">
        <v>13</v>
      </c>
      <c r="D1802">
        <v>89</v>
      </c>
      <c r="E1802" t="s">
        <v>20</v>
      </c>
      <c r="F1802">
        <v>8</v>
      </c>
      <c r="G1802" t="s">
        <v>15</v>
      </c>
      <c r="H1802">
        <v>1</v>
      </c>
      <c r="I1802">
        <v>50</v>
      </c>
      <c r="J1802">
        <v>0</v>
      </c>
      <c r="K1802" t="s">
        <v>17</v>
      </c>
      <c r="L1802" t="s">
        <v>17</v>
      </c>
      <c r="M1802">
        <f>IF(Table1[[#This Row],[ألغى الاشتراك]]="نعم",1,0)</f>
        <v>0</v>
      </c>
      <c r="N1802">
        <f>IF(Table1[[#This Row],[وسيلة الدفع]]="بطاقة",1,0)</f>
        <v>1</v>
      </c>
      <c r="O1802">
        <f>IF(Table1[[#This Row],[وسيلة الدفع]]="محفظة",1,0)</f>
        <v>0</v>
      </c>
      <c r="P1802">
        <f>IF(Table1[[#This Row],[وسيلة الدفع]]="تحويل",1,0)</f>
        <v>0</v>
      </c>
      <c r="Q1802">
        <f>IF(Table1[[#This Row],[حضر التهيئة]]="نعم",1,0)</f>
        <v>0</v>
      </c>
      <c r="R1802">
        <f>IF(Table1[[#This Row],[دورة الفوترة]]="شهري",1,0)</f>
        <v>0</v>
      </c>
    </row>
    <row r="1803" spans="1:18" x14ac:dyDescent="0.25">
      <c r="A1803" t="s">
        <v>1823</v>
      </c>
      <c r="B1803" s="1">
        <v>45779</v>
      </c>
      <c r="C1803" t="s">
        <v>28</v>
      </c>
      <c r="D1803">
        <v>39</v>
      </c>
      <c r="E1803" t="s">
        <v>14</v>
      </c>
      <c r="F1803">
        <v>7</v>
      </c>
      <c r="G1803" t="s">
        <v>23</v>
      </c>
      <c r="H1803">
        <v>0</v>
      </c>
      <c r="I1803">
        <v>7</v>
      </c>
      <c r="J1803">
        <v>0</v>
      </c>
      <c r="K1803" t="s">
        <v>16</v>
      </c>
      <c r="L1803" t="s">
        <v>17</v>
      </c>
      <c r="M1803">
        <f>IF(Table1[[#This Row],[ألغى الاشتراك]]="نعم",1,0)</f>
        <v>0</v>
      </c>
      <c r="N1803">
        <f>IF(Table1[[#This Row],[وسيلة الدفع]]="بطاقة",1,0)</f>
        <v>0</v>
      </c>
      <c r="O1803">
        <f>IF(Table1[[#This Row],[وسيلة الدفع]]="محفظة",1,0)</f>
        <v>0</v>
      </c>
      <c r="P1803">
        <f>IF(Table1[[#This Row],[وسيلة الدفع]]="تحويل",1,0)</f>
        <v>1</v>
      </c>
      <c r="Q1803">
        <f>IF(Table1[[#This Row],[حضر التهيئة]]="نعم",1,0)</f>
        <v>1</v>
      </c>
      <c r="R1803">
        <f>IF(Table1[[#This Row],[دورة الفوترة]]="شهري",1,0)</f>
        <v>1</v>
      </c>
    </row>
    <row r="1804" spans="1:18" x14ac:dyDescent="0.25">
      <c r="A1804" t="s">
        <v>1824</v>
      </c>
      <c r="B1804" s="1">
        <v>45345</v>
      </c>
      <c r="C1804" t="s">
        <v>13</v>
      </c>
      <c r="D1804">
        <v>89</v>
      </c>
      <c r="E1804" t="s">
        <v>20</v>
      </c>
      <c r="F1804">
        <v>4</v>
      </c>
      <c r="G1804" t="s">
        <v>21</v>
      </c>
      <c r="H1804">
        <v>11</v>
      </c>
      <c r="I1804">
        <v>50</v>
      </c>
      <c r="J1804">
        <v>0</v>
      </c>
      <c r="K1804" t="s">
        <v>17</v>
      </c>
      <c r="L1804" t="s">
        <v>17</v>
      </c>
      <c r="M1804">
        <f>IF(Table1[[#This Row],[ألغى الاشتراك]]="نعم",1,0)</f>
        <v>0</v>
      </c>
      <c r="N1804">
        <f>IF(Table1[[#This Row],[وسيلة الدفع]]="بطاقة",1,0)</f>
        <v>0</v>
      </c>
      <c r="O1804">
        <f>IF(Table1[[#This Row],[وسيلة الدفع]]="محفظة",1,0)</f>
        <v>1</v>
      </c>
      <c r="P1804">
        <f>IF(Table1[[#This Row],[وسيلة الدفع]]="تحويل",1,0)</f>
        <v>0</v>
      </c>
      <c r="Q1804">
        <f>IF(Table1[[#This Row],[حضر التهيئة]]="نعم",1,0)</f>
        <v>0</v>
      </c>
      <c r="R1804">
        <f>IF(Table1[[#This Row],[دورة الفوترة]]="شهري",1,0)</f>
        <v>0</v>
      </c>
    </row>
    <row r="1805" spans="1:18" x14ac:dyDescent="0.25">
      <c r="A1805" t="s">
        <v>1825</v>
      </c>
      <c r="B1805" s="1">
        <v>45842</v>
      </c>
      <c r="C1805" t="s">
        <v>19</v>
      </c>
      <c r="D1805">
        <v>189</v>
      </c>
      <c r="E1805" t="s">
        <v>14</v>
      </c>
      <c r="F1805">
        <v>21</v>
      </c>
      <c r="G1805" t="s">
        <v>23</v>
      </c>
      <c r="H1805">
        <v>0</v>
      </c>
      <c r="I1805">
        <v>27</v>
      </c>
      <c r="J1805">
        <v>0</v>
      </c>
      <c r="K1805" t="s">
        <v>17</v>
      </c>
      <c r="L1805" t="s">
        <v>17</v>
      </c>
      <c r="M1805">
        <f>IF(Table1[[#This Row],[ألغى الاشتراك]]="نعم",1,0)</f>
        <v>0</v>
      </c>
      <c r="N1805">
        <f>IF(Table1[[#This Row],[وسيلة الدفع]]="بطاقة",1,0)</f>
        <v>0</v>
      </c>
      <c r="O1805">
        <f>IF(Table1[[#This Row],[وسيلة الدفع]]="محفظة",1,0)</f>
        <v>0</v>
      </c>
      <c r="P1805">
        <f>IF(Table1[[#This Row],[وسيلة الدفع]]="تحويل",1,0)</f>
        <v>1</v>
      </c>
      <c r="Q1805">
        <f>IF(Table1[[#This Row],[حضر التهيئة]]="نعم",1,0)</f>
        <v>0</v>
      </c>
      <c r="R1805">
        <f>IF(Table1[[#This Row],[دورة الفوترة]]="شهري",1,0)</f>
        <v>1</v>
      </c>
    </row>
    <row r="1806" spans="1:18" x14ac:dyDescent="0.25">
      <c r="A1806" t="s">
        <v>1826</v>
      </c>
      <c r="B1806" s="1">
        <v>45910</v>
      </c>
      <c r="C1806" t="s">
        <v>19</v>
      </c>
      <c r="D1806">
        <v>189</v>
      </c>
      <c r="E1806" t="s">
        <v>20</v>
      </c>
      <c r="F1806">
        <v>18</v>
      </c>
      <c r="G1806" t="s">
        <v>15</v>
      </c>
      <c r="H1806">
        <v>0</v>
      </c>
      <c r="I1806">
        <v>28</v>
      </c>
      <c r="J1806">
        <v>5</v>
      </c>
      <c r="K1806" t="s">
        <v>16</v>
      </c>
      <c r="L1806" t="s">
        <v>17</v>
      </c>
      <c r="M1806">
        <f>IF(Table1[[#This Row],[ألغى الاشتراك]]="نعم",1,0)</f>
        <v>0</v>
      </c>
      <c r="N1806">
        <f>IF(Table1[[#This Row],[وسيلة الدفع]]="بطاقة",1,0)</f>
        <v>1</v>
      </c>
      <c r="O1806">
        <f>IF(Table1[[#This Row],[وسيلة الدفع]]="محفظة",1,0)</f>
        <v>0</v>
      </c>
      <c r="P1806">
        <f>IF(Table1[[#This Row],[وسيلة الدفع]]="تحويل",1,0)</f>
        <v>0</v>
      </c>
      <c r="Q1806">
        <f>IF(Table1[[#This Row],[حضر التهيئة]]="نعم",1,0)</f>
        <v>1</v>
      </c>
      <c r="R1806">
        <f>IF(Table1[[#This Row],[دورة الفوترة]]="شهري",1,0)</f>
        <v>0</v>
      </c>
    </row>
    <row r="1807" spans="1:18" x14ac:dyDescent="0.25">
      <c r="A1807" t="s">
        <v>1827</v>
      </c>
      <c r="B1807" s="1">
        <v>45454</v>
      </c>
      <c r="C1807" t="s">
        <v>13</v>
      </c>
      <c r="D1807">
        <v>89</v>
      </c>
      <c r="E1807" t="s">
        <v>14</v>
      </c>
      <c r="F1807">
        <v>12</v>
      </c>
      <c r="G1807" t="s">
        <v>15</v>
      </c>
      <c r="H1807">
        <v>2</v>
      </c>
      <c r="I1807">
        <v>12</v>
      </c>
      <c r="J1807">
        <v>0</v>
      </c>
      <c r="K1807" t="s">
        <v>17</v>
      </c>
      <c r="L1807" t="s">
        <v>17</v>
      </c>
      <c r="M1807">
        <f>IF(Table1[[#This Row],[ألغى الاشتراك]]="نعم",1,0)</f>
        <v>0</v>
      </c>
      <c r="N1807">
        <f>IF(Table1[[#This Row],[وسيلة الدفع]]="بطاقة",1,0)</f>
        <v>1</v>
      </c>
      <c r="O1807">
        <f>IF(Table1[[#This Row],[وسيلة الدفع]]="محفظة",1,0)</f>
        <v>0</v>
      </c>
      <c r="P1807">
        <f>IF(Table1[[#This Row],[وسيلة الدفع]]="تحويل",1,0)</f>
        <v>0</v>
      </c>
      <c r="Q1807">
        <f>IF(Table1[[#This Row],[حضر التهيئة]]="نعم",1,0)</f>
        <v>0</v>
      </c>
      <c r="R1807">
        <f>IF(Table1[[#This Row],[دورة الفوترة]]="شهري",1,0)</f>
        <v>1</v>
      </c>
    </row>
    <row r="1808" spans="1:18" x14ac:dyDescent="0.25">
      <c r="A1808" t="s">
        <v>1828</v>
      </c>
      <c r="B1808" s="1">
        <v>45862</v>
      </c>
      <c r="C1808" t="s">
        <v>28</v>
      </c>
      <c r="D1808">
        <v>39</v>
      </c>
      <c r="E1808" t="s">
        <v>14</v>
      </c>
      <c r="F1808">
        <v>11</v>
      </c>
      <c r="G1808" t="s">
        <v>23</v>
      </c>
      <c r="H1808">
        <v>0</v>
      </c>
      <c r="I1808">
        <v>35</v>
      </c>
      <c r="J1808">
        <v>0</v>
      </c>
      <c r="K1808" t="s">
        <v>16</v>
      </c>
      <c r="L1808" t="s">
        <v>17</v>
      </c>
      <c r="M1808">
        <f>IF(Table1[[#This Row],[ألغى الاشتراك]]="نعم",1,0)</f>
        <v>0</v>
      </c>
      <c r="N1808">
        <f>IF(Table1[[#This Row],[وسيلة الدفع]]="بطاقة",1,0)</f>
        <v>0</v>
      </c>
      <c r="O1808">
        <f>IF(Table1[[#This Row],[وسيلة الدفع]]="محفظة",1,0)</f>
        <v>0</v>
      </c>
      <c r="P1808">
        <f>IF(Table1[[#This Row],[وسيلة الدفع]]="تحويل",1,0)</f>
        <v>1</v>
      </c>
      <c r="Q1808">
        <f>IF(Table1[[#This Row],[حضر التهيئة]]="نعم",1,0)</f>
        <v>1</v>
      </c>
      <c r="R1808">
        <f>IF(Table1[[#This Row],[دورة الفوترة]]="شهري",1,0)</f>
        <v>1</v>
      </c>
    </row>
    <row r="1809" spans="1:18" x14ac:dyDescent="0.25">
      <c r="A1809" t="s">
        <v>1829</v>
      </c>
      <c r="B1809" s="1">
        <v>45639</v>
      </c>
      <c r="C1809" t="s">
        <v>19</v>
      </c>
      <c r="D1809">
        <v>189</v>
      </c>
      <c r="E1809" t="s">
        <v>20</v>
      </c>
      <c r="F1809">
        <v>20</v>
      </c>
      <c r="G1809" t="s">
        <v>15</v>
      </c>
      <c r="H1809">
        <v>2</v>
      </c>
      <c r="I1809">
        <v>20</v>
      </c>
      <c r="J1809">
        <v>0</v>
      </c>
      <c r="K1809" t="s">
        <v>16</v>
      </c>
      <c r="L1809" t="s">
        <v>17</v>
      </c>
      <c r="M1809">
        <f>IF(Table1[[#This Row],[ألغى الاشتراك]]="نعم",1,0)</f>
        <v>0</v>
      </c>
      <c r="N1809">
        <f>IF(Table1[[#This Row],[وسيلة الدفع]]="بطاقة",1,0)</f>
        <v>1</v>
      </c>
      <c r="O1809">
        <f>IF(Table1[[#This Row],[وسيلة الدفع]]="محفظة",1,0)</f>
        <v>0</v>
      </c>
      <c r="P1809">
        <f>IF(Table1[[#This Row],[وسيلة الدفع]]="تحويل",1,0)</f>
        <v>0</v>
      </c>
      <c r="Q1809">
        <f>IF(Table1[[#This Row],[حضر التهيئة]]="نعم",1,0)</f>
        <v>1</v>
      </c>
      <c r="R1809">
        <f>IF(Table1[[#This Row],[دورة الفوترة]]="شهري",1,0)</f>
        <v>0</v>
      </c>
    </row>
    <row r="1810" spans="1:18" x14ac:dyDescent="0.25">
      <c r="A1810" t="s">
        <v>1830</v>
      </c>
      <c r="B1810" s="1">
        <v>45667</v>
      </c>
      <c r="C1810" t="s">
        <v>13</v>
      </c>
      <c r="D1810">
        <v>89</v>
      </c>
      <c r="E1810" t="s">
        <v>20</v>
      </c>
      <c r="F1810">
        <v>7</v>
      </c>
      <c r="G1810" t="s">
        <v>23</v>
      </c>
      <c r="H1810">
        <v>2</v>
      </c>
      <c r="I1810">
        <v>3</v>
      </c>
      <c r="J1810">
        <v>0</v>
      </c>
      <c r="K1810" t="s">
        <v>16</v>
      </c>
      <c r="L1810" t="s">
        <v>17</v>
      </c>
      <c r="M1810">
        <f>IF(Table1[[#This Row],[ألغى الاشتراك]]="نعم",1,0)</f>
        <v>0</v>
      </c>
      <c r="N1810">
        <f>IF(Table1[[#This Row],[وسيلة الدفع]]="بطاقة",1,0)</f>
        <v>0</v>
      </c>
      <c r="O1810">
        <f>IF(Table1[[#This Row],[وسيلة الدفع]]="محفظة",1,0)</f>
        <v>0</v>
      </c>
      <c r="P1810">
        <f>IF(Table1[[#This Row],[وسيلة الدفع]]="تحويل",1,0)</f>
        <v>1</v>
      </c>
      <c r="Q1810">
        <f>IF(Table1[[#This Row],[حضر التهيئة]]="نعم",1,0)</f>
        <v>1</v>
      </c>
      <c r="R1810">
        <f>IF(Table1[[#This Row],[دورة الفوترة]]="شهري",1,0)</f>
        <v>0</v>
      </c>
    </row>
    <row r="1811" spans="1:18" x14ac:dyDescent="0.25">
      <c r="A1811" t="s">
        <v>1831</v>
      </c>
      <c r="B1811" s="1">
        <v>45450</v>
      </c>
      <c r="C1811" t="s">
        <v>19</v>
      </c>
      <c r="D1811">
        <v>189</v>
      </c>
      <c r="E1811" t="s">
        <v>14</v>
      </c>
      <c r="F1811">
        <v>28</v>
      </c>
      <c r="G1811" t="s">
        <v>23</v>
      </c>
      <c r="H1811">
        <v>4</v>
      </c>
      <c r="I1811">
        <v>10</v>
      </c>
      <c r="J1811">
        <v>0</v>
      </c>
      <c r="K1811" t="s">
        <v>16</v>
      </c>
      <c r="L1811" t="s">
        <v>17</v>
      </c>
      <c r="M1811">
        <f>IF(Table1[[#This Row],[ألغى الاشتراك]]="نعم",1,0)</f>
        <v>0</v>
      </c>
      <c r="N1811">
        <f>IF(Table1[[#This Row],[وسيلة الدفع]]="بطاقة",1,0)</f>
        <v>0</v>
      </c>
      <c r="O1811">
        <f>IF(Table1[[#This Row],[وسيلة الدفع]]="محفظة",1,0)</f>
        <v>0</v>
      </c>
      <c r="P1811">
        <f>IF(Table1[[#This Row],[وسيلة الدفع]]="تحويل",1,0)</f>
        <v>1</v>
      </c>
      <c r="Q1811">
        <f>IF(Table1[[#This Row],[حضر التهيئة]]="نعم",1,0)</f>
        <v>1</v>
      </c>
      <c r="R1811">
        <f>IF(Table1[[#This Row],[دورة الفوترة]]="شهري",1,0)</f>
        <v>1</v>
      </c>
    </row>
    <row r="1812" spans="1:18" x14ac:dyDescent="0.25">
      <c r="A1812" t="s">
        <v>1832</v>
      </c>
      <c r="B1812" s="1">
        <v>45744</v>
      </c>
      <c r="C1812" t="s">
        <v>19</v>
      </c>
      <c r="D1812">
        <v>189</v>
      </c>
      <c r="E1812" t="s">
        <v>14</v>
      </c>
      <c r="F1812">
        <v>17</v>
      </c>
      <c r="G1812" t="s">
        <v>21</v>
      </c>
      <c r="H1812">
        <v>2</v>
      </c>
      <c r="I1812">
        <v>43</v>
      </c>
      <c r="J1812">
        <v>0</v>
      </c>
      <c r="K1812" t="s">
        <v>16</v>
      </c>
      <c r="L1812" t="s">
        <v>17</v>
      </c>
      <c r="M1812">
        <f>IF(Table1[[#This Row],[ألغى الاشتراك]]="نعم",1,0)</f>
        <v>0</v>
      </c>
      <c r="N1812">
        <f>IF(Table1[[#This Row],[وسيلة الدفع]]="بطاقة",1,0)</f>
        <v>0</v>
      </c>
      <c r="O1812">
        <f>IF(Table1[[#This Row],[وسيلة الدفع]]="محفظة",1,0)</f>
        <v>1</v>
      </c>
      <c r="P1812">
        <f>IF(Table1[[#This Row],[وسيلة الدفع]]="تحويل",1,0)</f>
        <v>0</v>
      </c>
      <c r="Q1812">
        <f>IF(Table1[[#This Row],[حضر التهيئة]]="نعم",1,0)</f>
        <v>1</v>
      </c>
      <c r="R1812">
        <f>IF(Table1[[#This Row],[دورة الفوترة]]="شهري",1,0)</f>
        <v>1</v>
      </c>
    </row>
    <row r="1813" spans="1:18" x14ac:dyDescent="0.25">
      <c r="A1813" t="s">
        <v>1833</v>
      </c>
      <c r="B1813" s="1">
        <v>45399</v>
      </c>
      <c r="C1813" t="s">
        <v>28</v>
      </c>
      <c r="D1813">
        <v>39</v>
      </c>
      <c r="E1813" t="s">
        <v>14</v>
      </c>
      <c r="F1813">
        <v>14</v>
      </c>
      <c r="G1813" t="s">
        <v>15</v>
      </c>
      <c r="H1813">
        <v>10</v>
      </c>
      <c r="I1813">
        <v>50</v>
      </c>
      <c r="J1813">
        <v>0</v>
      </c>
      <c r="K1813" t="s">
        <v>16</v>
      </c>
      <c r="L1813" t="s">
        <v>16</v>
      </c>
      <c r="M1813">
        <f>IF(Table1[[#This Row],[ألغى الاشتراك]]="نعم",1,0)</f>
        <v>1</v>
      </c>
      <c r="N1813">
        <f>IF(Table1[[#This Row],[وسيلة الدفع]]="بطاقة",1,0)</f>
        <v>1</v>
      </c>
      <c r="O1813">
        <f>IF(Table1[[#This Row],[وسيلة الدفع]]="محفظة",1,0)</f>
        <v>0</v>
      </c>
      <c r="P1813">
        <f>IF(Table1[[#This Row],[وسيلة الدفع]]="تحويل",1,0)</f>
        <v>0</v>
      </c>
      <c r="Q1813">
        <f>IF(Table1[[#This Row],[حضر التهيئة]]="نعم",1,0)</f>
        <v>1</v>
      </c>
      <c r="R1813">
        <f>IF(Table1[[#This Row],[دورة الفوترة]]="شهري",1,0)</f>
        <v>1</v>
      </c>
    </row>
    <row r="1814" spans="1:18" x14ac:dyDescent="0.25">
      <c r="A1814" t="s">
        <v>1834</v>
      </c>
      <c r="B1814" s="1">
        <v>45779</v>
      </c>
      <c r="C1814" t="s">
        <v>13</v>
      </c>
      <c r="D1814">
        <v>89</v>
      </c>
      <c r="E1814" t="s">
        <v>14</v>
      </c>
      <c r="F1814">
        <v>15</v>
      </c>
      <c r="G1814" t="s">
        <v>21</v>
      </c>
      <c r="H1814">
        <v>3</v>
      </c>
      <c r="I1814">
        <v>21</v>
      </c>
      <c r="J1814">
        <v>0</v>
      </c>
      <c r="K1814" t="s">
        <v>17</v>
      </c>
      <c r="L1814" t="s">
        <v>17</v>
      </c>
      <c r="M1814">
        <f>IF(Table1[[#This Row],[ألغى الاشتراك]]="نعم",1,0)</f>
        <v>0</v>
      </c>
      <c r="N1814">
        <f>IF(Table1[[#This Row],[وسيلة الدفع]]="بطاقة",1,0)</f>
        <v>0</v>
      </c>
      <c r="O1814">
        <f>IF(Table1[[#This Row],[وسيلة الدفع]]="محفظة",1,0)</f>
        <v>1</v>
      </c>
      <c r="P1814">
        <f>IF(Table1[[#This Row],[وسيلة الدفع]]="تحويل",1,0)</f>
        <v>0</v>
      </c>
      <c r="Q1814">
        <f>IF(Table1[[#This Row],[حضر التهيئة]]="نعم",1,0)</f>
        <v>0</v>
      </c>
      <c r="R1814">
        <f>IF(Table1[[#This Row],[دورة الفوترة]]="شهري",1,0)</f>
        <v>1</v>
      </c>
    </row>
    <row r="1815" spans="1:18" x14ac:dyDescent="0.25">
      <c r="A1815" t="s">
        <v>1835</v>
      </c>
      <c r="B1815" s="1">
        <v>45580</v>
      </c>
      <c r="C1815" t="s">
        <v>13</v>
      </c>
      <c r="D1815">
        <v>89</v>
      </c>
      <c r="E1815" t="s">
        <v>14</v>
      </c>
      <c r="F1815">
        <v>26</v>
      </c>
      <c r="G1815" t="s">
        <v>23</v>
      </c>
      <c r="H1815">
        <v>6</v>
      </c>
      <c r="I1815">
        <v>26</v>
      </c>
      <c r="J1815">
        <v>0</v>
      </c>
      <c r="K1815" t="s">
        <v>16</v>
      </c>
      <c r="L1815" t="s">
        <v>17</v>
      </c>
      <c r="M1815">
        <f>IF(Table1[[#This Row],[ألغى الاشتراك]]="نعم",1,0)</f>
        <v>0</v>
      </c>
      <c r="N1815">
        <f>IF(Table1[[#This Row],[وسيلة الدفع]]="بطاقة",1,0)</f>
        <v>0</v>
      </c>
      <c r="O1815">
        <f>IF(Table1[[#This Row],[وسيلة الدفع]]="محفظة",1,0)</f>
        <v>0</v>
      </c>
      <c r="P1815">
        <f>IF(Table1[[#This Row],[وسيلة الدفع]]="تحويل",1,0)</f>
        <v>1</v>
      </c>
      <c r="Q1815">
        <f>IF(Table1[[#This Row],[حضر التهيئة]]="نعم",1,0)</f>
        <v>1</v>
      </c>
      <c r="R1815">
        <f>IF(Table1[[#This Row],[دورة الفوترة]]="شهري",1,0)</f>
        <v>1</v>
      </c>
    </row>
    <row r="1816" spans="1:18" x14ac:dyDescent="0.25">
      <c r="A1816" t="s">
        <v>1836</v>
      </c>
      <c r="B1816" s="1">
        <v>45740</v>
      </c>
      <c r="C1816" t="s">
        <v>13</v>
      </c>
      <c r="D1816">
        <v>89</v>
      </c>
      <c r="E1816" t="s">
        <v>14</v>
      </c>
      <c r="F1816">
        <v>27</v>
      </c>
      <c r="G1816" t="s">
        <v>21</v>
      </c>
      <c r="H1816">
        <v>0</v>
      </c>
      <c r="I1816">
        <v>13</v>
      </c>
      <c r="J1816">
        <v>0</v>
      </c>
      <c r="K1816" t="s">
        <v>17</v>
      </c>
      <c r="L1816" t="s">
        <v>17</v>
      </c>
      <c r="M1816">
        <f>IF(Table1[[#This Row],[ألغى الاشتراك]]="نعم",1,0)</f>
        <v>0</v>
      </c>
      <c r="N1816">
        <f>IF(Table1[[#This Row],[وسيلة الدفع]]="بطاقة",1,0)</f>
        <v>0</v>
      </c>
      <c r="O1816">
        <f>IF(Table1[[#This Row],[وسيلة الدفع]]="محفظة",1,0)</f>
        <v>1</v>
      </c>
      <c r="P1816">
        <f>IF(Table1[[#This Row],[وسيلة الدفع]]="تحويل",1,0)</f>
        <v>0</v>
      </c>
      <c r="Q1816">
        <f>IF(Table1[[#This Row],[حضر التهيئة]]="نعم",1,0)</f>
        <v>0</v>
      </c>
      <c r="R1816">
        <f>IF(Table1[[#This Row],[دورة الفوترة]]="شهري",1,0)</f>
        <v>1</v>
      </c>
    </row>
    <row r="1817" spans="1:18" x14ac:dyDescent="0.25">
      <c r="A1817" t="s">
        <v>1837</v>
      </c>
      <c r="B1817" s="1">
        <v>45517</v>
      </c>
      <c r="C1817" t="s">
        <v>13</v>
      </c>
      <c r="D1817">
        <v>89</v>
      </c>
      <c r="E1817" t="s">
        <v>14</v>
      </c>
      <c r="F1817">
        <v>24</v>
      </c>
      <c r="G1817" t="s">
        <v>23</v>
      </c>
      <c r="H1817">
        <v>0</v>
      </c>
      <c r="I1817">
        <v>34</v>
      </c>
      <c r="J1817">
        <v>0</v>
      </c>
      <c r="K1817" t="s">
        <v>16</v>
      </c>
      <c r="L1817" t="s">
        <v>17</v>
      </c>
      <c r="M1817">
        <f>IF(Table1[[#This Row],[ألغى الاشتراك]]="نعم",1,0)</f>
        <v>0</v>
      </c>
      <c r="N1817">
        <f>IF(Table1[[#This Row],[وسيلة الدفع]]="بطاقة",1,0)</f>
        <v>0</v>
      </c>
      <c r="O1817">
        <f>IF(Table1[[#This Row],[وسيلة الدفع]]="محفظة",1,0)</f>
        <v>0</v>
      </c>
      <c r="P1817">
        <f>IF(Table1[[#This Row],[وسيلة الدفع]]="تحويل",1,0)</f>
        <v>1</v>
      </c>
      <c r="Q1817">
        <f>IF(Table1[[#This Row],[حضر التهيئة]]="نعم",1,0)</f>
        <v>1</v>
      </c>
      <c r="R1817">
        <f>IF(Table1[[#This Row],[دورة الفوترة]]="شهري",1,0)</f>
        <v>1</v>
      </c>
    </row>
    <row r="1818" spans="1:18" x14ac:dyDescent="0.25">
      <c r="A1818" t="s">
        <v>1838</v>
      </c>
      <c r="B1818" s="1">
        <v>45779</v>
      </c>
      <c r="C1818" t="s">
        <v>13</v>
      </c>
      <c r="D1818">
        <v>89</v>
      </c>
      <c r="E1818" t="s">
        <v>14</v>
      </c>
      <c r="F1818">
        <v>25</v>
      </c>
      <c r="G1818" t="s">
        <v>15</v>
      </c>
      <c r="H1818">
        <v>1</v>
      </c>
      <c r="I1818">
        <v>41</v>
      </c>
      <c r="J1818">
        <v>0</v>
      </c>
      <c r="K1818" t="s">
        <v>17</v>
      </c>
      <c r="L1818" t="s">
        <v>17</v>
      </c>
      <c r="M1818">
        <f>IF(Table1[[#This Row],[ألغى الاشتراك]]="نعم",1,0)</f>
        <v>0</v>
      </c>
      <c r="N1818">
        <f>IF(Table1[[#This Row],[وسيلة الدفع]]="بطاقة",1,0)</f>
        <v>1</v>
      </c>
      <c r="O1818">
        <f>IF(Table1[[#This Row],[وسيلة الدفع]]="محفظة",1,0)</f>
        <v>0</v>
      </c>
      <c r="P1818">
        <f>IF(Table1[[#This Row],[وسيلة الدفع]]="تحويل",1,0)</f>
        <v>0</v>
      </c>
      <c r="Q1818">
        <f>IF(Table1[[#This Row],[حضر التهيئة]]="نعم",1,0)</f>
        <v>0</v>
      </c>
      <c r="R1818">
        <f>IF(Table1[[#This Row],[دورة الفوترة]]="شهري",1,0)</f>
        <v>1</v>
      </c>
    </row>
    <row r="1819" spans="1:18" x14ac:dyDescent="0.25">
      <c r="A1819" t="s">
        <v>1839</v>
      </c>
      <c r="B1819" s="1">
        <v>45568</v>
      </c>
      <c r="C1819" t="s">
        <v>28</v>
      </c>
      <c r="D1819">
        <v>39</v>
      </c>
      <c r="E1819" t="s">
        <v>14</v>
      </c>
      <c r="F1819">
        <v>16</v>
      </c>
      <c r="G1819" t="s">
        <v>23</v>
      </c>
      <c r="H1819">
        <v>1</v>
      </c>
      <c r="I1819">
        <v>46</v>
      </c>
      <c r="J1819">
        <v>0</v>
      </c>
      <c r="K1819" t="s">
        <v>16</v>
      </c>
      <c r="L1819" t="s">
        <v>17</v>
      </c>
      <c r="M1819">
        <f>IF(Table1[[#This Row],[ألغى الاشتراك]]="نعم",1,0)</f>
        <v>0</v>
      </c>
      <c r="N1819">
        <f>IF(Table1[[#This Row],[وسيلة الدفع]]="بطاقة",1,0)</f>
        <v>0</v>
      </c>
      <c r="O1819">
        <f>IF(Table1[[#This Row],[وسيلة الدفع]]="محفظة",1,0)</f>
        <v>0</v>
      </c>
      <c r="P1819">
        <f>IF(Table1[[#This Row],[وسيلة الدفع]]="تحويل",1,0)</f>
        <v>1</v>
      </c>
      <c r="Q1819">
        <f>IF(Table1[[#This Row],[حضر التهيئة]]="نعم",1,0)</f>
        <v>1</v>
      </c>
      <c r="R1819">
        <f>IF(Table1[[#This Row],[دورة الفوترة]]="شهري",1,0)</f>
        <v>1</v>
      </c>
    </row>
    <row r="1820" spans="1:18" x14ac:dyDescent="0.25">
      <c r="A1820" t="s">
        <v>1840</v>
      </c>
      <c r="B1820" s="1">
        <v>45525</v>
      </c>
      <c r="C1820" t="s">
        <v>19</v>
      </c>
      <c r="D1820">
        <v>189</v>
      </c>
      <c r="E1820" t="s">
        <v>20</v>
      </c>
      <c r="F1820">
        <v>25</v>
      </c>
      <c r="G1820" t="s">
        <v>21</v>
      </c>
      <c r="H1820">
        <v>3</v>
      </c>
      <c r="I1820">
        <v>45</v>
      </c>
      <c r="J1820">
        <v>25</v>
      </c>
      <c r="K1820" t="s">
        <v>16</v>
      </c>
      <c r="L1820" t="s">
        <v>17</v>
      </c>
      <c r="M1820">
        <f>IF(Table1[[#This Row],[ألغى الاشتراك]]="نعم",1,0)</f>
        <v>0</v>
      </c>
      <c r="N1820">
        <f>IF(Table1[[#This Row],[وسيلة الدفع]]="بطاقة",1,0)</f>
        <v>0</v>
      </c>
      <c r="O1820">
        <f>IF(Table1[[#This Row],[وسيلة الدفع]]="محفظة",1,0)</f>
        <v>1</v>
      </c>
      <c r="P1820">
        <f>IF(Table1[[#This Row],[وسيلة الدفع]]="تحويل",1,0)</f>
        <v>0</v>
      </c>
      <c r="Q1820">
        <f>IF(Table1[[#This Row],[حضر التهيئة]]="نعم",1,0)</f>
        <v>1</v>
      </c>
      <c r="R1820">
        <f>IF(Table1[[#This Row],[دورة الفوترة]]="شهري",1,0)</f>
        <v>0</v>
      </c>
    </row>
    <row r="1821" spans="1:18" x14ac:dyDescent="0.25">
      <c r="A1821" t="s">
        <v>1841</v>
      </c>
      <c r="B1821" s="1">
        <v>45572</v>
      </c>
      <c r="C1821" t="s">
        <v>13</v>
      </c>
      <c r="D1821">
        <v>89</v>
      </c>
      <c r="E1821" t="s">
        <v>14</v>
      </c>
      <c r="F1821">
        <v>1</v>
      </c>
      <c r="G1821" t="s">
        <v>15</v>
      </c>
      <c r="H1821">
        <v>1</v>
      </c>
      <c r="I1821">
        <v>31</v>
      </c>
      <c r="J1821">
        <v>10</v>
      </c>
      <c r="K1821" t="s">
        <v>17</v>
      </c>
      <c r="L1821" t="s">
        <v>17</v>
      </c>
      <c r="M1821">
        <f>IF(Table1[[#This Row],[ألغى الاشتراك]]="نعم",1,0)</f>
        <v>0</v>
      </c>
      <c r="N1821">
        <f>IF(Table1[[#This Row],[وسيلة الدفع]]="بطاقة",1,0)</f>
        <v>1</v>
      </c>
      <c r="O1821">
        <f>IF(Table1[[#This Row],[وسيلة الدفع]]="محفظة",1,0)</f>
        <v>0</v>
      </c>
      <c r="P1821">
        <f>IF(Table1[[#This Row],[وسيلة الدفع]]="تحويل",1,0)</f>
        <v>0</v>
      </c>
      <c r="Q1821">
        <f>IF(Table1[[#This Row],[حضر التهيئة]]="نعم",1,0)</f>
        <v>0</v>
      </c>
      <c r="R1821">
        <f>IF(Table1[[#This Row],[دورة الفوترة]]="شهري",1,0)</f>
        <v>1</v>
      </c>
    </row>
    <row r="1822" spans="1:18" x14ac:dyDescent="0.25">
      <c r="A1822" t="s">
        <v>1842</v>
      </c>
      <c r="B1822" s="1">
        <v>45985</v>
      </c>
      <c r="C1822" t="s">
        <v>28</v>
      </c>
      <c r="D1822">
        <v>39</v>
      </c>
      <c r="E1822" t="s">
        <v>14</v>
      </c>
      <c r="F1822">
        <v>25</v>
      </c>
      <c r="G1822" t="s">
        <v>15</v>
      </c>
      <c r="H1822">
        <v>3</v>
      </c>
      <c r="I1822">
        <v>5</v>
      </c>
      <c r="J1822">
        <v>0</v>
      </c>
      <c r="K1822" t="s">
        <v>16</v>
      </c>
      <c r="L1822" t="s">
        <v>16</v>
      </c>
      <c r="M1822">
        <f>IF(Table1[[#This Row],[ألغى الاشتراك]]="نعم",1,0)</f>
        <v>1</v>
      </c>
      <c r="N1822">
        <f>IF(Table1[[#This Row],[وسيلة الدفع]]="بطاقة",1,0)</f>
        <v>1</v>
      </c>
      <c r="O1822">
        <f>IF(Table1[[#This Row],[وسيلة الدفع]]="محفظة",1,0)</f>
        <v>0</v>
      </c>
      <c r="P1822">
        <f>IF(Table1[[#This Row],[وسيلة الدفع]]="تحويل",1,0)</f>
        <v>0</v>
      </c>
      <c r="Q1822">
        <f>IF(Table1[[#This Row],[حضر التهيئة]]="نعم",1,0)</f>
        <v>1</v>
      </c>
      <c r="R1822">
        <f>IF(Table1[[#This Row],[دورة الفوترة]]="شهري",1,0)</f>
        <v>1</v>
      </c>
    </row>
    <row r="1823" spans="1:18" x14ac:dyDescent="0.25">
      <c r="A1823" t="s">
        <v>1843</v>
      </c>
      <c r="B1823" s="1">
        <v>45521</v>
      </c>
      <c r="C1823" t="s">
        <v>13</v>
      </c>
      <c r="D1823">
        <v>89</v>
      </c>
      <c r="E1823" t="s">
        <v>14</v>
      </c>
      <c r="F1823">
        <v>18</v>
      </c>
      <c r="G1823" t="s">
        <v>23</v>
      </c>
      <c r="H1823">
        <v>0</v>
      </c>
      <c r="I1823">
        <v>2</v>
      </c>
      <c r="J1823">
        <v>0</v>
      </c>
      <c r="K1823" t="s">
        <v>16</v>
      </c>
      <c r="L1823" t="s">
        <v>17</v>
      </c>
      <c r="M1823">
        <f>IF(Table1[[#This Row],[ألغى الاشتراك]]="نعم",1,0)</f>
        <v>0</v>
      </c>
      <c r="N1823">
        <f>IF(Table1[[#This Row],[وسيلة الدفع]]="بطاقة",1,0)</f>
        <v>0</v>
      </c>
      <c r="O1823">
        <f>IF(Table1[[#This Row],[وسيلة الدفع]]="محفظة",1,0)</f>
        <v>0</v>
      </c>
      <c r="P1823">
        <f>IF(Table1[[#This Row],[وسيلة الدفع]]="تحويل",1,0)</f>
        <v>1</v>
      </c>
      <c r="Q1823">
        <f>IF(Table1[[#This Row],[حضر التهيئة]]="نعم",1,0)</f>
        <v>1</v>
      </c>
      <c r="R1823">
        <f>IF(Table1[[#This Row],[دورة الفوترة]]="شهري",1,0)</f>
        <v>1</v>
      </c>
    </row>
    <row r="1824" spans="1:18" x14ac:dyDescent="0.25">
      <c r="A1824" t="s">
        <v>1844</v>
      </c>
      <c r="B1824" s="1">
        <v>45329</v>
      </c>
      <c r="C1824" t="s">
        <v>28</v>
      </c>
      <c r="D1824">
        <v>39</v>
      </c>
      <c r="E1824" t="s">
        <v>14</v>
      </c>
      <c r="F1824">
        <v>11</v>
      </c>
      <c r="G1824" t="s">
        <v>21</v>
      </c>
      <c r="H1824">
        <v>1</v>
      </c>
      <c r="I1824">
        <v>21</v>
      </c>
      <c r="J1824">
        <v>10</v>
      </c>
      <c r="K1824" t="s">
        <v>17</v>
      </c>
      <c r="L1824" t="s">
        <v>17</v>
      </c>
      <c r="M1824">
        <f>IF(Table1[[#This Row],[ألغى الاشتراك]]="نعم",1,0)</f>
        <v>0</v>
      </c>
      <c r="N1824">
        <f>IF(Table1[[#This Row],[وسيلة الدفع]]="بطاقة",1,0)</f>
        <v>0</v>
      </c>
      <c r="O1824">
        <f>IF(Table1[[#This Row],[وسيلة الدفع]]="محفظة",1,0)</f>
        <v>1</v>
      </c>
      <c r="P1824">
        <f>IF(Table1[[#This Row],[وسيلة الدفع]]="تحويل",1,0)</f>
        <v>0</v>
      </c>
      <c r="Q1824">
        <f>IF(Table1[[#This Row],[حضر التهيئة]]="نعم",1,0)</f>
        <v>0</v>
      </c>
      <c r="R1824">
        <f>IF(Table1[[#This Row],[دورة الفوترة]]="شهري",1,0)</f>
        <v>1</v>
      </c>
    </row>
    <row r="1825" spans="1:18" x14ac:dyDescent="0.25">
      <c r="A1825" t="s">
        <v>1845</v>
      </c>
      <c r="B1825" s="1">
        <v>45395</v>
      </c>
      <c r="C1825" t="s">
        <v>13</v>
      </c>
      <c r="D1825">
        <v>89</v>
      </c>
      <c r="E1825" t="s">
        <v>14</v>
      </c>
      <c r="F1825">
        <v>15</v>
      </c>
      <c r="G1825" t="s">
        <v>15</v>
      </c>
      <c r="H1825">
        <v>2</v>
      </c>
      <c r="I1825">
        <v>31</v>
      </c>
      <c r="J1825">
        <v>25</v>
      </c>
      <c r="K1825" t="s">
        <v>16</v>
      </c>
      <c r="L1825" t="s">
        <v>16</v>
      </c>
      <c r="M1825">
        <f>IF(Table1[[#This Row],[ألغى الاشتراك]]="نعم",1,0)</f>
        <v>1</v>
      </c>
      <c r="N1825">
        <f>IF(Table1[[#This Row],[وسيلة الدفع]]="بطاقة",1,0)</f>
        <v>1</v>
      </c>
      <c r="O1825">
        <f>IF(Table1[[#This Row],[وسيلة الدفع]]="محفظة",1,0)</f>
        <v>0</v>
      </c>
      <c r="P1825">
        <f>IF(Table1[[#This Row],[وسيلة الدفع]]="تحويل",1,0)</f>
        <v>0</v>
      </c>
      <c r="Q1825">
        <f>IF(Table1[[#This Row],[حضر التهيئة]]="نعم",1,0)</f>
        <v>1</v>
      </c>
      <c r="R1825">
        <f>IF(Table1[[#This Row],[دورة الفوترة]]="شهري",1,0)</f>
        <v>1</v>
      </c>
    </row>
    <row r="1826" spans="1:18" x14ac:dyDescent="0.25">
      <c r="A1826" t="s">
        <v>1846</v>
      </c>
      <c r="B1826" s="1">
        <v>45454</v>
      </c>
      <c r="C1826" t="s">
        <v>13</v>
      </c>
      <c r="D1826">
        <v>89</v>
      </c>
      <c r="E1826" t="s">
        <v>20</v>
      </c>
      <c r="F1826">
        <v>19</v>
      </c>
      <c r="G1826" t="s">
        <v>21</v>
      </c>
      <c r="H1826">
        <v>5</v>
      </c>
      <c r="I1826">
        <v>9</v>
      </c>
      <c r="J1826">
        <v>10</v>
      </c>
      <c r="K1826" t="s">
        <v>16</v>
      </c>
      <c r="L1826" t="s">
        <v>17</v>
      </c>
      <c r="M1826">
        <f>IF(Table1[[#This Row],[ألغى الاشتراك]]="نعم",1,0)</f>
        <v>0</v>
      </c>
      <c r="N1826">
        <f>IF(Table1[[#This Row],[وسيلة الدفع]]="بطاقة",1,0)</f>
        <v>0</v>
      </c>
      <c r="O1826">
        <f>IF(Table1[[#This Row],[وسيلة الدفع]]="محفظة",1,0)</f>
        <v>1</v>
      </c>
      <c r="P1826">
        <f>IF(Table1[[#This Row],[وسيلة الدفع]]="تحويل",1,0)</f>
        <v>0</v>
      </c>
      <c r="Q1826">
        <f>IF(Table1[[#This Row],[حضر التهيئة]]="نعم",1,0)</f>
        <v>1</v>
      </c>
      <c r="R1826">
        <f>IF(Table1[[#This Row],[دورة الفوترة]]="شهري",1,0)</f>
        <v>0</v>
      </c>
    </row>
    <row r="1827" spans="1:18" x14ac:dyDescent="0.25">
      <c r="A1827" t="s">
        <v>1847</v>
      </c>
      <c r="B1827" s="1">
        <v>45977</v>
      </c>
      <c r="C1827" t="s">
        <v>28</v>
      </c>
      <c r="D1827">
        <v>39</v>
      </c>
      <c r="E1827" t="s">
        <v>14</v>
      </c>
      <c r="F1827">
        <v>1</v>
      </c>
      <c r="G1827" t="s">
        <v>23</v>
      </c>
      <c r="H1827">
        <v>2</v>
      </c>
      <c r="I1827">
        <v>19</v>
      </c>
      <c r="J1827">
        <v>0</v>
      </c>
      <c r="K1827" t="s">
        <v>16</v>
      </c>
      <c r="L1827" t="s">
        <v>17</v>
      </c>
      <c r="M1827">
        <f>IF(Table1[[#This Row],[ألغى الاشتراك]]="نعم",1,0)</f>
        <v>0</v>
      </c>
      <c r="N1827">
        <f>IF(Table1[[#This Row],[وسيلة الدفع]]="بطاقة",1,0)</f>
        <v>0</v>
      </c>
      <c r="O1827">
        <f>IF(Table1[[#This Row],[وسيلة الدفع]]="محفظة",1,0)</f>
        <v>0</v>
      </c>
      <c r="P1827">
        <f>IF(Table1[[#This Row],[وسيلة الدفع]]="تحويل",1,0)</f>
        <v>1</v>
      </c>
      <c r="Q1827">
        <f>IF(Table1[[#This Row],[حضر التهيئة]]="نعم",1,0)</f>
        <v>1</v>
      </c>
      <c r="R1827">
        <f>IF(Table1[[#This Row],[دورة الفوترة]]="شهري",1,0)</f>
        <v>1</v>
      </c>
    </row>
    <row r="1828" spans="1:18" x14ac:dyDescent="0.25">
      <c r="A1828" t="s">
        <v>1848</v>
      </c>
      <c r="B1828" s="1">
        <v>45391</v>
      </c>
      <c r="C1828" t="s">
        <v>28</v>
      </c>
      <c r="D1828">
        <v>39</v>
      </c>
      <c r="E1828" t="s">
        <v>14</v>
      </c>
      <c r="F1828">
        <v>12</v>
      </c>
      <c r="G1828" t="s">
        <v>15</v>
      </c>
      <c r="H1828">
        <v>0</v>
      </c>
      <c r="I1828">
        <v>28</v>
      </c>
      <c r="J1828">
        <v>0</v>
      </c>
      <c r="K1828" t="s">
        <v>17</v>
      </c>
      <c r="L1828" t="s">
        <v>17</v>
      </c>
      <c r="M1828">
        <f>IF(Table1[[#This Row],[ألغى الاشتراك]]="نعم",1,0)</f>
        <v>0</v>
      </c>
      <c r="N1828">
        <f>IF(Table1[[#This Row],[وسيلة الدفع]]="بطاقة",1,0)</f>
        <v>1</v>
      </c>
      <c r="O1828">
        <f>IF(Table1[[#This Row],[وسيلة الدفع]]="محفظة",1,0)</f>
        <v>0</v>
      </c>
      <c r="P1828">
        <f>IF(Table1[[#This Row],[وسيلة الدفع]]="تحويل",1,0)</f>
        <v>0</v>
      </c>
      <c r="Q1828">
        <f>IF(Table1[[#This Row],[حضر التهيئة]]="نعم",1,0)</f>
        <v>0</v>
      </c>
      <c r="R1828">
        <f>IF(Table1[[#This Row],[دورة الفوترة]]="شهري",1,0)</f>
        <v>1</v>
      </c>
    </row>
    <row r="1829" spans="1:18" x14ac:dyDescent="0.25">
      <c r="A1829" t="s">
        <v>1849</v>
      </c>
      <c r="B1829" s="1">
        <v>45671</v>
      </c>
      <c r="C1829" t="s">
        <v>13</v>
      </c>
      <c r="D1829">
        <v>89</v>
      </c>
      <c r="E1829" t="s">
        <v>20</v>
      </c>
      <c r="F1829">
        <v>9</v>
      </c>
      <c r="G1829" t="s">
        <v>21</v>
      </c>
      <c r="H1829">
        <v>0</v>
      </c>
      <c r="I1829">
        <v>45</v>
      </c>
      <c r="J1829">
        <v>0</v>
      </c>
      <c r="K1829" t="s">
        <v>17</v>
      </c>
      <c r="L1829" t="s">
        <v>17</v>
      </c>
      <c r="M1829">
        <f>IF(Table1[[#This Row],[ألغى الاشتراك]]="نعم",1,0)</f>
        <v>0</v>
      </c>
      <c r="N1829">
        <f>IF(Table1[[#This Row],[وسيلة الدفع]]="بطاقة",1,0)</f>
        <v>0</v>
      </c>
      <c r="O1829">
        <f>IF(Table1[[#This Row],[وسيلة الدفع]]="محفظة",1,0)</f>
        <v>1</v>
      </c>
      <c r="P1829">
        <f>IF(Table1[[#This Row],[وسيلة الدفع]]="تحويل",1,0)</f>
        <v>0</v>
      </c>
      <c r="Q1829">
        <f>IF(Table1[[#This Row],[حضر التهيئة]]="نعم",1,0)</f>
        <v>0</v>
      </c>
      <c r="R1829">
        <f>IF(Table1[[#This Row],[دورة الفوترة]]="شهري",1,0)</f>
        <v>0</v>
      </c>
    </row>
    <row r="1830" spans="1:18" x14ac:dyDescent="0.25">
      <c r="A1830" t="s">
        <v>1850</v>
      </c>
      <c r="B1830" s="1">
        <v>45846</v>
      </c>
      <c r="C1830" t="s">
        <v>13</v>
      </c>
      <c r="D1830">
        <v>89</v>
      </c>
      <c r="E1830" t="s">
        <v>14</v>
      </c>
      <c r="F1830">
        <v>12</v>
      </c>
      <c r="G1830" t="s">
        <v>21</v>
      </c>
      <c r="H1830">
        <v>0</v>
      </c>
      <c r="I1830">
        <v>38</v>
      </c>
      <c r="J1830">
        <v>15</v>
      </c>
      <c r="K1830" t="s">
        <v>17</v>
      </c>
      <c r="L1830" t="s">
        <v>17</v>
      </c>
      <c r="M1830">
        <f>IF(Table1[[#This Row],[ألغى الاشتراك]]="نعم",1,0)</f>
        <v>0</v>
      </c>
      <c r="N1830">
        <f>IF(Table1[[#This Row],[وسيلة الدفع]]="بطاقة",1,0)</f>
        <v>0</v>
      </c>
      <c r="O1830">
        <f>IF(Table1[[#This Row],[وسيلة الدفع]]="محفظة",1,0)</f>
        <v>1</v>
      </c>
      <c r="P1830">
        <f>IF(Table1[[#This Row],[وسيلة الدفع]]="تحويل",1,0)</f>
        <v>0</v>
      </c>
      <c r="Q1830">
        <f>IF(Table1[[#This Row],[حضر التهيئة]]="نعم",1,0)</f>
        <v>0</v>
      </c>
      <c r="R1830">
        <f>IF(Table1[[#This Row],[دورة الفوترة]]="شهري",1,0)</f>
        <v>1</v>
      </c>
    </row>
    <row r="1831" spans="1:18" x14ac:dyDescent="0.25">
      <c r="A1831" t="s">
        <v>1851</v>
      </c>
      <c r="B1831" s="1">
        <v>45631</v>
      </c>
      <c r="C1831" t="s">
        <v>13</v>
      </c>
      <c r="D1831">
        <v>89</v>
      </c>
      <c r="E1831" t="s">
        <v>20</v>
      </c>
      <c r="F1831">
        <v>12</v>
      </c>
      <c r="G1831" t="s">
        <v>21</v>
      </c>
      <c r="H1831">
        <v>1</v>
      </c>
      <c r="I1831">
        <v>38</v>
      </c>
      <c r="J1831">
        <v>0</v>
      </c>
      <c r="K1831" t="s">
        <v>17</v>
      </c>
      <c r="L1831" t="s">
        <v>17</v>
      </c>
      <c r="M1831">
        <f>IF(Table1[[#This Row],[ألغى الاشتراك]]="نعم",1,0)</f>
        <v>0</v>
      </c>
      <c r="N1831">
        <f>IF(Table1[[#This Row],[وسيلة الدفع]]="بطاقة",1,0)</f>
        <v>0</v>
      </c>
      <c r="O1831">
        <f>IF(Table1[[#This Row],[وسيلة الدفع]]="محفظة",1,0)</f>
        <v>1</v>
      </c>
      <c r="P1831">
        <f>IF(Table1[[#This Row],[وسيلة الدفع]]="تحويل",1,0)</f>
        <v>0</v>
      </c>
      <c r="Q1831">
        <f>IF(Table1[[#This Row],[حضر التهيئة]]="نعم",1,0)</f>
        <v>0</v>
      </c>
      <c r="R1831">
        <f>IF(Table1[[#This Row],[دورة الفوترة]]="شهري",1,0)</f>
        <v>0</v>
      </c>
    </row>
    <row r="1832" spans="1:18" x14ac:dyDescent="0.25">
      <c r="A1832" t="s">
        <v>1852</v>
      </c>
      <c r="B1832" s="1">
        <v>45341</v>
      </c>
      <c r="C1832" t="s">
        <v>13</v>
      </c>
      <c r="D1832">
        <v>89</v>
      </c>
      <c r="E1832" t="s">
        <v>14</v>
      </c>
      <c r="F1832">
        <v>19</v>
      </c>
      <c r="G1832" t="s">
        <v>15</v>
      </c>
      <c r="H1832">
        <v>1</v>
      </c>
      <c r="I1832">
        <v>3</v>
      </c>
      <c r="J1832">
        <v>10</v>
      </c>
      <c r="K1832" t="s">
        <v>17</v>
      </c>
      <c r="L1832" t="s">
        <v>16</v>
      </c>
      <c r="M1832">
        <f>IF(Table1[[#This Row],[ألغى الاشتراك]]="نعم",1,0)</f>
        <v>1</v>
      </c>
      <c r="N1832">
        <f>IF(Table1[[#This Row],[وسيلة الدفع]]="بطاقة",1,0)</f>
        <v>1</v>
      </c>
      <c r="O1832">
        <f>IF(Table1[[#This Row],[وسيلة الدفع]]="محفظة",1,0)</f>
        <v>0</v>
      </c>
      <c r="P1832">
        <f>IF(Table1[[#This Row],[وسيلة الدفع]]="تحويل",1,0)</f>
        <v>0</v>
      </c>
      <c r="Q1832">
        <f>IF(Table1[[#This Row],[حضر التهيئة]]="نعم",1,0)</f>
        <v>0</v>
      </c>
      <c r="R1832">
        <f>IF(Table1[[#This Row],[دورة الفوترة]]="شهري",1,0)</f>
        <v>1</v>
      </c>
    </row>
    <row r="1833" spans="1:18" x14ac:dyDescent="0.25">
      <c r="A1833" t="s">
        <v>1853</v>
      </c>
      <c r="B1833" s="1">
        <v>45403</v>
      </c>
      <c r="C1833" t="s">
        <v>13</v>
      </c>
      <c r="D1833">
        <v>89</v>
      </c>
      <c r="E1833" t="s">
        <v>20</v>
      </c>
      <c r="F1833">
        <v>3</v>
      </c>
      <c r="G1833" t="s">
        <v>21</v>
      </c>
      <c r="H1833">
        <v>1</v>
      </c>
      <c r="I1833">
        <v>25</v>
      </c>
      <c r="J1833">
        <v>25</v>
      </c>
      <c r="K1833" t="s">
        <v>17</v>
      </c>
      <c r="L1833" t="s">
        <v>17</v>
      </c>
      <c r="M1833">
        <f>IF(Table1[[#This Row],[ألغى الاشتراك]]="نعم",1,0)</f>
        <v>0</v>
      </c>
      <c r="N1833">
        <f>IF(Table1[[#This Row],[وسيلة الدفع]]="بطاقة",1,0)</f>
        <v>0</v>
      </c>
      <c r="O1833">
        <f>IF(Table1[[#This Row],[وسيلة الدفع]]="محفظة",1,0)</f>
        <v>1</v>
      </c>
      <c r="P1833">
        <f>IF(Table1[[#This Row],[وسيلة الدفع]]="تحويل",1,0)</f>
        <v>0</v>
      </c>
      <c r="Q1833">
        <f>IF(Table1[[#This Row],[حضر التهيئة]]="نعم",1,0)</f>
        <v>0</v>
      </c>
      <c r="R1833">
        <f>IF(Table1[[#This Row],[دورة الفوترة]]="شهري",1,0)</f>
        <v>0</v>
      </c>
    </row>
    <row r="1834" spans="1:18" x14ac:dyDescent="0.25">
      <c r="A1834" t="s">
        <v>1854</v>
      </c>
      <c r="B1834" s="1">
        <v>45450</v>
      </c>
      <c r="C1834" t="s">
        <v>19</v>
      </c>
      <c r="D1834">
        <v>189</v>
      </c>
      <c r="E1834" t="s">
        <v>14</v>
      </c>
      <c r="F1834">
        <v>21</v>
      </c>
      <c r="G1834" t="s">
        <v>21</v>
      </c>
      <c r="H1834">
        <v>2</v>
      </c>
      <c r="I1834">
        <v>31</v>
      </c>
      <c r="J1834">
        <v>10</v>
      </c>
      <c r="K1834" t="s">
        <v>17</v>
      </c>
      <c r="L1834" t="s">
        <v>17</v>
      </c>
      <c r="M1834">
        <f>IF(Table1[[#This Row],[ألغى الاشتراك]]="نعم",1,0)</f>
        <v>0</v>
      </c>
      <c r="N1834">
        <f>IF(Table1[[#This Row],[وسيلة الدفع]]="بطاقة",1,0)</f>
        <v>0</v>
      </c>
      <c r="O1834">
        <f>IF(Table1[[#This Row],[وسيلة الدفع]]="محفظة",1,0)</f>
        <v>1</v>
      </c>
      <c r="P1834">
        <f>IF(Table1[[#This Row],[وسيلة الدفع]]="تحويل",1,0)</f>
        <v>0</v>
      </c>
      <c r="Q1834">
        <f>IF(Table1[[#This Row],[حضر التهيئة]]="نعم",1,0)</f>
        <v>0</v>
      </c>
      <c r="R1834">
        <f>IF(Table1[[#This Row],[دورة الفوترة]]="شهري",1,0)</f>
        <v>1</v>
      </c>
    </row>
    <row r="1835" spans="1:18" x14ac:dyDescent="0.25">
      <c r="A1835" t="s">
        <v>1855</v>
      </c>
      <c r="B1835" s="1">
        <v>45858</v>
      </c>
      <c r="C1835" t="s">
        <v>13</v>
      </c>
      <c r="D1835">
        <v>89</v>
      </c>
      <c r="E1835" t="s">
        <v>14</v>
      </c>
      <c r="F1835">
        <v>27</v>
      </c>
      <c r="G1835" t="s">
        <v>23</v>
      </c>
      <c r="H1835">
        <v>4</v>
      </c>
      <c r="I1835">
        <v>13</v>
      </c>
      <c r="J1835">
        <v>0</v>
      </c>
      <c r="K1835" t="s">
        <v>16</v>
      </c>
      <c r="L1835" t="s">
        <v>17</v>
      </c>
      <c r="M1835">
        <f>IF(Table1[[#This Row],[ألغى الاشتراك]]="نعم",1,0)</f>
        <v>0</v>
      </c>
      <c r="N1835">
        <f>IF(Table1[[#This Row],[وسيلة الدفع]]="بطاقة",1,0)</f>
        <v>0</v>
      </c>
      <c r="O1835">
        <f>IF(Table1[[#This Row],[وسيلة الدفع]]="محفظة",1,0)</f>
        <v>0</v>
      </c>
      <c r="P1835">
        <f>IF(Table1[[#This Row],[وسيلة الدفع]]="تحويل",1,0)</f>
        <v>1</v>
      </c>
      <c r="Q1835">
        <f>IF(Table1[[#This Row],[حضر التهيئة]]="نعم",1,0)</f>
        <v>1</v>
      </c>
      <c r="R1835">
        <f>IF(Table1[[#This Row],[دورة الفوترة]]="شهري",1,0)</f>
        <v>1</v>
      </c>
    </row>
    <row r="1836" spans="1:18" x14ac:dyDescent="0.25">
      <c r="A1836" t="s">
        <v>1856</v>
      </c>
      <c r="B1836" s="1">
        <v>45631</v>
      </c>
      <c r="C1836" t="s">
        <v>13</v>
      </c>
      <c r="D1836">
        <v>89</v>
      </c>
      <c r="E1836" t="s">
        <v>14</v>
      </c>
      <c r="F1836">
        <v>30</v>
      </c>
      <c r="G1836" t="s">
        <v>15</v>
      </c>
      <c r="H1836">
        <v>0</v>
      </c>
      <c r="I1836">
        <v>26</v>
      </c>
      <c r="J1836">
        <v>0</v>
      </c>
      <c r="K1836" t="s">
        <v>16</v>
      </c>
      <c r="L1836" t="s">
        <v>17</v>
      </c>
      <c r="M1836">
        <f>IF(Table1[[#This Row],[ألغى الاشتراك]]="نعم",1,0)</f>
        <v>0</v>
      </c>
      <c r="N1836">
        <f>IF(Table1[[#This Row],[وسيلة الدفع]]="بطاقة",1,0)</f>
        <v>1</v>
      </c>
      <c r="O1836">
        <f>IF(Table1[[#This Row],[وسيلة الدفع]]="محفظة",1,0)</f>
        <v>0</v>
      </c>
      <c r="P1836">
        <f>IF(Table1[[#This Row],[وسيلة الدفع]]="تحويل",1,0)</f>
        <v>0</v>
      </c>
      <c r="Q1836">
        <f>IF(Table1[[#This Row],[حضر التهيئة]]="نعم",1,0)</f>
        <v>1</v>
      </c>
      <c r="R1836">
        <f>IF(Table1[[#This Row],[دورة الفوترة]]="شهري",1,0)</f>
        <v>1</v>
      </c>
    </row>
    <row r="1837" spans="1:18" x14ac:dyDescent="0.25">
      <c r="A1837" t="s">
        <v>1857</v>
      </c>
      <c r="B1837" s="1">
        <v>45329</v>
      </c>
      <c r="C1837" t="s">
        <v>28</v>
      </c>
      <c r="D1837">
        <v>39</v>
      </c>
      <c r="E1837" t="s">
        <v>20</v>
      </c>
      <c r="F1837">
        <v>25</v>
      </c>
      <c r="G1837" t="s">
        <v>21</v>
      </c>
      <c r="H1837">
        <v>4</v>
      </c>
      <c r="I1837">
        <v>31</v>
      </c>
      <c r="J1837">
        <v>10</v>
      </c>
      <c r="K1837" t="s">
        <v>16</v>
      </c>
      <c r="L1837" t="s">
        <v>17</v>
      </c>
      <c r="M1837">
        <f>IF(Table1[[#This Row],[ألغى الاشتراك]]="نعم",1,0)</f>
        <v>0</v>
      </c>
      <c r="N1837">
        <f>IF(Table1[[#This Row],[وسيلة الدفع]]="بطاقة",1,0)</f>
        <v>0</v>
      </c>
      <c r="O1837">
        <f>IF(Table1[[#This Row],[وسيلة الدفع]]="محفظة",1,0)</f>
        <v>1</v>
      </c>
      <c r="P1837">
        <f>IF(Table1[[#This Row],[وسيلة الدفع]]="تحويل",1,0)</f>
        <v>0</v>
      </c>
      <c r="Q1837">
        <f>IF(Table1[[#This Row],[حضر التهيئة]]="نعم",1,0)</f>
        <v>1</v>
      </c>
      <c r="R1837">
        <f>IF(Table1[[#This Row],[دورة الفوترة]]="شهري",1,0)</f>
        <v>0</v>
      </c>
    </row>
    <row r="1838" spans="1:18" x14ac:dyDescent="0.25">
      <c r="A1838" t="s">
        <v>1858</v>
      </c>
      <c r="B1838" s="1">
        <v>45732</v>
      </c>
      <c r="C1838" t="s">
        <v>13</v>
      </c>
      <c r="D1838">
        <v>89</v>
      </c>
      <c r="E1838" t="s">
        <v>20</v>
      </c>
      <c r="F1838">
        <v>5</v>
      </c>
      <c r="G1838" t="s">
        <v>15</v>
      </c>
      <c r="H1838">
        <v>1</v>
      </c>
      <c r="I1838">
        <v>39</v>
      </c>
      <c r="J1838">
        <v>0</v>
      </c>
      <c r="K1838" t="s">
        <v>16</v>
      </c>
      <c r="L1838" t="s">
        <v>17</v>
      </c>
      <c r="M1838">
        <f>IF(Table1[[#This Row],[ألغى الاشتراك]]="نعم",1,0)</f>
        <v>0</v>
      </c>
      <c r="N1838">
        <f>IF(Table1[[#This Row],[وسيلة الدفع]]="بطاقة",1,0)</f>
        <v>1</v>
      </c>
      <c r="O1838">
        <f>IF(Table1[[#This Row],[وسيلة الدفع]]="محفظة",1,0)</f>
        <v>0</v>
      </c>
      <c r="P1838">
        <f>IF(Table1[[#This Row],[وسيلة الدفع]]="تحويل",1,0)</f>
        <v>0</v>
      </c>
      <c r="Q1838">
        <f>IF(Table1[[#This Row],[حضر التهيئة]]="نعم",1,0)</f>
        <v>1</v>
      </c>
      <c r="R1838">
        <f>IF(Table1[[#This Row],[دورة الفوترة]]="شهري",1,0)</f>
        <v>0</v>
      </c>
    </row>
    <row r="1839" spans="1:18" x14ac:dyDescent="0.25">
      <c r="A1839" t="s">
        <v>1859</v>
      </c>
      <c r="B1839" s="1">
        <v>45517</v>
      </c>
      <c r="C1839" t="s">
        <v>19</v>
      </c>
      <c r="D1839">
        <v>189</v>
      </c>
      <c r="E1839" t="s">
        <v>20</v>
      </c>
      <c r="F1839">
        <v>12</v>
      </c>
      <c r="G1839" t="s">
        <v>23</v>
      </c>
      <c r="H1839">
        <v>0</v>
      </c>
      <c r="I1839">
        <v>30</v>
      </c>
      <c r="J1839">
        <v>0</v>
      </c>
      <c r="K1839" t="s">
        <v>16</v>
      </c>
      <c r="L1839" t="s">
        <v>17</v>
      </c>
      <c r="M1839">
        <f>IF(Table1[[#This Row],[ألغى الاشتراك]]="نعم",1,0)</f>
        <v>0</v>
      </c>
      <c r="N1839">
        <f>IF(Table1[[#This Row],[وسيلة الدفع]]="بطاقة",1,0)</f>
        <v>0</v>
      </c>
      <c r="O1839">
        <f>IF(Table1[[#This Row],[وسيلة الدفع]]="محفظة",1,0)</f>
        <v>0</v>
      </c>
      <c r="P1839">
        <f>IF(Table1[[#This Row],[وسيلة الدفع]]="تحويل",1,0)</f>
        <v>1</v>
      </c>
      <c r="Q1839">
        <f>IF(Table1[[#This Row],[حضر التهيئة]]="نعم",1,0)</f>
        <v>1</v>
      </c>
      <c r="R1839">
        <f>IF(Table1[[#This Row],[دورة الفوترة]]="شهري",1,0)</f>
        <v>0</v>
      </c>
    </row>
    <row r="1840" spans="1:18" x14ac:dyDescent="0.25">
      <c r="A1840" t="s">
        <v>1860</v>
      </c>
      <c r="B1840" s="1">
        <v>45572</v>
      </c>
      <c r="C1840" t="s">
        <v>28</v>
      </c>
      <c r="D1840">
        <v>39</v>
      </c>
      <c r="E1840" t="s">
        <v>14</v>
      </c>
      <c r="F1840">
        <v>15</v>
      </c>
      <c r="G1840" t="s">
        <v>21</v>
      </c>
      <c r="H1840">
        <v>2</v>
      </c>
      <c r="I1840">
        <v>31</v>
      </c>
      <c r="J1840">
        <v>10</v>
      </c>
      <c r="K1840" t="s">
        <v>16</v>
      </c>
      <c r="L1840" t="s">
        <v>17</v>
      </c>
      <c r="M1840">
        <f>IF(Table1[[#This Row],[ألغى الاشتراك]]="نعم",1,0)</f>
        <v>0</v>
      </c>
      <c r="N1840">
        <f>IF(Table1[[#This Row],[وسيلة الدفع]]="بطاقة",1,0)</f>
        <v>0</v>
      </c>
      <c r="O1840">
        <f>IF(Table1[[#This Row],[وسيلة الدفع]]="محفظة",1,0)</f>
        <v>1</v>
      </c>
      <c r="P1840">
        <f>IF(Table1[[#This Row],[وسيلة الدفع]]="تحويل",1,0)</f>
        <v>0</v>
      </c>
      <c r="Q1840">
        <f>IF(Table1[[#This Row],[حضر التهيئة]]="نعم",1,0)</f>
        <v>1</v>
      </c>
      <c r="R1840">
        <f>IF(Table1[[#This Row],[دورة الفوترة]]="شهري",1,0)</f>
        <v>1</v>
      </c>
    </row>
    <row r="1841" spans="1:18" x14ac:dyDescent="0.25">
      <c r="A1841" t="s">
        <v>1861</v>
      </c>
      <c r="B1841" s="1">
        <v>45736</v>
      </c>
      <c r="C1841" t="s">
        <v>13</v>
      </c>
      <c r="D1841">
        <v>89</v>
      </c>
      <c r="E1841" t="s">
        <v>14</v>
      </c>
      <c r="F1841">
        <v>7</v>
      </c>
      <c r="G1841" t="s">
        <v>23</v>
      </c>
      <c r="H1841">
        <v>10</v>
      </c>
      <c r="I1841">
        <v>41</v>
      </c>
      <c r="J1841">
        <v>0</v>
      </c>
      <c r="K1841" t="s">
        <v>16</v>
      </c>
      <c r="L1841" t="s">
        <v>17</v>
      </c>
      <c r="M1841">
        <f>IF(Table1[[#This Row],[ألغى الاشتراك]]="نعم",1,0)</f>
        <v>0</v>
      </c>
      <c r="N1841">
        <f>IF(Table1[[#This Row],[وسيلة الدفع]]="بطاقة",1,0)</f>
        <v>0</v>
      </c>
      <c r="O1841">
        <f>IF(Table1[[#This Row],[وسيلة الدفع]]="محفظة",1,0)</f>
        <v>0</v>
      </c>
      <c r="P1841">
        <f>IF(Table1[[#This Row],[وسيلة الدفع]]="تحويل",1,0)</f>
        <v>1</v>
      </c>
      <c r="Q1841">
        <f>IF(Table1[[#This Row],[حضر التهيئة]]="نعم",1,0)</f>
        <v>1</v>
      </c>
      <c r="R1841">
        <f>IF(Table1[[#This Row],[دورة الفوترة]]="شهري",1,0)</f>
        <v>1</v>
      </c>
    </row>
    <row r="1842" spans="1:18" x14ac:dyDescent="0.25">
      <c r="A1842" t="s">
        <v>1862</v>
      </c>
      <c r="B1842" s="1">
        <v>45671</v>
      </c>
      <c r="C1842" t="s">
        <v>13</v>
      </c>
      <c r="D1842">
        <v>89</v>
      </c>
      <c r="E1842" t="s">
        <v>20</v>
      </c>
      <c r="F1842">
        <v>20</v>
      </c>
      <c r="G1842" t="s">
        <v>21</v>
      </c>
      <c r="H1842">
        <v>2</v>
      </c>
      <c r="I1842">
        <v>18</v>
      </c>
      <c r="J1842">
        <v>5</v>
      </c>
      <c r="K1842" t="s">
        <v>16</v>
      </c>
      <c r="L1842" t="s">
        <v>17</v>
      </c>
      <c r="M1842">
        <f>IF(Table1[[#This Row],[ألغى الاشتراك]]="نعم",1,0)</f>
        <v>0</v>
      </c>
      <c r="N1842">
        <f>IF(Table1[[#This Row],[وسيلة الدفع]]="بطاقة",1,0)</f>
        <v>0</v>
      </c>
      <c r="O1842">
        <f>IF(Table1[[#This Row],[وسيلة الدفع]]="محفظة",1,0)</f>
        <v>1</v>
      </c>
      <c r="P1842">
        <f>IF(Table1[[#This Row],[وسيلة الدفع]]="تحويل",1,0)</f>
        <v>0</v>
      </c>
      <c r="Q1842">
        <f>IF(Table1[[#This Row],[حضر التهيئة]]="نعم",1,0)</f>
        <v>1</v>
      </c>
      <c r="R1842">
        <f>IF(Table1[[#This Row],[دورة الفوترة]]="شهري",1,0)</f>
        <v>0</v>
      </c>
    </row>
    <row r="1843" spans="1:18" x14ac:dyDescent="0.25">
      <c r="A1843" t="s">
        <v>1863</v>
      </c>
      <c r="B1843" s="1">
        <v>45572</v>
      </c>
      <c r="C1843" t="s">
        <v>13</v>
      </c>
      <c r="D1843">
        <v>89</v>
      </c>
      <c r="E1843" t="s">
        <v>14</v>
      </c>
      <c r="F1843">
        <v>24</v>
      </c>
      <c r="G1843" t="s">
        <v>23</v>
      </c>
      <c r="H1843">
        <v>2</v>
      </c>
      <c r="I1843">
        <v>8</v>
      </c>
      <c r="J1843">
        <v>0</v>
      </c>
      <c r="K1843" t="s">
        <v>17</v>
      </c>
      <c r="L1843" t="s">
        <v>17</v>
      </c>
      <c r="M1843">
        <f>IF(Table1[[#This Row],[ألغى الاشتراك]]="نعم",1,0)</f>
        <v>0</v>
      </c>
      <c r="N1843">
        <f>IF(Table1[[#This Row],[وسيلة الدفع]]="بطاقة",1,0)</f>
        <v>0</v>
      </c>
      <c r="O1843">
        <f>IF(Table1[[#This Row],[وسيلة الدفع]]="محفظة",1,0)</f>
        <v>0</v>
      </c>
      <c r="P1843">
        <f>IF(Table1[[#This Row],[وسيلة الدفع]]="تحويل",1,0)</f>
        <v>1</v>
      </c>
      <c r="Q1843">
        <f>IF(Table1[[#This Row],[حضر التهيئة]]="نعم",1,0)</f>
        <v>0</v>
      </c>
      <c r="R1843">
        <f>IF(Table1[[#This Row],[دورة الفوترة]]="شهري",1,0)</f>
        <v>1</v>
      </c>
    </row>
    <row r="1844" spans="1:18" x14ac:dyDescent="0.25">
      <c r="A1844" t="s">
        <v>1864</v>
      </c>
      <c r="B1844" s="1">
        <v>45854</v>
      </c>
      <c r="C1844" t="s">
        <v>13</v>
      </c>
      <c r="D1844">
        <v>89</v>
      </c>
      <c r="E1844" t="s">
        <v>14</v>
      </c>
      <c r="F1844">
        <v>9</v>
      </c>
      <c r="G1844" t="s">
        <v>21</v>
      </c>
      <c r="H1844">
        <v>6</v>
      </c>
      <c r="I1844">
        <v>45</v>
      </c>
      <c r="J1844">
        <v>0</v>
      </c>
      <c r="K1844" t="s">
        <v>17</v>
      </c>
      <c r="L1844" t="s">
        <v>17</v>
      </c>
      <c r="M1844">
        <f>IF(Table1[[#This Row],[ألغى الاشتراك]]="نعم",1,0)</f>
        <v>0</v>
      </c>
      <c r="N1844">
        <f>IF(Table1[[#This Row],[وسيلة الدفع]]="بطاقة",1,0)</f>
        <v>0</v>
      </c>
      <c r="O1844">
        <f>IF(Table1[[#This Row],[وسيلة الدفع]]="محفظة",1,0)</f>
        <v>1</v>
      </c>
      <c r="P1844">
        <f>IF(Table1[[#This Row],[وسيلة الدفع]]="تحويل",1,0)</f>
        <v>0</v>
      </c>
      <c r="Q1844">
        <f>IF(Table1[[#This Row],[حضر التهيئة]]="نعم",1,0)</f>
        <v>0</v>
      </c>
      <c r="R1844">
        <f>IF(Table1[[#This Row],[دورة الفوترة]]="شهري",1,0)</f>
        <v>1</v>
      </c>
    </row>
    <row r="1845" spans="1:18" x14ac:dyDescent="0.25">
      <c r="A1845" t="s">
        <v>1865</v>
      </c>
      <c r="B1845" s="1">
        <v>45521</v>
      </c>
      <c r="C1845" t="s">
        <v>28</v>
      </c>
      <c r="D1845">
        <v>39</v>
      </c>
      <c r="E1845" t="s">
        <v>14</v>
      </c>
      <c r="F1845">
        <v>4</v>
      </c>
      <c r="G1845" t="s">
        <v>15</v>
      </c>
      <c r="H1845">
        <v>1</v>
      </c>
      <c r="I1845">
        <v>22</v>
      </c>
      <c r="J1845">
        <v>0</v>
      </c>
      <c r="K1845" t="s">
        <v>16</v>
      </c>
      <c r="L1845" t="s">
        <v>17</v>
      </c>
      <c r="M1845">
        <f>IF(Table1[[#This Row],[ألغى الاشتراك]]="نعم",1,0)</f>
        <v>0</v>
      </c>
      <c r="N1845">
        <f>IF(Table1[[#This Row],[وسيلة الدفع]]="بطاقة",1,0)</f>
        <v>1</v>
      </c>
      <c r="O1845">
        <f>IF(Table1[[#This Row],[وسيلة الدفع]]="محفظة",1,0)</f>
        <v>0</v>
      </c>
      <c r="P1845">
        <f>IF(Table1[[#This Row],[وسيلة الدفع]]="تحويل",1,0)</f>
        <v>0</v>
      </c>
      <c r="Q1845">
        <f>IF(Table1[[#This Row],[حضر التهيئة]]="نعم",1,0)</f>
        <v>1</v>
      </c>
      <c r="R1845">
        <f>IF(Table1[[#This Row],[دورة الفوترة]]="شهري",1,0)</f>
        <v>1</v>
      </c>
    </row>
    <row r="1846" spans="1:18" x14ac:dyDescent="0.25">
      <c r="A1846" t="s">
        <v>1866</v>
      </c>
      <c r="B1846" s="1">
        <v>45659</v>
      </c>
      <c r="C1846" t="s">
        <v>19</v>
      </c>
      <c r="D1846">
        <v>189</v>
      </c>
      <c r="E1846" t="s">
        <v>14</v>
      </c>
      <c r="F1846">
        <v>27</v>
      </c>
      <c r="G1846" t="s">
        <v>23</v>
      </c>
      <c r="H1846">
        <v>1</v>
      </c>
      <c r="I1846">
        <v>35</v>
      </c>
      <c r="J1846">
        <v>0</v>
      </c>
      <c r="K1846" t="s">
        <v>17</v>
      </c>
      <c r="L1846" t="s">
        <v>17</v>
      </c>
      <c r="M1846">
        <f>IF(Table1[[#This Row],[ألغى الاشتراك]]="نعم",1,0)</f>
        <v>0</v>
      </c>
      <c r="N1846">
        <f>IF(Table1[[#This Row],[وسيلة الدفع]]="بطاقة",1,0)</f>
        <v>0</v>
      </c>
      <c r="O1846">
        <f>IF(Table1[[#This Row],[وسيلة الدفع]]="محفظة",1,0)</f>
        <v>0</v>
      </c>
      <c r="P1846">
        <f>IF(Table1[[#This Row],[وسيلة الدفع]]="تحويل",1,0)</f>
        <v>1</v>
      </c>
      <c r="Q1846">
        <f>IF(Table1[[#This Row],[حضر التهيئة]]="نعم",1,0)</f>
        <v>0</v>
      </c>
      <c r="R1846">
        <f>IF(Table1[[#This Row],[دورة الفوترة]]="شهري",1,0)</f>
        <v>1</v>
      </c>
    </row>
    <row r="1847" spans="1:18" x14ac:dyDescent="0.25">
      <c r="A1847" t="s">
        <v>1867</v>
      </c>
      <c r="B1847" s="1">
        <v>45572</v>
      </c>
      <c r="C1847" t="s">
        <v>13</v>
      </c>
      <c r="D1847">
        <v>89</v>
      </c>
      <c r="E1847" t="s">
        <v>14</v>
      </c>
      <c r="F1847">
        <v>18</v>
      </c>
      <c r="G1847" t="s">
        <v>15</v>
      </c>
      <c r="H1847">
        <v>6</v>
      </c>
      <c r="I1847">
        <v>52</v>
      </c>
      <c r="J1847">
        <v>0</v>
      </c>
      <c r="K1847" t="s">
        <v>16</v>
      </c>
      <c r="L1847" t="s">
        <v>16</v>
      </c>
      <c r="M1847">
        <f>IF(Table1[[#This Row],[ألغى الاشتراك]]="نعم",1,0)</f>
        <v>1</v>
      </c>
      <c r="N1847">
        <f>IF(Table1[[#This Row],[وسيلة الدفع]]="بطاقة",1,0)</f>
        <v>1</v>
      </c>
      <c r="O1847">
        <f>IF(Table1[[#This Row],[وسيلة الدفع]]="محفظة",1,0)</f>
        <v>0</v>
      </c>
      <c r="P1847">
        <f>IF(Table1[[#This Row],[وسيلة الدفع]]="تحويل",1,0)</f>
        <v>0</v>
      </c>
      <c r="Q1847">
        <f>IF(Table1[[#This Row],[حضر التهيئة]]="نعم",1,0)</f>
        <v>1</v>
      </c>
      <c r="R1847">
        <f>IF(Table1[[#This Row],[دورة الفوترة]]="شهري",1,0)</f>
        <v>1</v>
      </c>
    </row>
    <row r="1848" spans="1:18" x14ac:dyDescent="0.25">
      <c r="A1848" t="s">
        <v>1868</v>
      </c>
      <c r="B1848" s="1">
        <v>45399</v>
      </c>
      <c r="C1848" t="s">
        <v>28</v>
      </c>
      <c r="D1848">
        <v>39</v>
      </c>
      <c r="E1848" t="s">
        <v>14</v>
      </c>
      <c r="F1848">
        <v>7</v>
      </c>
      <c r="G1848" t="s">
        <v>21</v>
      </c>
      <c r="H1848">
        <v>8</v>
      </c>
      <c r="I1848">
        <v>49</v>
      </c>
      <c r="J1848">
        <v>25</v>
      </c>
      <c r="K1848" t="s">
        <v>17</v>
      </c>
      <c r="L1848" t="s">
        <v>17</v>
      </c>
      <c r="M1848">
        <f>IF(Table1[[#This Row],[ألغى الاشتراك]]="نعم",1,0)</f>
        <v>0</v>
      </c>
      <c r="N1848">
        <f>IF(Table1[[#This Row],[وسيلة الدفع]]="بطاقة",1,0)</f>
        <v>0</v>
      </c>
      <c r="O1848">
        <f>IF(Table1[[#This Row],[وسيلة الدفع]]="محفظة",1,0)</f>
        <v>1</v>
      </c>
      <c r="P1848">
        <f>IF(Table1[[#This Row],[وسيلة الدفع]]="تحويل",1,0)</f>
        <v>0</v>
      </c>
      <c r="Q1848">
        <f>IF(Table1[[#This Row],[حضر التهيئة]]="نعم",1,0)</f>
        <v>0</v>
      </c>
      <c r="R1848">
        <f>IF(Table1[[#This Row],[دورة الفوترة]]="شهري",1,0)</f>
        <v>1</v>
      </c>
    </row>
    <row r="1849" spans="1:18" x14ac:dyDescent="0.25">
      <c r="A1849" t="s">
        <v>1869</v>
      </c>
      <c r="B1849" s="1">
        <v>45779</v>
      </c>
      <c r="C1849" t="s">
        <v>28</v>
      </c>
      <c r="D1849">
        <v>39</v>
      </c>
      <c r="E1849" t="s">
        <v>20</v>
      </c>
      <c r="F1849">
        <v>5</v>
      </c>
      <c r="G1849" t="s">
        <v>23</v>
      </c>
      <c r="H1849">
        <v>8</v>
      </c>
      <c r="I1849">
        <v>11</v>
      </c>
      <c r="J1849">
        <v>0</v>
      </c>
      <c r="K1849" t="s">
        <v>17</v>
      </c>
      <c r="L1849" t="s">
        <v>17</v>
      </c>
      <c r="M1849">
        <f>IF(Table1[[#This Row],[ألغى الاشتراك]]="نعم",1,0)</f>
        <v>0</v>
      </c>
      <c r="N1849">
        <f>IF(Table1[[#This Row],[وسيلة الدفع]]="بطاقة",1,0)</f>
        <v>0</v>
      </c>
      <c r="O1849">
        <f>IF(Table1[[#This Row],[وسيلة الدفع]]="محفظة",1,0)</f>
        <v>0</v>
      </c>
      <c r="P1849">
        <f>IF(Table1[[#This Row],[وسيلة الدفع]]="تحويل",1,0)</f>
        <v>1</v>
      </c>
      <c r="Q1849">
        <f>IF(Table1[[#This Row],[حضر التهيئة]]="نعم",1,0)</f>
        <v>0</v>
      </c>
      <c r="R1849">
        <f>IF(Table1[[#This Row],[دورة الفوترة]]="شهري",1,0)</f>
        <v>0</v>
      </c>
    </row>
    <row r="1850" spans="1:18" x14ac:dyDescent="0.25">
      <c r="A1850" t="s">
        <v>1870</v>
      </c>
      <c r="B1850" s="1">
        <v>45466</v>
      </c>
      <c r="C1850" t="s">
        <v>13</v>
      </c>
      <c r="D1850">
        <v>89</v>
      </c>
      <c r="E1850" t="s">
        <v>20</v>
      </c>
      <c r="F1850">
        <v>6</v>
      </c>
      <c r="G1850" t="s">
        <v>21</v>
      </c>
      <c r="H1850">
        <v>2</v>
      </c>
      <c r="I1850">
        <v>58</v>
      </c>
      <c r="J1850">
        <v>0</v>
      </c>
      <c r="K1850" t="s">
        <v>17</v>
      </c>
      <c r="L1850" t="s">
        <v>17</v>
      </c>
      <c r="M1850">
        <f>IF(Table1[[#This Row],[ألغى الاشتراك]]="نعم",1,0)</f>
        <v>0</v>
      </c>
      <c r="N1850">
        <f>IF(Table1[[#This Row],[وسيلة الدفع]]="بطاقة",1,0)</f>
        <v>0</v>
      </c>
      <c r="O1850">
        <f>IF(Table1[[#This Row],[وسيلة الدفع]]="محفظة",1,0)</f>
        <v>1</v>
      </c>
      <c r="P1850">
        <f>IF(Table1[[#This Row],[وسيلة الدفع]]="تحويل",1,0)</f>
        <v>0</v>
      </c>
      <c r="Q1850">
        <f>IF(Table1[[#This Row],[حضر التهيئة]]="نعم",1,0)</f>
        <v>0</v>
      </c>
      <c r="R1850">
        <f>IF(Table1[[#This Row],[دورة الفوترة]]="شهري",1,0)</f>
        <v>0</v>
      </c>
    </row>
    <row r="1851" spans="1:18" x14ac:dyDescent="0.25">
      <c r="A1851" t="s">
        <v>1871</v>
      </c>
      <c r="B1851" s="1">
        <v>45732</v>
      </c>
      <c r="C1851" t="s">
        <v>19</v>
      </c>
      <c r="D1851">
        <v>189</v>
      </c>
      <c r="E1851" t="s">
        <v>14</v>
      </c>
      <c r="F1851">
        <v>13</v>
      </c>
      <c r="G1851" t="s">
        <v>15</v>
      </c>
      <c r="H1851">
        <v>11</v>
      </c>
      <c r="I1851">
        <v>39</v>
      </c>
      <c r="J1851">
        <v>0</v>
      </c>
      <c r="K1851" t="s">
        <v>16</v>
      </c>
      <c r="L1851" t="s">
        <v>17</v>
      </c>
      <c r="M1851">
        <f>IF(Table1[[#This Row],[ألغى الاشتراك]]="نعم",1,0)</f>
        <v>0</v>
      </c>
      <c r="N1851">
        <f>IF(Table1[[#This Row],[وسيلة الدفع]]="بطاقة",1,0)</f>
        <v>1</v>
      </c>
      <c r="O1851">
        <f>IF(Table1[[#This Row],[وسيلة الدفع]]="محفظة",1,0)</f>
        <v>0</v>
      </c>
      <c r="P1851">
        <f>IF(Table1[[#This Row],[وسيلة الدفع]]="تحويل",1,0)</f>
        <v>0</v>
      </c>
      <c r="Q1851">
        <f>IF(Table1[[#This Row],[حضر التهيئة]]="نعم",1,0)</f>
        <v>1</v>
      </c>
      <c r="R1851">
        <f>IF(Table1[[#This Row],[دورة الفوترة]]="شهري",1,0)</f>
        <v>1</v>
      </c>
    </row>
    <row r="1852" spans="1:18" x14ac:dyDescent="0.25">
      <c r="A1852" t="s">
        <v>1872</v>
      </c>
      <c r="B1852" s="1">
        <v>45627</v>
      </c>
      <c r="C1852" t="s">
        <v>13</v>
      </c>
      <c r="D1852">
        <v>89</v>
      </c>
      <c r="E1852" t="s">
        <v>20</v>
      </c>
      <c r="F1852">
        <v>8</v>
      </c>
      <c r="G1852" t="s">
        <v>15</v>
      </c>
      <c r="H1852">
        <v>0</v>
      </c>
      <c r="I1852">
        <v>34</v>
      </c>
      <c r="J1852">
        <v>0</v>
      </c>
      <c r="K1852" t="s">
        <v>17</v>
      </c>
      <c r="L1852" t="s">
        <v>17</v>
      </c>
      <c r="M1852">
        <f>IF(Table1[[#This Row],[ألغى الاشتراك]]="نعم",1,0)</f>
        <v>0</v>
      </c>
      <c r="N1852">
        <f>IF(Table1[[#This Row],[وسيلة الدفع]]="بطاقة",1,0)</f>
        <v>1</v>
      </c>
      <c r="O1852">
        <f>IF(Table1[[#This Row],[وسيلة الدفع]]="محفظة",1,0)</f>
        <v>0</v>
      </c>
      <c r="P1852">
        <f>IF(Table1[[#This Row],[وسيلة الدفع]]="تحويل",1,0)</f>
        <v>0</v>
      </c>
      <c r="Q1852">
        <f>IF(Table1[[#This Row],[حضر التهيئة]]="نعم",1,0)</f>
        <v>0</v>
      </c>
      <c r="R1852">
        <f>IF(Table1[[#This Row],[دورة الفوترة]]="شهري",1,0)</f>
        <v>0</v>
      </c>
    </row>
    <row r="1853" spans="1:18" x14ac:dyDescent="0.25">
      <c r="A1853" t="s">
        <v>1873</v>
      </c>
      <c r="B1853" s="1">
        <v>45663</v>
      </c>
      <c r="C1853" t="s">
        <v>13</v>
      </c>
      <c r="D1853">
        <v>89</v>
      </c>
      <c r="E1853" t="s">
        <v>20</v>
      </c>
      <c r="F1853">
        <v>7</v>
      </c>
      <c r="G1853" t="s">
        <v>23</v>
      </c>
      <c r="H1853">
        <v>0</v>
      </c>
      <c r="I1853">
        <v>27</v>
      </c>
      <c r="J1853">
        <v>0</v>
      </c>
      <c r="K1853" t="s">
        <v>16</v>
      </c>
      <c r="L1853" t="s">
        <v>17</v>
      </c>
      <c r="M1853">
        <f>IF(Table1[[#This Row],[ألغى الاشتراك]]="نعم",1,0)</f>
        <v>0</v>
      </c>
      <c r="N1853">
        <f>IF(Table1[[#This Row],[وسيلة الدفع]]="بطاقة",1,0)</f>
        <v>0</v>
      </c>
      <c r="O1853">
        <f>IF(Table1[[#This Row],[وسيلة الدفع]]="محفظة",1,0)</f>
        <v>0</v>
      </c>
      <c r="P1853">
        <f>IF(Table1[[#This Row],[وسيلة الدفع]]="تحويل",1,0)</f>
        <v>1</v>
      </c>
      <c r="Q1853">
        <f>IF(Table1[[#This Row],[حضر التهيئة]]="نعم",1,0)</f>
        <v>1</v>
      </c>
      <c r="R1853">
        <f>IF(Table1[[#This Row],[دورة الفوترة]]="شهري",1,0)</f>
        <v>0</v>
      </c>
    </row>
    <row r="1854" spans="1:18" x14ac:dyDescent="0.25">
      <c r="A1854" t="s">
        <v>1874</v>
      </c>
      <c r="B1854" s="1">
        <v>45584</v>
      </c>
      <c r="C1854" t="s">
        <v>28</v>
      </c>
      <c r="D1854">
        <v>39</v>
      </c>
      <c r="E1854" t="s">
        <v>14</v>
      </c>
      <c r="F1854">
        <v>18</v>
      </c>
      <c r="G1854" t="s">
        <v>23</v>
      </c>
      <c r="H1854">
        <v>2</v>
      </c>
      <c r="I1854">
        <v>38</v>
      </c>
      <c r="J1854">
        <v>0</v>
      </c>
      <c r="K1854" t="s">
        <v>16</v>
      </c>
      <c r="L1854" t="s">
        <v>17</v>
      </c>
      <c r="M1854">
        <f>IF(Table1[[#This Row],[ألغى الاشتراك]]="نعم",1,0)</f>
        <v>0</v>
      </c>
      <c r="N1854">
        <f>IF(Table1[[#This Row],[وسيلة الدفع]]="بطاقة",1,0)</f>
        <v>0</v>
      </c>
      <c r="O1854">
        <f>IF(Table1[[#This Row],[وسيلة الدفع]]="محفظة",1,0)</f>
        <v>0</v>
      </c>
      <c r="P1854">
        <f>IF(Table1[[#This Row],[وسيلة الدفع]]="تحويل",1,0)</f>
        <v>1</v>
      </c>
      <c r="Q1854">
        <f>IF(Table1[[#This Row],[حضر التهيئة]]="نعم",1,0)</f>
        <v>1</v>
      </c>
      <c r="R1854">
        <f>IF(Table1[[#This Row],[دورة الفوترة]]="شهري",1,0)</f>
        <v>1</v>
      </c>
    </row>
    <row r="1855" spans="1:18" x14ac:dyDescent="0.25">
      <c r="A1855" t="s">
        <v>1875</v>
      </c>
      <c r="B1855" s="1">
        <v>45866</v>
      </c>
      <c r="C1855" t="s">
        <v>19</v>
      </c>
      <c r="D1855">
        <v>189</v>
      </c>
      <c r="E1855" t="s">
        <v>20</v>
      </c>
      <c r="F1855">
        <v>19</v>
      </c>
      <c r="G1855" t="s">
        <v>21</v>
      </c>
      <c r="H1855">
        <v>4</v>
      </c>
      <c r="I1855">
        <v>27</v>
      </c>
      <c r="J1855">
        <v>0</v>
      </c>
      <c r="K1855" t="s">
        <v>17</v>
      </c>
      <c r="L1855" t="s">
        <v>17</v>
      </c>
      <c r="M1855">
        <f>IF(Table1[[#This Row],[ألغى الاشتراك]]="نعم",1,0)</f>
        <v>0</v>
      </c>
      <c r="N1855">
        <f>IF(Table1[[#This Row],[وسيلة الدفع]]="بطاقة",1,0)</f>
        <v>0</v>
      </c>
      <c r="O1855">
        <f>IF(Table1[[#This Row],[وسيلة الدفع]]="محفظة",1,0)</f>
        <v>1</v>
      </c>
      <c r="P1855">
        <f>IF(Table1[[#This Row],[وسيلة الدفع]]="تحويل",1,0)</f>
        <v>0</v>
      </c>
      <c r="Q1855">
        <f>IF(Table1[[#This Row],[حضر التهيئة]]="نعم",1,0)</f>
        <v>0</v>
      </c>
      <c r="R1855">
        <f>IF(Table1[[#This Row],[دورة الفوترة]]="شهري",1,0)</f>
        <v>0</v>
      </c>
    </row>
    <row r="1856" spans="1:18" x14ac:dyDescent="0.25">
      <c r="A1856" t="s">
        <v>1876</v>
      </c>
      <c r="B1856" s="1">
        <v>45395</v>
      </c>
      <c r="C1856" t="s">
        <v>28</v>
      </c>
      <c r="D1856">
        <v>39</v>
      </c>
      <c r="E1856" t="s">
        <v>14</v>
      </c>
      <c r="F1856">
        <v>14</v>
      </c>
      <c r="G1856" t="s">
        <v>15</v>
      </c>
      <c r="H1856">
        <v>8</v>
      </c>
      <c r="I1856">
        <v>44</v>
      </c>
      <c r="J1856">
        <v>0</v>
      </c>
      <c r="K1856" t="s">
        <v>16</v>
      </c>
      <c r="L1856" t="s">
        <v>17</v>
      </c>
      <c r="M1856">
        <f>IF(Table1[[#This Row],[ألغى الاشتراك]]="نعم",1,0)</f>
        <v>0</v>
      </c>
      <c r="N1856">
        <f>IF(Table1[[#This Row],[وسيلة الدفع]]="بطاقة",1,0)</f>
        <v>1</v>
      </c>
      <c r="O1856">
        <f>IF(Table1[[#This Row],[وسيلة الدفع]]="محفظة",1,0)</f>
        <v>0</v>
      </c>
      <c r="P1856">
        <f>IF(Table1[[#This Row],[وسيلة الدفع]]="تحويل",1,0)</f>
        <v>0</v>
      </c>
      <c r="Q1856">
        <f>IF(Table1[[#This Row],[حضر التهيئة]]="نعم",1,0)</f>
        <v>1</v>
      </c>
      <c r="R1856">
        <f>IF(Table1[[#This Row],[دورة الفوترة]]="شهري",1,0)</f>
        <v>1</v>
      </c>
    </row>
    <row r="1857" spans="1:18" x14ac:dyDescent="0.25">
      <c r="A1857" t="s">
        <v>1877</v>
      </c>
      <c r="B1857" s="1">
        <v>45663</v>
      </c>
      <c r="C1857" t="s">
        <v>28</v>
      </c>
      <c r="D1857">
        <v>39</v>
      </c>
      <c r="E1857" t="s">
        <v>14</v>
      </c>
      <c r="F1857">
        <v>27</v>
      </c>
      <c r="G1857" t="s">
        <v>21</v>
      </c>
      <c r="H1857">
        <v>1</v>
      </c>
      <c r="I1857">
        <v>23</v>
      </c>
      <c r="J1857">
        <v>0</v>
      </c>
      <c r="K1857" t="s">
        <v>17</v>
      </c>
      <c r="L1857" t="s">
        <v>17</v>
      </c>
      <c r="M1857">
        <f>IF(Table1[[#This Row],[ألغى الاشتراك]]="نعم",1,0)</f>
        <v>0</v>
      </c>
      <c r="N1857">
        <f>IF(Table1[[#This Row],[وسيلة الدفع]]="بطاقة",1,0)</f>
        <v>0</v>
      </c>
      <c r="O1857">
        <f>IF(Table1[[#This Row],[وسيلة الدفع]]="محفظة",1,0)</f>
        <v>1</v>
      </c>
      <c r="P1857">
        <f>IF(Table1[[#This Row],[وسيلة الدفع]]="تحويل",1,0)</f>
        <v>0</v>
      </c>
      <c r="Q1857">
        <f>IF(Table1[[#This Row],[حضر التهيئة]]="نعم",1,0)</f>
        <v>0</v>
      </c>
      <c r="R1857">
        <f>IF(Table1[[#This Row],[دورة الفوترة]]="شهري",1,0)</f>
        <v>1</v>
      </c>
    </row>
    <row r="1858" spans="1:18" x14ac:dyDescent="0.25">
      <c r="A1858" t="s">
        <v>1878</v>
      </c>
      <c r="B1858" s="1">
        <v>45333</v>
      </c>
      <c r="C1858" t="s">
        <v>13</v>
      </c>
      <c r="D1858">
        <v>89</v>
      </c>
      <c r="E1858" t="s">
        <v>14</v>
      </c>
      <c r="F1858">
        <v>28</v>
      </c>
      <c r="G1858" t="s">
        <v>23</v>
      </c>
      <c r="H1858">
        <v>1</v>
      </c>
      <c r="I1858">
        <v>8</v>
      </c>
      <c r="J1858">
        <v>0</v>
      </c>
      <c r="K1858" t="s">
        <v>16</v>
      </c>
      <c r="L1858" t="s">
        <v>17</v>
      </c>
      <c r="M1858">
        <f>IF(Table1[[#This Row],[ألغى الاشتراك]]="نعم",1,0)</f>
        <v>0</v>
      </c>
      <c r="N1858">
        <f>IF(Table1[[#This Row],[وسيلة الدفع]]="بطاقة",1,0)</f>
        <v>0</v>
      </c>
      <c r="O1858">
        <f>IF(Table1[[#This Row],[وسيلة الدفع]]="محفظة",1,0)</f>
        <v>0</v>
      </c>
      <c r="P1858">
        <f>IF(Table1[[#This Row],[وسيلة الدفع]]="تحويل",1,0)</f>
        <v>1</v>
      </c>
      <c r="Q1858">
        <f>IF(Table1[[#This Row],[حضر التهيئة]]="نعم",1,0)</f>
        <v>1</v>
      </c>
      <c r="R1858">
        <f>IF(Table1[[#This Row],[دورة الفوترة]]="شهري",1,0)</f>
        <v>1</v>
      </c>
    </row>
    <row r="1859" spans="1:18" x14ac:dyDescent="0.25">
      <c r="A1859" t="s">
        <v>1879</v>
      </c>
      <c r="B1859" s="1">
        <v>45846</v>
      </c>
      <c r="C1859" t="s">
        <v>13</v>
      </c>
      <c r="D1859">
        <v>89</v>
      </c>
      <c r="E1859" t="s">
        <v>20</v>
      </c>
      <c r="F1859">
        <v>21</v>
      </c>
      <c r="G1859" t="s">
        <v>23</v>
      </c>
      <c r="H1859">
        <v>2</v>
      </c>
      <c r="I1859">
        <v>15</v>
      </c>
      <c r="J1859">
        <v>0</v>
      </c>
      <c r="K1859" t="s">
        <v>16</v>
      </c>
      <c r="L1859" t="s">
        <v>17</v>
      </c>
      <c r="M1859">
        <f>IF(Table1[[#This Row],[ألغى الاشتراك]]="نعم",1,0)</f>
        <v>0</v>
      </c>
      <c r="N1859">
        <f>IF(Table1[[#This Row],[وسيلة الدفع]]="بطاقة",1,0)</f>
        <v>0</v>
      </c>
      <c r="O1859">
        <f>IF(Table1[[#This Row],[وسيلة الدفع]]="محفظة",1,0)</f>
        <v>0</v>
      </c>
      <c r="P1859">
        <f>IF(Table1[[#This Row],[وسيلة الدفع]]="تحويل",1,0)</f>
        <v>1</v>
      </c>
      <c r="Q1859">
        <f>IF(Table1[[#This Row],[حضر التهيئة]]="نعم",1,0)</f>
        <v>1</v>
      </c>
      <c r="R1859">
        <f>IF(Table1[[#This Row],[دورة الفوترة]]="شهري",1,0)</f>
        <v>0</v>
      </c>
    </row>
    <row r="1860" spans="1:18" x14ac:dyDescent="0.25">
      <c r="A1860" t="s">
        <v>1880</v>
      </c>
      <c r="B1860" s="1">
        <v>45787</v>
      </c>
      <c r="C1860" t="s">
        <v>28</v>
      </c>
      <c r="D1860">
        <v>39</v>
      </c>
      <c r="E1860" t="s">
        <v>14</v>
      </c>
      <c r="F1860">
        <v>22</v>
      </c>
      <c r="G1860" t="s">
        <v>23</v>
      </c>
      <c r="H1860">
        <v>0</v>
      </c>
      <c r="I1860">
        <v>8</v>
      </c>
      <c r="J1860">
        <v>5</v>
      </c>
      <c r="K1860" t="s">
        <v>17</v>
      </c>
      <c r="L1860" t="s">
        <v>17</v>
      </c>
      <c r="M1860">
        <f>IF(Table1[[#This Row],[ألغى الاشتراك]]="نعم",1,0)</f>
        <v>0</v>
      </c>
      <c r="N1860">
        <f>IF(Table1[[#This Row],[وسيلة الدفع]]="بطاقة",1,0)</f>
        <v>0</v>
      </c>
      <c r="O1860">
        <f>IF(Table1[[#This Row],[وسيلة الدفع]]="محفظة",1,0)</f>
        <v>0</v>
      </c>
      <c r="P1860">
        <f>IF(Table1[[#This Row],[وسيلة الدفع]]="تحويل",1,0)</f>
        <v>1</v>
      </c>
      <c r="Q1860">
        <f>IF(Table1[[#This Row],[حضر التهيئة]]="نعم",1,0)</f>
        <v>0</v>
      </c>
      <c r="R1860">
        <f>IF(Table1[[#This Row],[دورة الفوترة]]="شهري",1,0)</f>
        <v>1</v>
      </c>
    </row>
    <row r="1861" spans="1:18" x14ac:dyDescent="0.25">
      <c r="A1861" t="s">
        <v>1881</v>
      </c>
      <c r="B1861" s="1">
        <v>45989</v>
      </c>
      <c r="C1861" t="s">
        <v>13</v>
      </c>
      <c r="D1861">
        <v>89</v>
      </c>
      <c r="E1861" t="s">
        <v>14</v>
      </c>
      <c r="F1861">
        <v>6</v>
      </c>
      <c r="G1861" t="s">
        <v>21</v>
      </c>
      <c r="H1861">
        <v>6</v>
      </c>
      <c r="I1861">
        <v>40</v>
      </c>
      <c r="J1861">
        <v>15</v>
      </c>
      <c r="K1861" t="s">
        <v>16</v>
      </c>
      <c r="L1861" t="s">
        <v>17</v>
      </c>
      <c r="M1861">
        <f>IF(Table1[[#This Row],[ألغى الاشتراك]]="نعم",1,0)</f>
        <v>0</v>
      </c>
      <c r="N1861">
        <f>IF(Table1[[#This Row],[وسيلة الدفع]]="بطاقة",1,0)</f>
        <v>0</v>
      </c>
      <c r="O1861">
        <f>IF(Table1[[#This Row],[وسيلة الدفع]]="محفظة",1,0)</f>
        <v>1</v>
      </c>
      <c r="P1861">
        <f>IF(Table1[[#This Row],[وسيلة الدفع]]="تحويل",1,0)</f>
        <v>0</v>
      </c>
      <c r="Q1861">
        <f>IF(Table1[[#This Row],[حضر التهيئة]]="نعم",1,0)</f>
        <v>1</v>
      </c>
      <c r="R1861">
        <f>IF(Table1[[#This Row],[دورة الفوترة]]="شهري",1,0)</f>
        <v>1</v>
      </c>
    </row>
    <row r="1862" spans="1:18" x14ac:dyDescent="0.25">
      <c r="A1862" t="s">
        <v>1882</v>
      </c>
      <c r="B1862" s="1">
        <v>45399</v>
      </c>
      <c r="C1862" t="s">
        <v>19</v>
      </c>
      <c r="D1862">
        <v>189</v>
      </c>
      <c r="E1862" t="s">
        <v>14</v>
      </c>
      <c r="F1862">
        <v>14</v>
      </c>
      <c r="G1862" t="s">
        <v>15</v>
      </c>
      <c r="H1862">
        <v>0</v>
      </c>
      <c r="I1862">
        <v>48</v>
      </c>
      <c r="J1862">
        <v>0</v>
      </c>
      <c r="K1862" t="s">
        <v>16</v>
      </c>
      <c r="L1862" t="s">
        <v>17</v>
      </c>
      <c r="M1862">
        <f>IF(Table1[[#This Row],[ألغى الاشتراك]]="نعم",1,0)</f>
        <v>0</v>
      </c>
      <c r="N1862">
        <f>IF(Table1[[#This Row],[وسيلة الدفع]]="بطاقة",1,0)</f>
        <v>1</v>
      </c>
      <c r="O1862">
        <f>IF(Table1[[#This Row],[وسيلة الدفع]]="محفظة",1,0)</f>
        <v>0</v>
      </c>
      <c r="P1862">
        <f>IF(Table1[[#This Row],[وسيلة الدفع]]="تحويل",1,0)</f>
        <v>0</v>
      </c>
      <c r="Q1862">
        <f>IF(Table1[[#This Row],[حضر التهيئة]]="نعم",1,0)</f>
        <v>1</v>
      </c>
      <c r="R1862">
        <f>IF(Table1[[#This Row],[دورة الفوترة]]="شهري",1,0)</f>
        <v>1</v>
      </c>
    </row>
    <row r="1863" spans="1:18" x14ac:dyDescent="0.25">
      <c r="A1863" t="s">
        <v>1883</v>
      </c>
      <c r="B1863" s="1">
        <v>45679</v>
      </c>
      <c r="C1863" t="s">
        <v>13</v>
      </c>
      <c r="D1863">
        <v>89</v>
      </c>
      <c r="E1863" t="s">
        <v>14</v>
      </c>
      <c r="F1863">
        <v>9</v>
      </c>
      <c r="G1863" t="s">
        <v>23</v>
      </c>
      <c r="H1863">
        <v>0</v>
      </c>
      <c r="I1863">
        <v>17</v>
      </c>
      <c r="J1863">
        <v>0</v>
      </c>
      <c r="K1863" t="s">
        <v>16</v>
      </c>
      <c r="L1863" t="s">
        <v>17</v>
      </c>
      <c r="M1863">
        <f>IF(Table1[[#This Row],[ألغى الاشتراك]]="نعم",1,0)</f>
        <v>0</v>
      </c>
      <c r="N1863">
        <f>IF(Table1[[#This Row],[وسيلة الدفع]]="بطاقة",1,0)</f>
        <v>0</v>
      </c>
      <c r="O1863">
        <f>IF(Table1[[#This Row],[وسيلة الدفع]]="محفظة",1,0)</f>
        <v>0</v>
      </c>
      <c r="P1863">
        <f>IF(Table1[[#This Row],[وسيلة الدفع]]="تحويل",1,0)</f>
        <v>1</v>
      </c>
      <c r="Q1863">
        <f>IF(Table1[[#This Row],[حضر التهيئة]]="نعم",1,0)</f>
        <v>1</v>
      </c>
      <c r="R1863">
        <f>IF(Table1[[#This Row],[دورة الفوترة]]="شهري",1,0)</f>
        <v>1</v>
      </c>
    </row>
    <row r="1864" spans="1:18" x14ac:dyDescent="0.25">
      <c r="A1864" t="s">
        <v>1884</v>
      </c>
      <c r="B1864" s="1">
        <v>45572</v>
      </c>
      <c r="C1864" t="s">
        <v>13</v>
      </c>
      <c r="D1864">
        <v>89</v>
      </c>
      <c r="E1864" t="s">
        <v>20</v>
      </c>
      <c r="F1864">
        <v>10</v>
      </c>
      <c r="G1864" t="s">
        <v>23</v>
      </c>
      <c r="H1864">
        <v>2</v>
      </c>
      <c r="I1864">
        <v>46</v>
      </c>
      <c r="J1864">
        <v>0</v>
      </c>
      <c r="K1864" t="s">
        <v>17</v>
      </c>
      <c r="L1864" t="s">
        <v>17</v>
      </c>
      <c r="M1864">
        <f>IF(Table1[[#This Row],[ألغى الاشتراك]]="نعم",1,0)</f>
        <v>0</v>
      </c>
      <c r="N1864">
        <f>IF(Table1[[#This Row],[وسيلة الدفع]]="بطاقة",1,0)</f>
        <v>0</v>
      </c>
      <c r="O1864">
        <f>IF(Table1[[#This Row],[وسيلة الدفع]]="محفظة",1,0)</f>
        <v>0</v>
      </c>
      <c r="P1864">
        <f>IF(Table1[[#This Row],[وسيلة الدفع]]="تحويل",1,0)</f>
        <v>1</v>
      </c>
      <c r="Q1864">
        <f>IF(Table1[[#This Row],[حضر التهيئة]]="نعم",1,0)</f>
        <v>0</v>
      </c>
      <c r="R1864">
        <f>IF(Table1[[#This Row],[دورة الفوترة]]="شهري",1,0)</f>
        <v>0</v>
      </c>
    </row>
    <row r="1865" spans="1:18" x14ac:dyDescent="0.25">
      <c r="A1865" t="s">
        <v>1885</v>
      </c>
      <c r="B1865" s="1">
        <v>45724</v>
      </c>
      <c r="C1865" t="s">
        <v>28</v>
      </c>
      <c r="D1865">
        <v>39</v>
      </c>
      <c r="E1865" t="s">
        <v>20</v>
      </c>
      <c r="F1865">
        <v>17</v>
      </c>
      <c r="G1865" t="s">
        <v>23</v>
      </c>
      <c r="H1865">
        <v>2</v>
      </c>
      <c r="I1865">
        <v>39</v>
      </c>
      <c r="J1865">
        <v>0</v>
      </c>
      <c r="K1865" t="s">
        <v>16</v>
      </c>
      <c r="L1865" t="s">
        <v>17</v>
      </c>
      <c r="M1865">
        <f>IF(Table1[[#This Row],[ألغى الاشتراك]]="نعم",1,0)</f>
        <v>0</v>
      </c>
      <c r="N1865">
        <f>IF(Table1[[#This Row],[وسيلة الدفع]]="بطاقة",1,0)</f>
        <v>0</v>
      </c>
      <c r="O1865">
        <f>IF(Table1[[#This Row],[وسيلة الدفع]]="محفظة",1,0)</f>
        <v>0</v>
      </c>
      <c r="P1865">
        <f>IF(Table1[[#This Row],[وسيلة الدفع]]="تحويل",1,0)</f>
        <v>1</v>
      </c>
      <c r="Q1865">
        <f>IF(Table1[[#This Row],[حضر التهيئة]]="نعم",1,0)</f>
        <v>1</v>
      </c>
      <c r="R1865">
        <f>IF(Table1[[#This Row],[دورة الفوترة]]="شهري",1,0)</f>
        <v>0</v>
      </c>
    </row>
    <row r="1866" spans="1:18" x14ac:dyDescent="0.25">
      <c r="A1866" t="s">
        <v>1886</v>
      </c>
      <c r="B1866" s="1">
        <v>45383</v>
      </c>
      <c r="C1866" t="s">
        <v>13</v>
      </c>
      <c r="D1866">
        <v>89</v>
      </c>
      <c r="E1866" t="s">
        <v>14</v>
      </c>
      <c r="F1866">
        <v>4</v>
      </c>
      <c r="G1866" t="s">
        <v>23</v>
      </c>
      <c r="H1866">
        <v>10</v>
      </c>
      <c r="I1866">
        <v>54</v>
      </c>
      <c r="J1866">
        <v>0</v>
      </c>
      <c r="K1866" t="s">
        <v>17</v>
      </c>
      <c r="L1866" t="s">
        <v>17</v>
      </c>
      <c r="M1866">
        <f>IF(Table1[[#This Row],[ألغى الاشتراك]]="نعم",1,0)</f>
        <v>0</v>
      </c>
      <c r="N1866">
        <f>IF(Table1[[#This Row],[وسيلة الدفع]]="بطاقة",1,0)</f>
        <v>0</v>
      </c>
      <c r="O1866">
        <f>IF(Table1[[#This Row],[وسيلة الدفع]]="محفظة",1,0)</f>
        <v>0</v>
      </c>
      <c r="P1866">
        <f>IF(Table1[[#This Row],[وسيلة الدفع]]="تحويل",1,0)</f>
        <v>1</v>
      </c>
      <c r="Q1866">
        <f>IF(Table1[[#This Row],[حضر التهيئة]]="نعم",1,0)</f>
        <v>0</v>
      </c>
      <c r="R1866">
        <f>IF(Table1[[#This Row],[دورة الفوترة]]="شهري",1,0)</f>
        <v>1</v>
      </c>
    </row>
    <row r="1867" spans="1:18" x14ac:dyDescent="0.25">
      <c r="A1867" t="s">
        <v>1887</v>
      </c>
      <c r="B1867" s="1">
        <v>45588</v>
      </c>
      <c r="C1867" t="s">
        <v>19</v>
      </c>
      <c r="D1867">
        <v>189</v>
      </c>
      <c r="E1867" t="s">
        <v>14</v>
      </c>
      <c r="F1867">
        <v>13</v>
      </c>
      <c r="G1867" t="s">
        <v>23</v>
      </c>
      <c r="H1867">
        <v>2</v>
      </c>
      <c r="I1867">
        <v>3</v>
      </c>
      <c r="J1867">
        <v>10</v>
      </c>
      <c r="K1867" t="s">
        <v>16</v>
      </c>
      <c r="L1867" t="s">
        <v>17</v>
      </c>
      <c r="M1867">
        <f>IF(Table1[[#This Row],[ألغى الاشتراك]]="نعم",1,0)</f>
        <v>0</v>
      </c>
      <c r="N1867">
        <f>IF(Table1[[#This Row],[وسيلة الدفع]]="بطاقة",1,0)</f>
        <v>0</v>
      </c>
      <c r="O1867">
        <f>IF(Table1[[#This Row],[وسيلة الدفع]]="محفظة",1,0)</f>
        <v>0</v>
      </c>
      <c r="P1867">
        <f>IF(Table1[[#This Row],[وسيلة الدفع]]="تحويل",1,0)</f>
        <v>1</v>
      </c>
      <c r="Q1867">
        <f>IF(Table1[[#This Row],[حضر التهيئة]]="نعم",1,0)</f>
        <v>1</v>
      </c>
      <c r="R1867">
        <f>IF(Table1[[#This Row],[دورة الفوترة]]="شهري",1,0)</f>
        <v>1</v>
      </c>
    </row>
    <row r="1868" spans="1:18" x14ac:dyDescent="0.25">
      <c r="A1868" t="s">
        <v>1888</v>
      </c>
      <c r="B1868" s="1">
        <v>45866</v>
      </c>
      <c r="C1868" t="s">
        <v>28</v>
      </c>
      <c r="D1868">
        <v>39</v>
      </c>
      <c r="E1868" t="s">
        <v>20</v>
      </c>
      <c r="F1868">
        <v>5</v>
      </c>
      <c r="G1868" t="s">
        <v>23</v>
      </c>
      <c r="H1868">
        <v>5</v>
      </c>
      <c r="I1868">
        <v>41</v>
      </c>
      <c r="J1868">
        <v>0</v>
      </c>
      <c r="K1868" t="s">
        <v>16</v>
      </c>
      <c r="L1868" t="s">
        <v>17</v>
      </c>
      <c r="M1868">
        <f>IF(Table1[[#This Row],[ألغى الاشتراك]]="نعم",1,0)</f>
        <v>0</v>
      </c>
      <c r="N1868">
        <f>IF(Table1[[#This Row],[وسيلة الدفع]]="بطاقة",1,0)</f>
        <v>0</v>
      </c>
      <c r="O1868">
        <f>IF(Table1[[#This Row],[وسيلة الدفع]]="محفظة",1,0)</f>
        <v>0</v>
      </c>
      <c r="P1868">
        <f>IF(Table1[[#This Row],[وسيلة الدفع]]="تحويل",1,0)</f>
        <v>1</v>
      </c>
      <c r="Q1868">
        <f>IF(Table1[[#This Row],[حضر التهيئة]]="نعم",1,0)</f>
        <v>1</v>
      </c>
      <c r="R1868">
        <f>IF(Table1[[#This Row],[دورة الفوترة]]="شهري",1,0)</f>
        <v>0</v>
      </c>
    </row>
    <row r="1869" spans="1:18" x14ac:dyDescent="0.25">
      <c r="A1869" t="s">
        <v>1889</v>
      </c>
      <c r="B1869" s="1">
        <v>45383</v>
      </c>
      <c r="C1869" t="s">
        <v>13</v>
      </c>
      <c r="D1869">
        <v>89</v>
      </c>
      <c r="E1869" t="s">
        <v>14</v>
      </c>
      <c r="F1869">
        <v>18</v>
      </c>
      <c r="G1869" t="s">
        <v>21</v>
      </c>
      <c r="H1869">
        <v>1</v>
      </c>
      <c r="I1869">
        <v>4</v>
      </c>
      <c r="J1869">
        <v>0</v>
      </c>
      <c r="K1869" t="s">
        <v>16</v>
      </c>
      <c r="L1869" t="s">
        <v>17</v>
      </c>
      <c r="M1869">
        <f>IF(Table1[[#This Row],[ألغى الاشتراك]]="نعم",1,0)</f>
        <v>0</v>
      </c>
      <c r="N1869">
        <f>IF(Table1[[#This Row],[وسيلة الدفع]]="بطاقة",1,0)</f>
        <v>0</v>
      </c>
      <c r="O1869">
        <f>IF(Table1[[#This Row],[وسيلة الدفع]]="محفظة",1,0)</f>
        <v>1</v>
      </c>
      <c r="P1869">
        <f>IF(Table1[[#This Row],[وسيلة الدفع]]="تحويل",1,0)</f>
        <v>0</v>
      </c>
      <c r="Q1869">
        <f>IF(Table1[[#This Row],[حضر التهيئة]]="نعم",1,0)</f>
        <v>1</v>
      </c>
      <c r="R1869">
        <f>IF(Table1[[#This Row],[دورة الفوترة]]="شهري",1,0)</f>
        <v>1</v>
      </c>
    </row>
    <row r="1870" spans="1:18" x14ac:dyDescent="0.25">
      <c r="A1870" t="s">
        <v>1890</v>
      </c>
      <c r="B1870" s="1">
        <v>45783</v>
      </c>
      <c r="C1870" t="s">
        <v>13</v>
      </c>
      <c r="D1870">
        <v>89</v>
      </c>
      <c r="E1870" t="s">
        <v>14</v>
      </c>
      <c r="F1870">
        <v>21</v>
      </c>
      <c r="G1870" t="s">
        <v>21</v>
      </c>
      <c r="H1870">
        <v>7</v>
      </c>
      <c r="I1870">
        <v>41</v>
      </c>
      <c r="J1870">
        <v>0</v>
      </c>
      <c r="K1870" t="s">
        <v>17</v>
      </c>
      <c r="L1870" t="s">
        <v>17</v>
      </c>
      <c r="M1870">
        <f>IF(Table1[[#This Row],[ألغى الاشتراك]]="نعم",1,0)</f>
        <v>0</v>
      </c>
      <c r="N1870">
        <f>IF(Table1[[#This Row],[وسيلة الدفع]]="بطاقة",1,0)</f>
        <v>0</v>
      </c>
      <c r="O1870">
        <f>IF(Table1[[#This Row],[وسيلة الدفع]]="محفظة",1,0)</f>
        <v>1</v>
      </c>
      <c r="P1870">
        <f>IF(Table1[[#This Row],[وسيلة الدفع]]="تحويل",1,0)</f>
        <v>0</v>
      </c>
      <c r="Q1870">
        <f>IF(Table1[[#This Row],[حضر التهيئة]]="نعم",1,0)</f>
        <v>0</v>
      </c>
      <c r="R1870">
        <f>IF(Table1[[#This Row],[دورة الفوترة]]="شهري",1,0)</f>
        <v>1</v>
      </c>
    </row>
    <row r="1871" spans="1:18" x14ac:dyDescent="0.25">
      <c r="A1871" t="s">
        <v>1891</v>
      </c>
      <c r="B1871" s="1">
        <v>45592</v>
      </c>
      <c r="C1871" t="s">
        <v>13</v>
      </c>
      <c r="D1871">
        <v>89</v>
      </c>
      <c r="E1871" t="s">
        <v>20</v>
      </c>
      <c r="F1871">
        <v>28</v>
      </c>
      <c r="G1871" t="s">
        <v>23</v>
      </c>
      <c r="H1871">
        <v>1</v>
      </c>
      <c r="I1871">
        <v>12</v>
      </c>
      <c r="J1871">
        <v>0</v>
      </c>
      <c r="K1871" t="s">
        <v>16</v>
      </c>
      <c r="L1871" t="s">
        <v>17</v>
      </c>
      <c r="M1871">
        <f>IF(Table1[[#This Row],[ألغى الاشتراك]]="نعم",1,0)</f>
        <v>0</v>
      </c>
      <c r="N1871">
        <f>IF(Table1[[#This Row],[وسيلة الدفع]]="بطاقة",1,0)</f>
        <v>0</v>
      </c>
      <c r="O1871">
        <f>IF(Table1[[#This Row],[وسيلة الدفع]]="محفظة",1,0)</f>
        <v>0</v>
      </c>
      <c r="P1871">
        <f>IF(Table1[[#This Row],[وسيلة الدفع]]="تحويل",1,0)</f>
        <v>1</v>
      </c>
      <c r="Q1871">
        <f>IF(Table1[[#This Row],[حضر التهيئة]]="نعم",1,0)</f>
        <v>1</v>
      </c>
      <c r="R1871">
        <f>IF(Table1[[#This Row],[دورة الفوترة]]="شهري",1,0)</f>
        <v>0</v>
      </c>
    </row>
    <row r="1872" spans="1:18" x14ac:dyDescent="0.25">
      <c r="A1872" t="s">
        <v>1892</v>
      </c>
      <c r="B1872" s="1">
        <v>45969</v>
      </c>
      <c r="C1872" t="s">
        <v>19</v>
      </c>
      <c r="D1872">
        <v>189</v>
      </c>
      <c r="E1872" t="s">
        <v>14</v>
      </c>
      <c r="F1872">
        <v>13</v>
      </c>
      <c r="G1872" t="s">
        <v>23</v>
      </c>
      <c r="H1872">
        <v>2</v>
      </c>
      <c r="I1872">
        <v>53</v>
      </c>
      <c r="J1872">
        <v>0</v>
      </c>
      <c r="K1872" t="s">
        <v>17</v>
      </c>
      <c r="L1872" t="s">
        <v>17</v>
      </c>
      <c r="M1872">
        <f>IF(Table1[[#This Row],[ألغى الاشتراك]]="نعم",1,0)</f>
        <v>0</v>
      </c>
      <c r="N1872">
        <f>IF(Table1[[#This Row],[وسيلة الدفع]]="بطاقة",1,0)</f>
        <v>0</v>
      </c>
      <c r="O1872">
        <f>IF(Table1[[#This Row],[وسيلة الدفع]]="محفظة",1,0)</f>
        <v>0</v>
      </c>
      <c r="P1872">
        <f>IF(Table1[[#This Row],[وسيلة الدفع]]="تحويل",1,0)</f>
        <v>1</v>
      </c>
      <c r="Q1872">
        <f>IF(Table1[[#This Row],[حضر التهيئة]]="نعم",1,0)</f>
        <v>0</v>
      </c>
      <c r="R1872">
        <f>IF(Table1[[#This Row],[دورة الفوترة]]="شهري",1,0)</f>
        <v>1</v>
      </c>
    </row>
    <row r="1873" spans="1:18" x14ac:dyDescent="0.25">
      <c r="A1873" t="s">
        <v>1893</v>
      </c>
      <c r="B1873" s="1">
        <v>45647</v>
      </c>
      <c r="C1873" t="s">
        <v>13</v>
      </c>
      <c r="D1873">
        <v>89</v>
      </c>
      <c r="E1873" t="s">
        <v>20</v>
      </c>
      <c r="F1873">
        <v>6</v>
      </c>
      <c r="G1873" t="s">
        <v>23</v>
      </c>
      <c r="H1873">
        <v>2</v>
      </c>
      <c r="I1873">
        <v>58</v>
      </c>
      <c r="J1873">
        <v>0</v>
      </c>
      <c r="K1873" t="s">
        <v>17</v>
      </c>
      <c r="L1873" t="s">
        <v>17</v>
      </c>
      <c r="M1873">
        <f>IF(Table1[[#This Row],[ألغى الاشتراك]]="نعم",1,0)</f>
        <v>0</v>
      </c>
      <c r="N1873">
        <f>IF(Table1[[#This Row],[وسيلة الدفع]]="بطاقة",1,0)</f>
        <v>0</v>
      </c>
      <c r="O1873">
        <f>IF(Table1[[#This Row],[وسيلة الدفع]]="محفظة",1,0)</f>
        <v>0</v>
      </c>
      <c r="P1873">
        <f>IF(Table1[[#This Row],[وسيلة الدفع]]="تحويل",1,0)</f>
        <v>1</v>
      </c>
      <c r="Q1873">
        <f>IF(Table1[[#This Row],[حضر التهيئة]]="نعم",1,0)</f>
        <v>0</v>
      </c>
      <c r="R1873">
        <f>IF(Table1[[#This Row],[دورة الفوترة]]="شهري",1,0)</f>
        <v>0</v>
      </c>
    </row>
    <row r="1874" spans="1:18" x14ac:dyDescent="0.25">
      <c r="A1874" t="s">
        <v>1894</v>
      </c>
      <c r="B1874" s="1">
        <v>45572</v>
      </c>
      <c r="C1874" t="s">
        <v>13</v>
      </c>
      <c r="D1874">
        <v>89</v>
      </c>
      <c r="E1874" t="s">
        <v>14</v>
      </c>
      <c r="F1874">
        <v>29</v>
      </c>
      <c r="G1874" t="s">
        <v>15</v>
      </c>
      <c r="H1874">
        <v>0</v>
      </c>
      <c r="I1874">
        <v>9</v>
      </c>
      <c r="J1874">
        <v>10</v>
      </c>
      <c r="K1874" t="s">
        <v>16</v>
      </c>
      <c r="L1874" t="s">
        <v>17</v>
      </c>
      <c r="M1874">
        <f>IF(Table1[[#This Row],[ألغى الاشتراك]]="نعم",1,0)</f>
        <v>0</v>
      </c>
      <c r="N1874">
        <f>IF(Table1[[#This Row],[وسيلة الدفع]]="بطاقة",1,0)</f>
        <v>1</v>
      </c>
      <c r="O1874">
        <f>IF(Table1[[#This Row],[وسيلة الدفع]]="محفظة",1,0)</f>
        <v>0</v>
      </c>
      <c r="P1874">
        <f>IF(Table1[[#This Row],[وسيلة الدفع]]="تحويل",1,0)</f>
        <v>0</v>
      </c>
      <c r="Q1874">
        <f>IF(Table1[[#This Row],[حضر التهيئة]]="نعم",1,0)</f>
        <v>1</v>
      </c>
      <c r="R1874">
        <f>IF(Table1[[#This Row],[دورة الفوترة]]="شهري",1,0)</f>
        <v>1</v>
      </c>
    </row>
    <row r="1875" spans="1:18" x14ac:dyDescent="0.25">
      <c r="A1875" t="s">
        <v>1895</v>
      </c>
      <c r="B1875" s="1">
        <v>45969</v>
      </c>
      <c r="C1875" t="s">
        <v>13</v>
      </c>
      <c r="D1875">
        <v>89</v>
      </c>
      <c r="E1875" t="s">
        <v>14</v>
      </c>
      <c r="F1875">
        <v>9</v>
      </c>
      <c r="G1875" t="s">
        <v>21</v>
      </c>
      <c r="H1875">
        <v>1</v>
      </c>
      <c r="I1875">
        <v>49</v>
      </c>
      <c r="J1875">
        <v>0</v>
      </c>
      <c r="K1875" t="s">
        <v>17</v>
      </c>
      <c r="L1875" t="s">
        <v>17</v>
      </c>
      <c r="M1875">
        <f>IF(Table1[[#This Row],[ألغى الاشتراك]]="نعم",1,0)</f>
        <v>0</v>
      </c>
      <c r="N1875">
        <f>IF(Table1[[#This Row],[وسيلة الدفع]]="بطاقة",1,0)</f>
        <v>0</v>
      </c>
      <c r="O1875">
        <f>IF(Table1[[#This Row],[وسيلة الدفع]]="محفظة",1,0)</f>
        <v>1</v>
      </c>
      <c r="P1875">
        <f>IF(Table1[[#This Row],[وسيلة الدفع]]="تحويل",1,0)</f>
        <v>0</v>
      </c>
      <c r="Q1875">
        <f>IF(Table1[[#This Row],[حضر التهيئة]]="نعم",1,0)</f>
        <v>0</v>
      </c>
      <c r="R1875">
        <f>IF(Table1[[#This Row],[دورة الفوترة]]="شهري",1,0)</f>
        <v>1</v>
      </c>
    </row>
    <row r="1876" spans="1:18" x14ac:dyDescent="0.25">
      <c r="A1876" t="s">
        <v>1896</v>
      </c>
      <c r="B1876" s="1">
        <v>45399</v>
      </c>
      <c r="C1876" t="s">
        <v>13</v>
      </c>
      <c r="D1876">
        <v>89</v>
      </c>
      <c r="E1876" t="s">
        <v>14</v>
      </c>
      <c r="F1876">
        <v>22</v>
      </c>
      <c r="G1876" t="s">
        <v>15</v>
      </c>
      <c r="H1876">
        <v>0</v>
      </c>
      <c r="I1876">
        <v>28</v>
      </c>
      <c r="J1876">
        <v>0</v>
      </c>
      <c r="K1876" t="s">
        <v>16</v>
      </c>
      <c r="L1876" t="s">
        <v>17</v>
      </c>
      <c r="M1876">
        <f>IF(Table1[[#This Row],[ألغى الاشتراك]]="نعم",1,0)</f>
        <v>0</v>
      </c>
      <c r="N1876">
        <f>IF(Table1[[#This Row],[وسيلة الدفع]]="بطاقة",1,0)</f>
        <v>1</v>
      </c>
      <c r="O1876">
        <f>IF(Table1[[#This Row],[وسيلة الدفع]]="محفظة",1,0)</f>
        <v>0</v>
      </c>
      <c r="P1876">
        <f>IF(Table1[[#This Row],[وسيلة الدفع]]="تحويل",1,0)</f>
        <v>0</v>
      </c>
      <c r="Q1876">
        <f>IF(Table1[[#This Row],[حضر التهيئة]]="نعم",1,0)</f>
        <v>1</v>
      </c>
      <c r="R1876">
        <f>IF(Table1[[#This Row],[دورة الفوترة]]="شهري",1,0)</f>
        <v>1</v>
      </c>
    </row>
    <row r="1877" spans="1:18" x14ac:dyDescent="0.25">
      <c r="A1877" t="s">
        <v>1897</v>
      </c>
      <c r="B1877" s="1">
        <v>45675</v>
      </c>
      <c r="C1877" t="s">
        <v>19</v>
      </c>
      <c r="D1877">
        <v>189</v>
      </c>
      <c r="E1877" t="s">
        <v>20</v>
      </c>
      <c r="F1877">
        <v>1</v>
      </c>
      <c r="G1877" t="s">
        <v>21</v>
      </c>
      <c r="H1877">
        <v>1</v>
      </c>
      <c r="I1877">
        <v>25</v>
      </c>
      <c r="J1877">
        <v>0</v>
      </c>
      <c r="K1877" t="s">
        <v>16</v>
      </c>
      <c r="L1877" t="s">
        <v>17</v>
      </c>
      <c r="M1877">
        <f>IF(Table1[[#This Row],[ألغى الاشتراك]]="نعم",1,0)</f>
        <v>0</v>
      </c>
      <c r="N1877">
        <f>IF(Table1[[#This Row],[وسيلة الدفع]]="بطاقة",1,0)</f>
        <v>0</v>
      </c>
      <c r="O1877">
        <f>IF(Table1[[#This Row],[وسيلة الدفع]]="محفظة",1,0)</f>
        <v>1</v>
      </c>
      <c r="P1877">
        <f>IF(Table1[[#This Row],[وسيلة الدفع]]="تحويل",1,0)</f>
        <v>0</v>
      </c>
      <c r="Q1877">
        <f>IF(Table1[[#This Row],[حضر التهيئة]]="نعم",1,0)</f>
        <v>1</v>
      </c>
      <c r="R1877">
        <f>IF(Table1[[#This Row],[دورة الفوترة]]="شهري",1,0)</f>
        <v>0</v>
      </c>
    </row>
    <row r="1878" spans="1:18" x14ac:dyDescent="0.25">
      <c r="A1878" t="s">
        <v>1898</v>
      </c>
      <c r="B1878" s="1">
        <v>45588</v>
      </c>
      <c r="C1878" t="s">
        <v>19</v>
      </c>
      <c r="D1878">
        <v>189</v>
      </c>
      <c r="E1878" t="s">
        <v>20</v>
      </c>
      <c r="F1878">
        <v>28</v>
      </c>
      <c r="G1878" t="s">
        <v>15</v>
      </c>
      <c r="H1878">
        <v>5</v>
      </c>
      <c r="I1878">
        <v>2</v>
      </c>
      <c r="J1878">
        <v>0</v>
      </c>
      <c r="K1878" t="s">
        <v>17</v>
      </c>
      <c r="L1878" t="s">
        <v>17</v>
      </c>
      <c r="M1878">
        <f>IF(Table1[[#This Row],[ألغى الاشتراك]]="نعم",1,0)</f>
        <v>0</v>
      </c>
      <c r="N1878">
        <f>IF(Table1[[#This Row],[وسيلة الدفع]]="بطاقة",1,0)</f>
        <v>1</v>
      </c>
      <c r="O1878">
        <f>IF(Table1[[#This Row],[وسيلة الدفع]]="محفظة",1,0)</f>
        <v>0</v>
      </c>
      <c r="P1878">
        <f>IF(Table1[[#This Row],[وسيلة الدفع]]="تحويل",1,0)</f>
        <v>0</v>
      </c>
      <c r="Q1878">
        <f>IF(Table1[[#This Row],[حضر التهيئة]]="نعم",1,0)</f>
        <v>0</v>
      </c>
      <c r="R1878">
        <f>IF(Table1[[#This Row],[دورة الفوترة]]="شهري",1,0)</f>
        <v>0</v>
      </c>
    </row>
    <row r="1879" spans="1:18" x14ac:dyDescent="0.25">
      <c r="A1879" t="s">
        <v>1899</v>
      </c>
      <c r="B1879" s="1">
        <v>45395</v>
      </c>
      <c r="C1879" t="s">
        <v>13</v>
      </c>
      <c r="D1879">
        <v>89</v>
      </c>
      <c r="E1879" t="s">
        <v>20</v>
      </c>
      <c r="F1879">
        <v>15</v>
      </c>
      <c r="G1879" t="s">
        <v>21</v>
      </c>
      <c r="H1879">
        <v>0</v>
      </c>
      <c r="I1879">
        <v>9</v>
      </c>
      <c r="J1879">
        <v>25</v>
      </c>
      <c r="K1879" t="s">
        <v>16</v>
      </c>
      <c r="L1879" t="s">
        <v>17</v>
      </c>
      <c r="M1879">
        <f>IF(Table1[[#This Row],[ألغى الاشتراك]]="نعم",1,0)</f>
        <v>0</v>
      </c>
      <c r="N1879">
        <f>IF(Table1[[#This Row],[وسيلة الدفع]]="بطاقة",1,0)</f>
        <v>0</v>
      </c>
      <c r="O1879">
        <f>IF(Table1[[#This Row],[وسيلة الدفع]]="محفظة",1,0)</f>
        <v>1</v>
      </c>
      <c r="P1879">
        <f>IF(Table1[[#This Row],[وسيلة الدفع]]="تحويل",1,0)</f>
        <v>0</v>
      </c>
      <c r="Q1879">
        <f>IF(Table1[[#This Row],[حضر التهيئة]]="نعم",1,0)</f>
        <v>1</v>
      </c>
      <c r="R1879">
        <f>IF(Table1[[#This Row],[دورة الفوترة]]="شهري",1,0)</f>
        <v>0</v>
      </c>
    </row>
    <row r="1880" spans="1:18" x14ac:dyDescent="0.25">
      <c r="A1880" t="s">
        <v>1900</v>
      </c>
      <c r="B1880" s="1">
        <v>45470</v>
      </c>
      <c r="C1880" t="s">
        <v>19</v>
      </c>
      <c r="D1880">
        <v>189</v>
      </c>
      <c r="E1880" t="s">
        <v>14</v>
      </c>
      <c r="F1880">
        <v>11</v>
      </c>
      <c r="G1880" t="s">
        <v>15</v>
      </c>
      <c r="H1880">
        <v>11</v>
      </c>
      <c r="I1880">
        <v>19</v>
      </c>
      <c r="J1880">
        <v>10</v>
      </c>
      <c r="K1880" t="s">
        <v>17</v>
      </c>
      <c r="L1880" t="s">
        <v>16</v>
      </c>
      <c r="M1880">
        <f>IF(Table1[[#This Row],[ألغى الاشتراك]]="نعم",1,0)</f>
        <v>1</v>
      </c>
      <c r="N1880">
        <f>IF(Table1[[#This Row],[وسيلة الدفع]]="بطاقة",1,0)</f>
        <v>1</v>
      </c>
      <c r="O1880">
        <f>IF(Table1[[#This Row],[وسيلة الدفع]]="محفظة",1,0)</f>
        <v>0</v>
      </c>
      <c r="P1880">
        <f>IF(Table1[[#This Row],[وسيلة الدفع]]="تحويل",1,0)</f>
        <v>0</v>
      </c>
      <c r="Q1880">
        <f>IF(Table1[[#This Row],[حضر التهيئة]]="نعم",1,0)</f>
        <v>0</v>
      </c>
      <c r="R1880">
        <f>IF(Table1[[#This Row],[دورة الفوترة]]="شهري",1,0)</f>
        <v>1</v>
      </c>
    </row>
    <row r="1881" spans="1:18" x14ac:dyDescent="0.25">
      <c r="A1881" t="s">
        <v>1901</v>
      </c>
      <c r="B1881" s="1">
        <v>45627</v>
      </c>
      <c r="C1881" t="s">
        <v>28</v>
      </c>
      <c r="D1881">
        <v>39</v>
      </c>
      <c r="E1881" t="s">
        <v>14</v>
      </c>
      <c r="F1881">
        <v>25</v>
      </c>
      <c r="G1881" t="s">
        <v>21</v>
      </c>
      <c r="H1881">
        <v>2</v>
      </c>
      <c r="I1881">
        <v>39</v>
      </c>
      <c r="J1881">
        <v>25</v>
      </c>
      <c r="K1881" t="s">
        <v>16</v>
      </c>
      <c r="L1881" t="s">
        <v>17</v>
      </c>
      <c r="M1881">
        <f>IF(Table1[[#This Row],[ألغى الاشتراك]]="نعم",1,0)</f>
        <v>0</v>
      </c>
      <c r="N1881">
        <f>IF(Table1[[#This Row],[وسيلة الدفع]]="بطاقة",1,0)</f>
        <v>0</v>
      </c>
      <c r="O1881">
        <f>IF(Table1[[#This Row],[وسيلة الدفع]]="محفظة",1,0)</f>
        <v>1</v>
      </c>
      <c r="P1881">
        <f>IF(Table1[[#This Row],[وسيلة الدفع]]="تحويل",1,0)</f>
        <v>0</v>
      </c>
      <c r="Q1881">
        <f>IF(Table1[[#This Row],[حضر التهيئة]]="نعم",1,0)</f>
        <v>1</v>
      </c>
      <c r="R1881">
        <f>IF(Table1[[#This Row],[دورة الفوترة]]="شهري",1,0)</f>
        <v>1</v>
      </c>
    </row>
    <row r="1882" spans="1:18" x14ac:dyDescent="0.25">
      <c r="A1882" t="s">
        <v>1902</v>
      </c>
      <c r="B1882" s="1">
        <v>45450</v>
      </c>
      <c r="C1882" t="s">
        <v>13</v>
      </c>
      <c r="D1882">
        <v>89</v>
      </c>
      <c r="E1882" t="s">
        <v>14</v>
      </c>
      <c r="F1882">
        <v>5</v>
      </c>
      <c r="G1882" t="s">
        <v>15</v>
      </c>
      <c r="H1882">
        <v>1</v>
      </c>
      <c r="I1882">
        <v>43</v>
      </c>
      <c r="J1882">
        <v>10</v>
      </c>
      <c r="K1882" t="s">
        <v>16</v>
      </c>
      <c r="L1882" t="s">
        <v>17</v>
      </c>
      <c r="M1882">
        <f>IF(Table1[[#This Row],[ألغى الاشتراك]]="نعم",1,0)</f>
        <v>0</v>
      </c>
      <c r="N1882">
        <f>IF(Table1[[#This Row],[وسيلة الدفع]]="بطاقة",1,0)</f>
        <v>1</v>
      </c>
      <c r="O1882">
        <f>IF(Table1[[#This Row],[وسيلة الدفع]]="محفظة",1,0)</f>
        <v>0</v>
      </c>
      <c r="P1882">
        <f>IF(Table1[[#This Row],[وسيلة الدفع]]="تحويل",1,0)</f>
        <v>0</v>
      </c>
      <c r="Q1882">
        <f>IF(Table1[[#This Row],[حضر التهيئة]]="نعم",1,0)</f>
        <v>1</v>
      </c>
      <c r="R1882">
        <f>IF(Table1[[#This Row],[دورة الفوترة]]="شهري",1,0)</f>
        <v>1</v>
      </c>
    </row>
    <row r="1883" spans="1:18" x14ac:dyDescent="0.25">
      <c r="A1883" t="s">
        <v>1903</v>
      </c>
      <c r="B1883" s="1">
        <v>45732</v>
      </c>
      <c r="C1883" t="s">
        <v>28</v>
      </c>
      <c r="D1883">
        <v>39</v>
      </c>
      <c r="E1883" t="s">
        <v>14</v>
      </c>
      <c r="F1883">
        <v>15</v>
      </c>
      <c r="G1883" t="s">
        <v>15</v>
      </c>
      <c r="H1883">
        <v>0</v>
      </c>
      <c r="I1883">
        <v>51</v>
      </c>
      <c r="J1883">
        <v>0</v>
      </c>
      <c r="K1883" t="s">
        <v>17</v>
      </c>
      <c r="L1883" t="s">
        <v>16</v>
      </c>
      <c r="M1883">
        <f>IF(Table1[[#This Row],[ألغى الاشتراك]]="نعم",1,0)</f>
        <v>1</v>
      </c>
      <c r="N1883">
        <f>IF(Table1[[#This Row],[وسيلة الدفع]]="بطاقة",1,0)</f>
        <v>1</v>
      </c>
      <c r="O1883">
        <f>IF(Table1[[#This Row],[وسيلة الدفع]]="محفظة",1,0)</f>
        <v>0</v>
      </c>
      <c r="P1883">
        <f>IF(Table1[[#This Row],[وسيلة الدفع]]="تحويل",1,0)</f>
        <v>0</v>
      </c>
      <c r="Q1883">
        <f>IF(Table1[[#This Row],[حضر التهيئة]]="نعم",1,0)</f>
        <v>0</v>
      </c>
      <c r="R1883">
        <f>IF(Table1[[#This Row],[دورة الفوترة]]="شهري",1,0)</f>
        <v>1</v>
      </c>
    </row>
    <row r="1884" spans="1:18" x14ac:dyDescent="0.25">
      <c r="A1884" t="s">
        <v>1904</v>
      </c>
      <c r="B1884" s="1">
        <v>45791</v>
      </c>
      <c r="C1884" t="s">
        <v>28</v>
      </c>
      <c r="D1884">
        <v>39</v>
      </c>
      <c r="E1884" t="s">
        <v>20</v>
      </c>
      <c r="F1884">
        <v>26</v>
      </c>
      <c r="G1884" t="s">
        <v>21</v>
      </c>
      <c r="H1884">
        <v>10</v>
      </c>
      <c r="I1884">
        <v>12</v>
      </c>
      <c r="J1884">
        <v>5</v>
      </c>
      <c r="K1884" t="s">
        <v>16</v>
      </c>
      <c r="L1884" t="s">
        <v>17</v>
      </c>
      <c r="M1884">
        <f>IF(Table1[[#This Row],[ألغى الاشتراك]]="نعم",1,0)</f>
        <v>0</v>
      </c>
      <c r="N1884">
        <f>IF(Table1[[#This Row],[وسيلة الدفع]]="بطاقة",1,0)</f>
        <v>0</v>
      </c>
      <c r="O1884">
        <f>IF(Table1[[#This Row],[وسيلة الدفع]]="محفظة",1,0)</f>
        <v>1</v>
      </c>
      <c r="P1884">
        <f>IF(Table1[[#This Row],[وسيلة الدفع]]="تحويل",1,0)</f>
        <v>0</v>
      </c>
      <c r="Q1884">
        <f>IF(Table1[[#This Row],[حضر التهيئة]]="نعم",1,0)</f>
        <v>1</v>
      </c>
      <c r="R1884">
        <f>IF(Table1[[#This Row],[دورة الفوترة]]="شهري",1,0)</f>
        <v>0</v>
      </c>
    </row>
    <row r="1885" spans="1:18" x14ac:dyDescent="0.25">
      <c r="A1885" t="s">
        <v>1905</v>
      </c>
      <c r="B1885" s="1">
        <v>45588</v>
      </c>
      <c r="C1885" t="s">
        <v>13</v>
      </c>
      <c r="D1885">
        <v>89</v>
      </c>
      <c r="E1885" t="s">
        <v>14</v>
      </c>
      <c r="F1885">
        <v>2</v>
      </c>
      <c r="G1885" t="s">
        <v>23</v>
      </c>
      <c r="H1885">
        <v>0</v>
      </c>
      <c r="I1885">
        <v>4</v>
      </c>
      <c r="J1885">
        <v>0</v>
      </c>
      <c r="K1885" t="s">
        <v>17</v>
      </c>
      <c r="L1885" t="s">
        <v>17</v>
      </c>
      <c r="M1885">
        <f>IF(Table1[[#This Row],[ألغى الاشتراك]]="نعم",1,0)</f>
        <v>0</v>
      </c>
      <c r="N1885">
        <f>IF(Table1[[#This Row],[وسيلة الدفع]]="بطاقة",1,0)</f>
        <v>0</v>
      </c>
      <c r="O1885">
        <f>IF(Table1[[#This Row],[وسيلة الدفع]]="محفظة",1,0)</f>
        <v>0</v>
      </c>
      <c r="P1885">
        <f>IF(Table1[[#This Row],[وسيلة الدفع]]="تحويل",1,0)</f>
        <v>1</v>
      </c>
      <c r="Q1885">
        <f>IF(Table1[[#This Row],[حضر التهيئة]]="نعم",1,0)</f>
        <v>0</v>
      </c>
      <c r="R1885">
        <f>IF(Table1[[#This Row],[دورة الفوترة]]="شهري",1,0)</f>
        <v>1</v>
      </c>
    </row>
    <row r="1886" spans="1:18" x14ac:dyDescent="0.25">
      <c r="A1886" t="s">
        <v>1906</v>
      </c>
      <c r="B1886" s="1">
        <v>45846</v>
      </c>
      <c r="C1886" t="s">
        <v>13</v>
      </c>
      <c r="D1886">
        <v>89</v>
      </c>
      <c r="E1886" t="s">
        <v>14</v>
      </c>
      <c r="F1886">
        <v>19</v>
      </c>
      <c r="G1886" t="s">
        <v>23</v>
      </c>
      <c r="H1886">
        <v>8</v>
      </c>
      <c r="I1886">
        <v>29</v>
      </c>
      <c r="J1886">
        <v>0</v>
      </c>
      <c r="K1886" t="s">
        <v>17</v>
      </c>
      <c r="L1886" t="s">
        <v>17</v>
      </c>
      <c r="M1886">
        <f>IF(Table1[[#This Row],[ألغى الاشتراك]]="نعم",1,0)</f>
        <v>0</v>
      </c>
      <c r="N1886">
        <f>IF(Table1[[#This Row],[وسيلة الدفع]]="بطاقة",1,0)</f>
        <v>0</v>
      </c>
      <c r="O1886">
        <f>IF(Table1[[#This Row],[وسيلة الدفع]]="محفظة",1,0)</f>
        <v>0</v>
      </c>
      <c r="P1886">
        <f>IF(Table1[[#This Row],[وسيلة الدفع]]="تحويل",1,0)</f>
        <v>1</v>
      </c>
      <c r="Q1886">
        <f>IF(Table1[[#This Row],[حضر التهيئة]]="نعم",1,0)</f>
        <v>0</v>
      </c>
      <c r="R1886">
        <f>IF(Table1[[#This Row],[دورة الفوترة]]="شهري",1,0)</f>
        <v>1</v>
      </c>
    </row>
    <row r="1887" spans="1:18" x14ac:dyDescent="0.25">
      <c r="A1887" t="s">
        <v>1907</v>
      </c>
      <c r="B1887" s="1">
        <v>45395</v>
      </c>
      <c r="C1887" t="s">
        <v>28</v>
      </c>
      <c r="D1887">
        <v>39</v>
      </c>
      <c r="E1887" t="s">
        <v>14</v>
      </c>
      <c r="F1887">
        <v>26</v>
      </c>
      <c r="G1887" t="s">
        <v>21</v>
      </c>
      <c r="H1887">
        <v>4</v>
      </c>
      <c r="I1887">
        <v>28</v>
      </c>
      <c r="J1887">
        <v>0</v>
      </c>
      <c r="K1887" t="s">
        <v>16</v>
      </c>
      <c r="L1887" t="s">
        <v>17</v>
      </c>
      <c r="M1887">
        <f>IF(Table1[[#This Row],[ألغى الاشتراك]]="نعم",1,0)</f>
        <v>0</v>
      </c>
      <c r="N1887">
        <f>IF(Table1[[#This Row],[وسيلة الدفع]]="بطاقة",1,0)</f>
        <v>0</v>
      </c>
      <c r="O1887">
        <f>IF(Table1[[#This Row],[وسيلة الدفع]]="محفظة",1,0)</f>
        <v>1</v>
      </c>
      <c r="P1887">
        <f>IF(Table1[[#This Row],[وسيلة الدفع]]="تحويل",1,0)</f>
        <v>0</v>
      </c>
      <c r="Q1887">
        <f>IF(Table1[[#This Row],[حضر التهيئة]]="نعم",1,0)</f>
        <v>1</v>
      </c>
      <c r="R1887">
        <f>IF(Table1[[#This Row],[دورة الفوترة]]="شهري",1,0)</f>
        <v>1</v>
      </c>
    </row>
    <row r="1888" spans="1:18" x14ac:dyDescent="0.25">
      <c r="A1888" t="s">
        <v>1908</v>
      </c>
      <c r="B1888" s="1">
        <v>45787</v>
      </c>
      <c r="C1888" t="s">
        <v>19</v>
      </c>
      <c r="D1888">
        <v>189</v>
      </c>
      <c r="E1888" t="s">
        <v>14</v>
      </c>
      <c r="F1888">
        <v>5</v>
      </c>
      <c r="G1888" t="s">
        <v>23</v>
      </c>
      <c r="H1888">
        <v>2</v>
      </c>
      <c r="I1888">
        <v>13</v>
      </c>
      <c r="J1888">
        <v>0</v>
      </c>
      <c r="K1888" t="s">
        <v>17</v>
      </c>
      <c r="L1888" t="s">
        <v>17</v>
      </c>
      <c r="M1888">
        <f>IF(Table1[[#This Row],[ألغى الاشتراك]]="نعم",1,0)</f>
        <v>0</v>
      </c>
      <c r="N1888">
        <f>IF(Table1[[#This Row],[وسيلة الدفع]]="بطاقة",1,0)</f>
        <v>0</v>
      </c>
      <c r="O1888">
        <f>IF(Table1[[#This Row],[وسيلة الدفع]]="محفظة",1,0)</f>
        <v>0</v>
      </c>
      <c r="P1888">
        <f>IF(Table1[[#This Row],[وسيلة الدفع]]="تحويل",1,0)</f>
        <v>1</v>
      </c>
      <c r="Q1888">
        <f>IF(Table1[[#This Row],[حضر التهيئة]]="نعم",1,0)</f>
        <v>0</v>
      </c>
      <c r="R1888">
        <f>IF(Table1[[#This Row],[دورة الفوترة]]="شهري",1,0)</f>
        <v>1</v>
      </c>
    </row>
    <row r="1889" spans="1:18" x14ac:dyDescent="0.25">
      <c r="A1889" t="s">
        <v>1909</v>
      </c>
      <c r="B1889" s="1">
        <v>45580</v>
      </c>
      <c r="C1889" t="s">
        <v>13</v>
      </c>
      <c r="D1889">
        <v>89</v>
      </c>
      <c r="E1889" t="s">
        <v>14</v>
      </c>
      <c r="F1889">
        <v>26</v>
      </c>
      <c r="G1889" t="s">
        <v>23</v>
      </c>
      <c r="H1889">
        <v>1</v>
      </c>
      <c r="I1889">
        <v>8</v>
      </c>
      <c r="J1889">
        <v>0</v>
      </c>
      <c r="K1889" t="s">
        <v>16</v>
      </c>
      <c r="L1889" t="s">
        <v>17</v>
      </c>
      <c r="M1889">
        <f>IF(Table1[[#This Row],[ألغى الاشتراك]]="نعم",1,0)</f>
        <v>0</v>
      </c>
      <c r="N1889">
        <f>IF(Table1[[#This Row],[وسيلة الدفع]]="بطاقة",1,0)</f>
        <v>0</v>
      </c>
      <c r="O1889">
        <f>IF(Table1[[#This Row],[وسيلة الدفع]]="محفظة",1,0)</f>
        <v>0</v>
      </c>
      <c r="P1889">
        <f>IF(Table1[[#This Row],[وسيلة الدفع]]="تحويل",1,0)</f>
        <v>1</v>
      </c>
      <c r="Q1889">
        <f>IF(Table1[[#This Row],[حضر التهيئة]]="نعم",1,0)</f>
        <v>1</v>
      </c>
      <c r="R1889">
        <f>IF(Table1[[#This Row],[دورة الفوترة]]="شهري",1,0)</f>
        <v>1</v>
      </c>
    </row>
    <row r="1890" spans="1:18" x14ac:dyDescent="0.25">
      <c r="A1890" t="s">
        <v>1910</v>
      </c>
      <c r="B1890" s="1">
        <v>45720</v>
      </c>
      <c r="C1890" t="s">
        <v>28</v>
      </c>
      <c r="D1890">
        <v>39</v>
      </c>
      <c r="E1890" t="s">
        <v>14</v>
      </c>
      <c r="F1890">
        <v>9</v>
      </c>
      <c r="G1890" t="s">
        <v>21</v>
      </c>
      <c r="H1890">
        <v>1</v>
      </c>
      <c r="I1890">
        <v>3</v>
      </c>
      <c r="J1890">
        <v>0</v>
      </c>
      <c r="K1890" t="s">
        <v>16</v>
      </c>
      <c r="L1890" t="s">
        <v>17</v>
      </c>
      <c r="M1890">
        <f>IF(Table1[[#This Row],[ألغى الاشتراك]]="نعم",1,0)</f>
        <v>0</v>
      </c>
      <c r="N1890">
        <f>IF(Table1[[#This Row],[وسيلة الدفع]]="بطاقة",1,0)</f>
        <v>0</v>
      </c>
      <c r="O1890">
        <f>IF(Table1[[#This Row],[وسيلة الدفع]]="محفظة",1,0)</f>
        <v>1</v>
      </c>
      <c r="P1890">
        <f>IF(Table1[[#This Row],[وسيلة الدفع]]="تحويل",1,0)</f>
        <v>0</v>
      </c>
      <c r="Q1890">
        <f>IF(Table1[[#This Row],[حضر التهيئة]]="نعم",1,0)</f>
        <v>1</v>
      </c>
      <c r="R1890">
        <f>IF(Table1[[#This Row],[دورة الفوترة]]="شهري",1,0)</f>
        <v>1</v>
      </c>
    </row>
    <row r="1891" spans="1:18" x14ac:dyDescent="0.25">
      <c r="A1891" t="s">
        <v>1911</v>
      </c>
      <c r="B1891" s="1">
        <v>45799</v>
      </c>
      <c r="C1891" t="s">
        <v>13</v>
      </c>
      <c r="D1891">
        <v>89</v>
      </c>
      <c r="E1891" t="s">
        <v>14</v>
      </c>
      <c r="F1891">
        <v>20</v>
      </c>
      <c r="G1891" t="s">
        <v>23</v>
      </c>
      <c r="H1891">
        <v>2</v>
      </c>
      <c r="I1891">
        <v>36</v>
      </c>
      <c r="J1891">
        <v>5</v>
      </c>
      <c r="K1891" t="s">
        <v>16</v>
      </c>
      <c r="L1891" t="s">
        <v>17</v>
      </c>
      <c r="M1891">
        <f>IF(Table1[[#This Row],[ألغى الاشتراك]]="نعم",1,0)</f>
        <v>0</v>
      </c>
      <c r="N1891">
        <f>IF(Table1[[#This Row],[وسيلة الدفع]]="بطاقة",1,0)</f>
        <v>0</v>
      </c>
      <c r="O1891">
        <f>IF(Table1[[#This Row],[وسيلة الدفع]]="محفظة",1,0)</f>
        <v>0</v>
      </c>
      <c r="P1891">
        <f>IF(Table1[[#This Row],[وسيلة الدفع]]="تحويل",1,0)</f>
        <v>1</v>
      </c>
      <c r="Q1891">
        <f>IF(Table1[[#This Row],[حضر التهيئة]]="نعم",1,0)</f>
        <v>1</v>
      </c>
      <c r="R1891">
        <f>IF(Table1[[#This Row],[دورة الفوترة]]="شهري",1,0)</f>
        <v>1</v>
      </c>
    </row>
    <row r="1892" spans="1:18" x14ac:dyDescent="0.25">
      <c r="A1892" t="s">
        <v>1912</v>
      </c>
      <c r="B1892" s="1">
        <v>45458</v>
      </c>
      <c r="C1892" t="s">
        <v>19</v>
      </c>
      <c r="D1892">
        <v>189</v>
      </c>
      <c r="E1892" t="s">
        <v>14</v>
      </c>
      <c r="F1892">
        <v>28</v>
      </c>
      <c r="G1892" t="s">
        <v>23</v>
      </c>
      <c r="H1892">
        <v>11</v>
      </c>
      <c r="I1892">
        <v>22</v>
      </c>
      <c r="J1892">
        <v>0</v>
      </c>
      <c r="K1892" t="s">
        <v>17</v>
      </c>
      <c r="L1892" t="s">
        <v>17</v>
      </c>
      <c r="M1892">
        <f>IF(Table1[[#This Row],[ألغى الاشتراك]]="نعم",1,0)</f>
        <v>0</v>
      </c>
      <c r="N1892">
        <f>IF(Table1[[#This Row],[وسيلة الدفع]]="بطاقة",1,0)</f>
        <v>0</v>
      </c>
      <c r="O1892">
        <f>IF(Table1[[#This Row],[وسيلة الدفع]]="محفظة",1,0)</f>
        <v>0</v>
      </c>
      <c r="P1892">
        <f>IF(Table1[[#This Row],[وسيلة الدفع]]="تحويل",1,0)</f>
        <v>1</v>
      </c>
      <c r="Q1892">
        <f>IF(Table1[[#This Row],[حضر التهيئة]]="نعم",1,0)</f>
        <v>0</v>
      </c>
      <c r="R1892">
        <f>IF(Table1[[#This Row],[دورة الفوترة]]="شهري",1,0)</f>
        <v>1</v>
      </c>
    </row>
    <row r="1893" spans="1:18" x14ac:dyDescent="0.25">
      <c r="A1893" t="s">
        <v>1913</v>
      </c>
      <c r="B1893" s="1">
        <v>45635</v>
      </c>
      <c r="C1893" t="s">
        <v>13</v>
      </c>
      <c r="D1893">
        <v>89</v>
      </c>
      <c r="E1893" t="s">
        <v>14</v>
      </c>
      <c r="F1893">
        <v>23</v>
      </c>
      <c r="G1893" t="s">
        <v>23</v>
      </c>
      <c r="H1893">
        <v>0</v>
      </c>
      <c r="I1893">
        <v>11</v>
      </c>
      <c r="J1893">
        <v>25</v>
      </c>
      <c r="K1893" t="s">
        <v>17</v>
      </c>
      <c r="L1893" t="s">
        <v>16</v>
      </c>
      <c r="M1893">
        <f>IF(Table1[[#This Row],[ألغى الاشتراك]]="نعم",1,0)</f>
        <v>1</v>
      </c>
      <c r="N1893">
        <f>IF(Table1[[#This Row],[وسيلة الدفع]]="بطاقة",1,0)</f>
        <v>0</v>
      </c>
      <c r="O1893">
        <f>IF(Table1[[#This Row],[وسيلة الدفع]]="محفظة",1,0)</f>
        <v>0</v>
      </c>
      <c r="P1893">
        <f>IF(Table1[[#This Row],[وسيلة الدفع]]="تحويل",1,0)</f>
        <v>1</v>
      </c>
      <c r="Q1893">
        <f>IF(Table1[[#This Row],[حضر التهيئة]]="نعم",1,0)</f>
        <v>0</v>
      </c>
      <c r="R1893">
        <f>IF(Table1[[#This Row],[دورة الفوترة]]="شهري",1,0)</f>
        <v>1</v>
      </c>
    </row>
    <row r="1894" spans="1:18" x14ac:dyDescent="0.25">
      <c r="A1894" t="s">
        <v>1914</v>
      </c>
      <c r="B1894" s="1">
        <v>45902</v>
      </c>
      <c r="C1894" t="s">
        <v>13</v>
      </c>
      <c r="D1894">
        <v>89</v>
      </c>
      <c r="E1894" t="s">
        <v>20</v>
      </c>
      <c r="F1894">
        <v>15</v>
      </c>
      <c r="G1894" t="s">
        <v>21</v>
      </c>
      <c r="H1894">
        <v>3</v>
      </c>
      <c r="I1894">
        <v>57</v>
      </c>
      <c r="J1894">
        <v>0</v>
      </c>
      <c r="K1894" t="s">
        <v>16</v>
      </c>
      <c r="L1894" t="s">
        <v>17</v>
      </c>
      <c r="M1894">
        <f>IF(Table1[[#This Row],[ألغى الاشتراك]]="نعم",1,0)</f>
        <v>0</v>
      </c>
      <c r="N1894">
        <f>IF(Table1[[#This Row],[وسيلة الدفع]]="بطاقة",1,0)</f>
        <v>0</v>
      </c>
      <c r="O1894">
        <f>IF(Table1[[#This Row],[وسيلة الدفع]]="محفظة",1,0)</f>
        <v>1</v>
      </c>
      <c r="P1894">
        <f>IF(Table1[[#This Row],[وسيلة الدفع]]="تحويل",1,0)</f>
        <v>0</v>
      </c>
      <c r="Q1894">
        <f>IF(Table1[[#This Row],[حضر التهيئة]]="نعم",1,0)</f>
        <v>1</v>
      </c>
      <c r="R1894">
        <f>IF(Table1[[#This Row],[دورة الفوترة]]="شهري",1,0)</f>
        <v>0</v>
      </c>
    </row>
    <row r="1895" spans="1:18" x14ac:dyDescent="0.25">
      <c r="A1895" t="s">
        <v>1915</v>
      </c>
      <c r="B1895" s="1">
        <v>45450</v>
      </c>
      <c r="C1895" t="s">
        <v>13</v>
      </c>
      <c r="D1895">
        <v>89</v>
      </c>
      <c r="E1895" t="s">
        <v>14</v>
      </c>
      <c r="F1895">
        <v>6</v>
      </c>
      <c r="G1895" t="s">
        <v>23</v>
      </c>
      <c r="H1895">
        <v>4</v>
      </c>
      <c r="I1895">
        <v>36</v>
      </c>
      <c r="J1895">
        <v>0</v>
      </c>
      <c r="K1895" t="s">
        <v>17</v>
      </c>
      <c r="L1895" t="s">
        <v>17</v>
      </c>
      <c r="M1895">
        <f>IF(Table1[[#This Row],[ألغى الاشتراك]]="نعم",1,0)</f>
        <v>0</v>
      </c>
      <c r="N1895">
        <f>IF(Table1[[#This Row],[وسيلة الدفع]]="بطاقة",1,0)</f>
        <v>0</v>
      </c>
      <c r="O1895">
        <f>IF(Table1[[#This Row],[وسيلة الدفع]]="محفظة",1,0)</f>
        <v>0</v>
      </c>
      <c r="P1895">
        <f>IF(Table1[[#This Row],[وسيلة الدفع]]="تحويل",1,0)</f>
        <v>1</v>
      </c>
      <c r="Q1895">
        <f>IF(Table1[[#This Row],[حضر التهيئة]]="نعم",1,0)</f>
        <v>0</v>
      </c>
      <c r="R1895">
        <f>IF(Table1[[#This Row],[دورة الفوترة]]="شهري",1,0)</f>
        <v>1</v>
      </c>
    </row>
    <row r="1896" spans="1:18" x14ac:dyDescent="0.25">
      <c r="A1896" t="s">
        <v>1916</v>
      </c>
      <c r="B1896" s="1">
        <v>45989</v>
      </c>
      <c r="C1896" t="s">
        <v>13</v>
      </c>
      <c r="D1896">
        <v>89</v>
      </c>
      <c r="E1896" t="s">
        <v>14</v>
      </c>
      <c r="F1896">
        <v>17</v>
      </c>
      <c r="G1896" t="s">
        <v>15</v>
      </c>
      <c r="H1896">
        <v>3</v>
      </c>
      <c r="I1896">
        <v>43</v>
      </c>
      <c r="J1896">
        <v>0</v>
      </c>
      <c r="K1896" t="s">
        <v>16</v>
      </c>
      <c r="L1896" t="s">
        <v>17</v>
      </c>
      <c r="M1896">
        <f>IF(Table1[[#This Row],[ألغى الاشتراك]]="نعم",1,0)</f>
        <v>0</v>
      </c>
      <c r="N1896">
        <f>IF(Table1[[#This Row],[وسيلة الدفع]]="بطاقة",1,0)</f>
        <v>1</v>
      </c>
      <c r="O1896">
        <f>IF(Table1[[#This Row],[وسيلة الدفع]]="محفظة",1,0)</f>
        <v>0</v>
      </c>
      <c r="P1896">
        <f>IF(Table1[[#This Row],[وسيلة الدفع]]="تحويل",1,0)</f>
        <v>0</v>
      </c>
      <c r="Q1896">
        <f>IF(Table1[[#This Row],[حضر التهيئة]]="نعم",1,0)</f>
        <v>1</v>
      </c>
      <c r="R1896">
        <f>IF(Table1[[#This Row],[دورة الفوترة]]="شهري",1,0)</f>
        <v>1</v>
      </c>
    </row>
    <row r="1897" spans="1:18" x14ac:dyDescent="0.25">
      <c r="A1897" t="s">
        <v>1917</v>
      </c>
      <c r="B1897" s="1">
        <v>45505</v>
      </c>
      <c r="C1897" t="s">
        <v>19</v>
      </c>
      <c r="D1897">
        <v>189</v>
      </c>
      <c r="E1897" t="s">
        <v>14</v>
      </c>
      <c r="F1897">
        <v>30</v>
      </c>
      <c r="G1897" t="s">
        <v>15</v>
      </c>
      <c r="H1897">
        <v>8</v>
      </c>
      <c r="I1897">
        <v>34</v>
      </c>
      <c r="J1897">
        <v>0</v>
      </c>
      <c r="K1897" t="s">
        <v>17</v>
      </c>
      <c r="L1897" t="s">
        <v>17</v>
      </c>
      <c r="M1897">
        <f>IF(Table1[[#This Row],[ألغى الاشتراك]]="نعم",1,0)</f>
        <v>0</v>
      </c>
      <c r="N1897">
        <f>IF(Table1[[#This Row],[وسيلة الدفع]]="بطاقة",1,0)</f>
        <v>1</v>
      </c>
      <c r="O1897">
        <f>IF(Table1[[#This Row],[وسيلة الدفع]]="محفظة",1,0)</f>
        <v>0</v>
      </c>
      <c r="P1897">
        <f>IF(Table1[[#This Row],[وسيلة الدفع]]="تحويل",1,0)</f>
        <v>0</v>
      </c>
      <c r="Q1897">
        <f>IF(Table1[[#This Row],[حضر التهيئة]]="نعم",1,0)</f>
        <v>0</v>
      </c>
      <c r="R1897">
        <f>IF(Table1[[#This Row],[دورة الفوترة]]="شهري",1,0)</f>
        <v>1</v>
      </c>
    </row>
    <row r="1898" spans="1:18" x14ac:dyDescent="0.25">
      <c r="A1898" t="s">
        <v>1918</v>
      </c>
      <c r="B1898" s="1">
        <v>45584</v>
      </c>
      <c r="C1898" t="s">
        <v>19</v>
      </c>
      <c r="D1898">
        <v>189</v>
      </c>
      <c r="E1898" t="s">
        <v>20</v>
      </c>
      <c r="F1898">
        <v>11</v>
      </c>
      <c r="G1898" t="s">
        <v>15</v>
      </c>
      <c r="H1898">
        <v>2</v>
      </c>
      <c r="I1898">
        <v>3</v>
      </c>
      <c r="J1898">
        <v>10</v>
      </c>
      <c r="K1898" t="s">
        <v>17</v>
      </c>
      <c r="L1898" t="s">
        <v>17</v>
      </c>
      <c r="M1898">
        <f>IF(Table1[[#This Row],[ألغى الاشتراك]]="نعم",1,0)</f>
        <v>0</v>
      </c>
      <c r="N1898">
        <f>IF(Table1[[#This Row],[وسيلة الدفع]]="بطاقة",1,0)</f>
        <v>1</v>
      </c>
      <c r="O1898">
        <f>IF(Table1[[#This Row],[وسيلة الدفع]]="محفظة",1,0)</f>
        <v>0</v>
      </c>
      <c r="P1898">
        <f>IF(Table1[[#This Row],[وسيلة الدفع]]="تحويل",1,0)</f>
        <v>0</v>
      </c>
      <c r="Q1898">
        <f>IF(Table1[[#This Row],[حضر التهيئة]]="نعم",1,0)</f>
        <v>0</v>
      </c>
      <c r="R1898">
        <f>IF(Table1[[#This Row],[دورة الفوترة]]="شهري",1,0)</f>
        <v>0</v>
      </c>
    </row>
    <row r="1899" spans="1:18" x14ac:dyDescent="0.25">
      <c r="A1899" t="s">
        <v>1919</v>
      </c>
      <c r="B1899" s="1">
        <v>45981</v>
      </c>
      <c r="C1899" t="s">
        <v>28</v>
      </c>
      <c r="D1899">
        <v>39</v>
      </c>
      <c r="E1899" t="s">
        <v>20</v>
      </c>
      <c r="F1899">
        <v>9</v>
      </c>
      <c r="G1899" t="s">
        <v>21</v>
      </c>
      <c r="H1899">
        <v>0</v>
      </c>
      <c r="I1899">
        <v>31</v>
      </c>
      <c r="J1899">
        <v>0</v>
      </c>
      <c r="K1899" t="s">
        <v>17</v>
      </c>
      <c r="L1899" t="s">
        <v>17</v>
      </c>
      <c r="M1899">
        <f>IF(Table1[[#This Row],[ألغى الاشتراك]]="نعم",1,0)</f>
        <v>0</v>
      </c>
      <c r="N1899">
        <f>IF(Table1[[#This Row],[وسيلة الدفع]]="بطاقة",1,0)</f>
        <v>0</v>
      </c>
      <c r="O1899">
        <f>IF(Table1[[#This Row],[وسيلة الدفع]]="محفظة",1,0)</f>
        <v>1</v>
      </c>
      <c r="P1899">
        <f>IF(Table1[[#This Row],[وسيلة الدفع]]="تحويل",1,0)</f>
        <v>0</v>
      </c>
      <c r="Q1899">
        <f>IF(Table1[[#This Row],[حضر التهيئة]]="نعم",1,0)</f>
        <v>0</v>
      </c>
      <c r="R1899">
        <f>IF(Table1[[#This Row],[دورة الفوترة]]="شهري",1,0)</f>
        <v>0</v>
      </c>
    </row>
    <row r="1900" spans="1:18" x14ac:dyDescent="0.25">
      <c r="A1900" t="s">
        <v>1920</v>
      </c>
      <c r="B1900" s="1">
        <v>45517</v>
      </c>
      <c r="C1900" t="s">
        <v>13</v>
      </c>
      <c r="D1900">
        <v>89</v>
      </c>
      <c r="E1900" t="s">
        <v>20</v>
      </c>
      <c r="F1900">
        <v>28</v>
      </c>
      <c r="G1900" t="s">
        <v>23</v>
      </c>
      <c r="H1900">
        <v>11</v>
      </c>
      <c r="I1900">
        <v>4</v>
      </c>
      <c r="J1900">
        <v>0</v>
      </c>
      <c r="K1900" t="s">
        <v>16</v>
      </c>
      <c r="L1900" t="s">
        <v>16</v>
      </c>
      <c r="M1900">
        <f>IF(Table1[[#This Row],[ألغى الاشتراك]]="نعم",1,0)</f>
        <v>1</v>
      </c>
      <c r="N1900">
        <f>IF(Table1[[#This Row],[وسيلة الدفع]]="بطاقة",1,0)</f>
        <v>0</v>
      </c>
      <c r="O1900">
        <f>IF(Table1[[#This Row],[وسيلة الدفع]]="محفظة",1,0)</f>
        <v>0</v>
      </c>
      <c r="P1900">
        <f>IF(Table1[[#This Row],[وسيلة الدفع]]="تحويل",1,0)</f>
        <v>1</v>
      </c>
      <c r="Q1900">
        <f>IF(Table1[[#This Row],[حضر التهيئة]]="نعم",1,0)</f>
        <v>1</v>
      </c>
      <c r="R1900">
        <f>IF(Table1[[#This Row],[دورة الفوترة]]="شهري",1,0)</f>
        <v>0</v>
      </c>
    </row>
    <row r="1901" spans="1:18" x14ac:dyDescent="0.25">
      <c r="A1901" t="s">
        <v>1921</v>
      </c>
      <c r="B1901" s="1">
        <v>45333</v>
      </c>
      <c r="C1901" t="s">
        <v>28</v>
      </c>
      <c r="D1901">
        <v>39</v>
      </c>
      <c r="E1901" t="s">
        <v>20</v>
      </c>
      <c r="F1901">
        <v>15</v>
      </c>
      <c r="G1901" t="s">
        <v>23</v>
      </c>
      <c r="H1901">
        <v>11</v>
      </c>
      <c r="I1901">
        <v>43</v>
      </c>
      <c r="J1901">
        <v>10</v>
      </c>
      <c r="K1901" t="s">
        <v>16</v>
      </c>
      <c r="L1901" t="s">
        <v>17</v>
      </c>
      <c r="M1901">
        <f>IF(Table1[[#This Row],[ألغى الاشتراك]]="نعم",1,0)</f>
        <v>0</v>
      </c>
      <c r="N1901">
        <f>IF(Table1[[#This Row],[وسيلة الدفع]]="بطاقة",1,0)</f>
        <v>0</v>
      </c>
      <c r="O1901">
        <f>IF(Table1[[#This Row],[وسيلة الدفع]]="محفظة",1,0)</f>
        <v>0</v>
      </c>
      <c r="P1901">
        <f>IF(Table1[[#This Row],[وسيلة الدفع]]="تحويل",1,0)</f>
        <v>1</v>
      </c>
      <c r="Q1901">
        <f>IF(Table1[[#This Row],[حضر التهيئة]]="نعم",1,0)</f>
        <v>1</v>
      </c>
      <c r="R1901">
        <f>IF(Table1[[#This Row],[دورة الفوترة]]="شهري",1,0)</f>
        <v>0</v>
      </c>
    </row>
    <row r="1902" spans="1:18" x14ac:dyDescent="0.25">
      <c r="A1902" t="s">
        <v>1922</v>
      </c>
      <c r="B1902" s="1">
        <v>45989</v>
      </c>
      <c r="C1902" t="s">
        <v>19</v>
      </c>
      <c r="D1902">
        <v>189</v>
      </c>
      <c r="E1902" t="s">
        <v>20</v>
      </c>
      <c r="F1902">
        <v>19</v>
      </c>
      <c r="G1902" t="s">
        <v>21</v>
      </c>
      <c r="H1902">
        <v>0</v>
      </c>
      <c r="I1902">
        <v>37</v>
      </c>
      <c r="J1902">
        <v>0</v>
      </c>
      <c r="K1902" t="s">
        <v>16</v>
      </c>
      <c r="L1902" t="s">
        <v>17</v>
      </c>
      <c r="M1902">
        <f>IF(Table1[[#This Row],[ألغى الاشتراك]]="نعم",1,0)</f>
        <v>0</v>
      </c>
      <c r="N1902">
        <f>IF(Table1[[#This Row],[وسيلة الدفع]]="بطاقة",1,0)</f>
        <v>0</v>
      </c>
      <c r="O1902">
        <f>IF(Table1[[#This Row],[وسيلة الدفع]]="محفظة",1,0)</f>
        <v>1</v>
      </c>
      <c r="P1902">
        <f>IF(Table1[[#This Row],[وسيلة الدفع]]="تحويل",1,0)</f>
        <v>0</v>
      </c>
      <c r="Q1902">
        <f>IF(Table1[[#This Row],[حضر التهيئة]]="نعم",1,0)</f>
        <v>1</v>
      </c>
      <c r="R1902">
        <f>IF(Table1[[#This Row],[دورة الفوترة]]="شهري",1,0)</f>
        <v>0</v>
      </c>
    </row>
    <row r="1903" spans="1:18" x14ac:dyDescent="0.25">
      <c r="A1903" t="s">
        <v>1923</v>
      </c>
      <c r="B1903" s="1">
        <v>45671</v>
      </c>
      <c r="C1903" t="s">
        <v>19</v>
      </c>
      <c r="D1903">
        <v>189</v>
      </c>
      <c r="E1903" t="s">
        <v>14</v>
      </c>
      <c r="F1903">
        <v>24</v>
      </c>
      <c r="G1903" t="s">
        <v>21</v>
      </c>
      <c r="H1903">
        <v>0</v>
      </c>
      <c r="I1903">
        <v>54</v>
      </c>
      <c r="J1903">
        <v>5</v>
      </c>
      <c r="K1903" t="s">
        <v>16</v>
      </c>
      <c r="L1903" t="s">
        <v>17</v>
      </c>
      <c r="M1903">
        <f>IF(Table1[[#This Row],[ألغى الاشتراك]]="نعم",1,0)</f>
        <v>0</v>
      </c>
      <c r="N1903">
        <f>IF(Table1[[#This Row],[وسيلة الدفع]]="بطاقة",1,0)</f>
        <v>0</v>
      </c>
      <c r="O1903">
        <f>IF(Table1[[#This Row],[وسيلة الدفع]]="محفظة",1,0)</f>
        <v>1</v>
      </c>
      <c r="P1903">
        <f>IF(Table1[[#This Row],[وسيلة الدفع]]="تحويل",1,0)</f>
        <v>0</v>
      </c>
      <c r="Q1903">
        <f>IF(Table1[[#This Row],[حضر التهيئة]]="نعم",1,0)</f>
        <v>1</v>
      </c>
      <c r="R1903">
        <f>IF(Table1[[#This Row],[دورة الفوترة]]="شهري",1,0)</f>
        <v>1</v>
      </c>
    </row>
    <row r="1904" spans="1:18" x14ac:dyDescent="0.25">
      <c r="A1904" t="s">
        <v>1924</v>
      </c>
      <c r="B1904" s="1">
        <v>45325</v>
      </c>
      <c r="C1904" t="s">
        <v>28</v>
      </c>
      <c r="D1904">
        <v>39</v>
      </c>
      <c r="E1904" t="s">
        <v>14</v>
      </c>
      <c r="F1904">
        <v>2</v>
      </c>
      <c r="G1904" t="s">
        <v>15</v>
      </c>
      <c r="H1904">
        <v>1</v>
      </c>
      <c r="I1904">
        <v>32</v>
      </c>
      <c r="J1904">
        <v>0</v>
      </c>
      <c r="K1904" t="s">
        <v>17</v>
      </c>
      <c r="L1904" t="s">
        <v>17</v>
      </c>
      <c r="M1904">
        <f>IF(Table1[[#This Row],[ألغى الاشتراك]]="نعم",1,0)</f>
        <v>0</v>
      </c>
      <c r="N1904">
        <f>IF(Table1[[#This Row],[وسيلة الدفع]]="بطاقة",1,0)</f>
        <v>1</v>
      </c>
      <c r="O1904">
        <f>IF(Table1[[#This Row],[وسيلة الدفع]]="محفظة",1,0)</f>
        <v>0</v>
      </c>
      <c r="P1904">
        <f>IF(Table1[[#This Row],[وسيلة الدفع]]="تحويل",1,0)</f>
        <v>0</v>
      </c>
      <c r="Q1904">
        <f>IF(Table1[[#This Row],[حضر التهيئة]]="نعم",1,0)</f>
        <v>0</v>
      </c>
      <c r="R1904">
        <f>IF(Table1[[#This Row],[دورة الفوترة]]="شهري",1,0)</f>
        <v>1</v>
      </c>
    </row>
    <row r="1905" spans="1:18" x14ac:dyDescent="0.25">
      <c r="A1905" t="s">
        <v>1925</v>
      </c>
      <c r="B1905" s="1">
        <v>45509</v>
      </c>
      <c r="C1905" t="s">
        <v>28</v>
      </c>
      <c r="D1905">
        <v>39</v>
      </c>
      <c r="E1905" t="s">
        <v>20</v>
      </c>
      <c r="F1905">
        <v>13</v>
      </c>
      <c r="G1905" t="s">
        <v>15</v>
      </c>
      <c r="H1905">
        <v>1</v>
      </c>
      <c r="I1905">
        <v>25</v>
      </c>
      <c r="J1905">
        <v>25</v>
      </c>
      <c r="K1905" t="s">
        <v>16</v>
      </c>
      <c r="L1905" t="s">
        <v>17</v>
      </c>
      <c r="M1905">
        <f>IF(Table1[[#This Row],[ألغى الاشتراك]]="نعم",1,0)</f>
        <v>0</v>
      </c>
      <c r="N1905">
        <f>IF(Table1[[#This Row],[وسيلة الدفع]]="بطاقة",1,0)</f>
        <v>1</v>
      </c>
      <c r="O1905">
        <f>IF(Table1[[#This Row],[وسيلة الدفع]]="محفظة",1,0)</f>
        <v>0</v>
      </c>
      <c r="P1905">
        <f>IF(Table1[[#This Row],[وسيلة الدفع]]="تحويل",1,0)</f>
        <v>0</v>
      </c>
      <c r="Q1905">
        <f>IF(Table1[[#This Row],[حضر التهيئة]]="نعم",1,0)</f>
        <v>1</v>
      </c>
      <c r="R1905">
        <f>IF(Table1[[#This Row],[دورة الفوترة]]="شهري",1,0)</f>
        <v>0</v>
      </c>
    </row>
    <row r="1906" spans="1:18" x14ac:dyDescent="0.25">
      <c r="A1906" t="s">
        <v>1926</v>
      </c>
      <c r="B1906" s="1">
        <v>45683</v>
      </c>
      <c r="C1906" t="s">
        <v>28</v>
      </c>
      <c r="D1906">
        <v>39</v>
      </c>
      <c r="E1906" t="s">
        <v>14</v>
      </c>
      <c r="F1906">
        <v>5</v>
      </c>
      <c r="G1906" t="s">
        <v>23</v>
      </c>
      <c r="H1906">
        <v>6</v>
      </c>
      <c r="I1906">
        <v>3</v>
      </c>
      <c r="J1906">
        <v>0</v>
      </c>
      <c r="K1906" t="s">
        <v>16</v>
      </c>
      <c r="L1906" t="s">
        <v>17</v>
      </c>
      <c r="M1906">
        <f>IF(Table1[[#This Row],[ألغى الاشتراك]]="نعم",1,0)</f>
        <v>0</v>
      </c>
      <c r="N1906">
        <f>IF(Table1[[#This Row],[وسيلة الدفع]]="بطاقة",1,0)</f>
        <v>0</v>
      </c>
      <c r="O1906">
        <f>IF(Table1[[#This Row],[وسيلة الدفع]]="محفظة",1,0)</f>
        <v>0</v>
      </c>
      <c r="P1906">
        <f>IF(Table1[[#This Row],[وسيلة الدفع]]="تحويل",1,0)</f>
        <v>1</v>
      </c>
      <c r="Q1906">
        <f>IF(Table1[[#This Row],[حضر التهيئة]]="نعم",1,0)</f>
        <v>1</v>
      </c>
      <c r="R1906">
        <f>IF(Table1[[#This Row],[دورة الفوترة]]="شهري",1,0)</f>
        <v>1</v>
      </c>
    </row>
    <row r="1907" spans="1:18" x14ac:dyDescent="0.25">
      <c r="A1907" t="s">
        <v>1927</v>
      </c>
      <c r="B1907" s="1">
        <v>45333</v>
      </c>
      <c r="C1907" t="s">
        <v>13</v>
      </c>
      <c r="D1907">
        <v>89</v>
      </c>
      <c r="E1907" t="s">
        <v>20</v>
      </c>
      <c r="F1907">
        <v>26</v>
      </c>
      <c r="G1907" t="s">
        <v>23</v>
      </c>
      <c r="H1907">
        <v>1</v>
      </c>
      <c r="I1907">
        <v>56</v>
      </c>
      <c r="J1907">
        <v>0</v>
      </c>
      <c r="K1907" t="s">
        <v>17</v>
      </c>
      <c r="L1907" t="s">
        <v>17</v>
      </c>
      <c r="M1907">
        <f>IF(Table1[[#This Row],[ألغى الاشتراك]]="نعم",1,0)</f>
        <v>0</v>
      </c>
      <c r="N1907">
        <f>IF(Table1[[#This Row],[وسيلة الدفع]]="بطاقة",1,0)</f>
        <v>0</v>
      </c>
      <c r="O1907">
        <f>IF(Table1[[#This Row],[وسيلة الدفع]]="محفظة",1,0)</f>
        <v>0</v>
      </c>
      <c r="P1907">
        <f>IF(Table1[[#This Row],[وسيلة الدفع]]="تحويل",1,0)</f>
        <v>1</v>
      </c>
      <c r="Q1907">
        <f>IF(Table1[[#This Row],[حضر التهيئة]]="نعم",1,0)</f>
        <v>0</v>
      </c>
      <c r="R1907">
        <f>IF(Table1[[#This Row],[دورة الفوترة]]="شهري",1,0)</f>
        <v>0</v>
      </c>
    </row>
    <row r="1908" spans="1:18" x14ac:dyDescent="0.25">
      <c r="A1908" t="s">
        <v>1928</v>
      </c>
      <c r="B1908" s="1">
        <v>45399</v>
      </c>
      <c r="C1908" t="s">
        <v>13</v>
      </c>
      <c r="D1908">
        <v>89</v>
      </c>
      <c r="E1908" t="s">
        <v>14</v>
      </c>
      <c r="F1908">
        <v>3</v>
      </c>
      <c r="G1908" t="s">
        <v>23</v>
      </c>
      <c r="H1908">
        <v>2</v>
      </c>
      <c r="I1908">
        <v>3</v>
      </c>
      <c r="J1908">
        <v>25</v>
      </c>
      <c r="K1908" t="s">
        <v>17</v>
      </c>
      <c r="L1908" t="s">
        <v>17</v>
      </c>
      <c r="M1908">
        <f>IF(Table1[[#This Row],[ألغى الاشتراك]]="نعم",1,0)</f>
        <v>0</v>
      </c>
      <c r="N1908">
        <f>IF(Table1[[#This Row],[وسيلة الدفع]]="بطاقة",1,0)</f>
        <v>0</v>
      </c>
      <c r="O1908">
        <f>IF(Table1[[#This Row],[وسيلة الدفع]]="محفظة",1,0)</f>
        <v>0</v>
      </c>
      <c r="P1908">
        <f>IF(Table1[[#This Row],[وسيلة الدفع]]="تحويل",1,0)</f>
        <v>1</v>
      </c>
      <c r="Q1908">
        <f>IF(Table1[[#This Row],[حضر التهيئة]]="نعم",1,0)</f>
        <v>0</v>
      </c>
      <c r="R1908">
        <f>IF(Table1[[#This Row],[دورة الفوترة]]="شهري",1,0)</f>
        <v>1</v>
      </c>
    </row>
    <row r="1909" spans="1:18" x14ac:dyDescent="0.25">
      <c r="A1909" t="s">
        <v>1929</v>
      </c>
      <c r="B1909" s="1">
        <v>45568</v>
      </c>
      <c r="C1909" t="s">
        <v>28</v>
      </c>
      <c r="D1909">
        <v>39</v>
      </c>
      <c r="E1909" t="s">
        <v>14</v>
      </c>
      <c r="F1909">
        <v>9</v>
      </c>
      <c r="G1909" t="s">
        <v>23</v>
      </c>
      <c r="H1909">
        <v>0</v>
      </c>
      <c r="I1909">
        <v>59</v>
      </c>
      <c r="J1909">
        <v>10</v>
      </c>
      <c r="K1909" t="s">
        <v>16</v>
      </c>
      <c r="L1909" t="s">
        <v>17</v>
      </c>
      <c r="M1909">
        <f>IF(Table1[[#This Row],[ألغى الاشتراك]]="نعم",1,0)</f>
        <v>0</v>
      </c>
      <c r="N1909">
        <f>IF(Table1[[#This Row],[وسيلة الدفع]]="بطاقة",1,0)</f>
        <v>0</v>
      </c>
      <c r="O1909">
        <f>IF(Table1[[#This Row],[وسيلة الدفع]]="محفظة",1,0)</f>
        <v>0</v>
      </c>
      <c r="P1909">
        <f>IF(Table1[[#This Row],[وسيلة الدفع]]="تحويل",1,0)</f>
        <v>1</v>
      </c>
      <c r="Q1909">
        <f>IF(Table1[[#This Row],[حضر التهيئة]]="نعم",1,0)</f>
        <v>1</v>
      </c>
      <c r="R1909">
        <f>IF(Table1[[#This Row],[دورة الفوترة]]="شهري",1,0)</f>
        <v>1</v>
      </c>
    </row>
    <row r="1910" spans="1:18" x14ac:dyDescent="0.25">
      <c r="A1910" t="s">
        <v>1930</v>
      </c>
      <c r="B1910" s="1">
        <v>45985</v>
      </c>
      <c r="C1910" t="s">
        <v>28</v>
      </c>
      <c r="D1910">
        <v>39</v>
      </c>
      <c r="E1910" t="s">
        <v>14</v>
      </c>
      <c r="F1910">
        <v>27</v>
      </c>
      <c r="G1910" t="s">
        <v>23</v>
      </c>
      <c r="H1910">
        <v>2</v>
      </c>
      <c r="I1910">
        <v>59</v>
      </c>
      <c r="J1910">
        <v>0</v>
      </c>
      <c r="K1910" t="s">
        <v>16</v>
      </c>
      <c r="L1910" t="s">
        <v>17</v>
      </c>
      <c r="M1910">
        <f>IF(Table1[[#This Row],[ألغى الاشتراك]]="نعم",1,0)</f>
        <v>0</v>
      </c>
      <c r="N1910">
        <f>IF(Table1[[#This Row],[وسيلة الدفع]]="بطاقة",1,0)</f>
        <v>0</v>
      </c>
      <c r="O1910">
        <f>IF(Table1[[#This Row],[وسيلة الدفع]]="محفظة",1,0)</f>
        <v>0</v>
      </c>
      <c r="P1910">
        <f>IF(Table1[[#This Row],[وسيلة الدفع]]="تحويل",1,0)</f>
        <v>1</v>
      </c>
      <c r="Q1910">
        <f>IF(Table1[[#This Row],[حضر التهيئة]]="نعم",1,0)</f>
        <v>1</v>
      </c>
      <c r="R1910">
        <f>IF(Table1[[#This Row],[دورة الفوترة]]="شهري",1,0)</f>
        <v>1</v>
      </c>
    </row>
    <row r="1911" spans="1:18" x14ac:dyDescent="0.25">
      <c r="A1911" t="s">
        <v>1931</v>
      </c>
      <c r="B1911" s="1">
        <v>45643</v>
      </c>
      <c r="C1911" t="s">
        <v>19</v>
      </c>
      <c r="D1911">
        <v>189</v>
      </c>
      <c r="E1911" t="s">
        <v>20</v>
      </c>
      <c r="F1911">
        <v>20</v>
      </c>
      <c r="G1911" t="s">
        <v>15</v>
      </c>
      <c r="H1911">
        <v>2</v>
      </c>
      <c r="I1911">
        <v>24</v>
      </c>
      <c r="J1911">
        <v>0</v>
      </c>
      <c r="K1911" t="s">
        <v>17</v>
      </c>
      <c r="L1911" t="s">
        <v>17</v>
      </c>
      <c r="M1911">
        <f>IF(Table1[[#This Row],[ألغى الاشتراك]]="نعم",1,0)</f>
        <v>0</v>
      </c>
      <c r="N1911">
        <f>IF(Table1[[#This Row],[وسيلة الدفع]]="بطاقة",1,0)</f>
        <v>1</v>
      </c>
      <c r="O1911">
        <f>IF(Table1[[#This Row],[وسيلة الدفع]]="محفظة",1,0)</f>
        <v>0</v>
      </c>
      <c r="P1911">
        <f>IF(Table1[[#This Row],[وسيلة الدفع]]="تحويل",1,0)</f>
        <v>0</v>
      </c>
      <c r="Q1911">
        <f>IF(Table1[[#This Row],[حضر التهيئة]]="نعم",1,0)</f>
        <v>0</v>
      </c>
      <c r="R1911">
        <f>IF(Table1[[#This Row],[دورة الفوترة]]="شهري",1,0)</f>
        <v>0</v>
      </c>
    </row>
    <row r="1912" spans="1:18" x14ac:dyDescent="0.25">
      <c r="A1912" t="s">
        <v>1932</v>
      </c>
      <c r="B1912" s="1">
        <v>45329</v>
      </c>
      <c r="C1912" t="s">
        <v>19</v>
      </c>
      <c r="D1912">
        <v>189</v>
      </c>
      <c r="E1912" t="s">
        <v>14</v>
      </c>
      <c r="F1912">
        <v>29</v>
      </c>
      <c r="G1912" t="s">
        <v>21</v>
      </c>
      <c r="H1912">
        <v>1</v>
      </c>
      <c r="I1912">
        <v>45</v>
      </c>
      <c r="J1912">
        <v>10</v>
      </c>
      <c r="K1912" t="s">
        <v>17</v>
      </c>
      <c r="L1912" t="s">
        <v>17</v>
      </c>
      <c r="M1912">
        <f>IF(Table1[[#This Row],[ألغى الاشتراك]]="نعم",1,0)</f>
        <v>0</v>
      </c>
      <c r="N1912">
        <f>IF(Table1[[#This Row],[وسيلة الدفع]]="بطاقة",1,0)</f>
        <v>0</v>
      </c>
      <c r="O1912">
        <f>IF(Table1[[#This Row],[وسيلة الدفع]]="محفظة",1,0)</f>
        <v>1</v>
      </c>
      <c r="P1912">
        <f>IF(Table1[[#This Row],[وسيلة الدفع]]="تحويل",1,0)</f>
        <v>0</v>
      </c>
      <c r="Q1912">
        <f>IF(Table1[[#This Row],[حضر التهيئة]]="نعم",1,0)</f>
        <v>0</v>
      </c>
      <c r="R1912">
        <f>IF(Table1[[#This Row],[دورة الفوترة]]="شهري",1,0)</f>
        <v>1</v>
      </c>
    </row>
    <row r="1913" spans="1:18" x14ac:dyDescent="0.25">
      <c r="A1913" t="s">
        <v>1933</v>
      </c>
      <c r="B1913" s="1">
        <v>45977</v>
      </c>
      <c r="C1913" t="s">
        <v>28</v>
      </c>
      <c r="D1913">
        <v>39</v>
      </c>
      <c r="E1913" t="s">
        <v>14</v>
      </c>
      <c r="F1913">
        <v>11</v>
      </c>
      <c r="G1913" t="s">
        <v>15</v>
      </c>
      <c r="H1913">
        <v>7</v>
      </c>
      <c r="I1913">
        <v>27</v>
      </c>
      <c r="J1913">
        <v>0</v>
      </c>
      <c r="K1913" t="s">
        <v>17</v>
      </c>
      <c r="L1913" t="s">
        <v>17</v>
      </c>
      <c r="M1913">
        <f>IF(Table1[[#This Row],[ألغى الاشتراك]]="نعم",1,0)</f>
        <v>0</v>
      </c>
      <c r="N1913">
        <f>IF(Table1[[#This Row],[وسيلة الدفع]]="بطاقة",1,0)</f>
        <v>1</v>
      </c>
      <c r="O1913">
        <f>IF(Table1[[#This Row],[وسيلة الدفع]]="محفظة",1,0)</f>
        <v>0</v>
      </c>
      <c r="P1913">
        <f>IF(Table1[[#This Row],[وسيلة الدفع]]="تحويل",1,0)</f>
        <v>0</v>
      </c>
      <c r="Q1913">
        <f>IF(Table1[[#This Row],[حضر التهيئة]]="نعم",1,0)</f>
        <v>0</v>
      </c>
      <c r="R1913">
        <f>IF(Table1[[#This Row],[دورة الفوترة]]="شهري",1,0)</f>
        <v>1</v>
      </c>
    </row>
    <row r="1914" spans="1:18" x14ac:dyDescent="0.25">
      <c r="A1914" t="s">
        <v>1934</v>
      </c>
      <c r="B1914" s="1">
        <v>45906</v>
      </c>
      <c r="C1914" t="s">
        <v>19</v>
      </c>
      <c r="D1914">
        <v>189</v>
      </c>
      <c r="E1914" t="s">
        <v>14</v>
      </c>
      <c r="F1914">
        <v>20</v>
      </c>
      <c r="G1914" t="s">
        <v>21</v>
      </c>
      <c r="H1914">
        <v>1</v>
      </c>
      <c r="I1914">
        <v>16</v>
      </c>
      <c r="J1914">
        <v>5</v>
      </c>
      <c r="K1914" t="s">
        <v>16</v>
      </c>
      <c r="L1914" t="s">
        <v>17</v>
      </c>
      <c r="M1914">
        <f>IF(Table1[[#This Row],[ألغى الاشتراك]]="نعم",1,0)</f>
        <v>0</v>
      </c>
      <c r="N1914">
        <f>IF(Table1[[#This Row],[وسيلة الدفع]]="بطاقة",1,0)</f>
        <v>0</v>
      </c>
      <c r="O1914">
        <f>IF(Table1[[#This Row],[وسيلة الدفع]]="محفظة",1,0)</f>
        <v>1</v>
      </c>
      <c r="P1914">
        <f>IF(Table1[[#This Row],[وسيلة الدفع]]="تحويل",1,0)</f>
        <v>0</v>
      </c>
      <c r="Q1914">
        <f>IF(Table1[[#This Row],[حضر التهيئة]]="نعم",1,0)</f>
        <v>1</v>
      </c>
      <c r="R1914">
        <f>IF(Table1[[#This Row],[دورة الفوترة]]="شهري",1,0)</f>
        <v>1</v>
      </c>
    </row>
    <row r="1915" spans="1:18" x14ac:dyDescent="0.25">
      <c r="A1915" t="s">
        <v>1935</v>
      </c>
      <c r="B1915" s="1">
        <v>45576</v>
      </c>
      <c r="C1915" t="s">
        <v>13</v>
      </c>
      <c r="D1915">
        <v>89</v>
      </c>
      <c r="E1915" t="s">
        <v>14</v>
      </c>
      <c r="F1915">
        <v>26</v>
      </c>
      <c r="G1915" t="s">
        <v>23</v>
      </c>
      <c r="H1915">
        <v>2</v>
      </c>
      <c r="I1915">
        <v>18</v>
      </c>
      <c r="J1915">
        <v>0</v>
      </c>
      <c r="K1915" t="s">
        <v>16</v>
      </c>
      <c r="L1915" t="s">
        <v>17</v>
      </c>
      <c r="M1915">
        <f>IF(Table1[[#This Row],[ألغى الاشتراك]]="نعم",1,0)</f>
        <v>0</v>
      </c>
      <c r="N1915">
        <f>IF(Table1[[#This Row],[وسيلة الدفع]]="بطاقة",1,0)</f>
        <v>0</v>
      </c>
      <c r="O1915">
        <f>IF(Table1[[#This Row],[وسيلة الدفع]]="محفظة",1,0)</f>
        <v>0</v>
      </c>
      <c r="P1915">
        <f>IF(Table1[[#This Row],[وسيلة الدفع]]="تحويل",1,0)</f>
        <v>1</v>
      </c>
      <c r="Q1915">
        <f>IF(Table1[[#This Row],[حضر التهيئة]]="نعم",1,0)</f>
        <v>1</v>
      </c>
      <c r="R1915">
        <f>IF(Table1[[#This Row],[دورة الفوترة]]="شهري",1,0)</f>
        <v>1</v>
      </c>
    </row>
    <row r="1916" spans="1:18" x14ac:dyDescent="0.25">
      <c r="A1916" t="s">
        <v>1936</v>
      </c>
      <c r="B1916" s="1">
        <v>45989</v>
      </c>
      <c r="C1916" t="s">
        <v>19</v>
      </c>
      <c r="D1916">
        <v>189</v>
      </c>
      <c r="E1916" t="s">
        <v>14</v>
      </c>
      <c r="F1916">
        <v>29</v>
      </c>
      <c r="G1916" t="s">
        <v>15</v>
      </c>
      <c r="H1916">
        <v>2</v>
      </c>
      <c r="I1916">
        <v>11</v>
      </c>
      <c r="J1916">
        <v>0</v>
      </c>
      <c r="K1916" t="s">
        <v>17</v>
      </c>
      <c r="L1916" t="s">
        <v>17</v>
      </c>
      <c r="M1916">
        <f>IF(Table1[[#This Row],[ألغى الاشتراك]]="نعم",1,0)</f>
        <v>0</v>
      </c>
      <c r="N1916">
        <f>IF(Table1[[#This Row],[وسيلة الدفع]]="بطاقة",1,0)</f>
        <v>1</v>
      </c>
      <c r="O1916">
        <f>IF(Table1[[#This Row],[وسيلة الدفع]]="محفظة",1,0)</f>
        <v>0</v>
      </c>
      <c r="P1916">
        <f>IF(Table1[[#This Row],[وسيلة الدفع]]="تحويل",1,0)</f>
        <v>0</v>
      </c>
      <c r="Q1916">
        <f>IF(Table1[[#This Row],[حضر التهيئة]]="نعم",1,0)</f>
        <v>0</v>
      </c>
      <c r="R1916">
        <f>IF(Table1[[#This Row],[دورة الفوترة]]="شهري",1,0)</f>
        <v>1</v>
      </c>
    </row>
    <row r="1917" spans="1:18" x14ac:dyDescent="0.25">
      <c r="A1917" t="s">
        <v>1937</v>
      </c>
      <c r="B1917" s="1">
        <v>45643</v>
      </c>
      <c r="C1917" t="s">
        <v>19</v>
      </c>
      <c r="D1917">
        <v>189</v>
      </c>
      <c r="E1917" t="s">
        <v>14</v>
      </c>
      <c r="F1917">
        <v>24</v>
      </c>
      <c r="G1917" t="s">
        <v>23</v>
      </c>
      <c r="H1917">
        <v>2</v>
      </c>
      <c r="I1917">
        <v>2</v>
      </c>
      <c r="J1917">
        <v>0</v>
      </c>
      <c r="K1917" t="s">
        <v>17</v>
      </c>
      <c r="L1917" t="s">
        <v>17</v>
      </c>
      <c r="M1917">
        <f>IF(Table1[[#This Row],[ألغى الاشتراك]]="نعم",1,0)</f>
        <v>0</v>
      </c>
      <c r="N1917">
        <f>IF(Table1[[#This Row],[وسيلة الدفع]]="بطاقة",1,0)</f>
        <v>0</v>
      </c>
      <c r="O1917">
        <f>IF(Table1[[#This Row],[وسيلة الدفع]]="محفظة",1,0)</f>
        <v>0</v>
      </c>
      <c r="P1917">
        <f>IF(Table1[[#This Row],[وسيلة الدفع]]="تحويل",1,0)</f>
        <v>1</v>
      </c>
      <c r="Q1917">
        <f>IF(Table1[[#This Row],[حضر التهيئة]]="نعم",1,0)</f>
        <v>0</v>
      </c>
      <c r="R1917">
        <f>IF(Table1[[#This Row],[دورة الفوترة]]="شهري",1,0)</f>
        <v>1</v>
      </c>
    </row>
    <row r="1918" spans="1:18" x14ac:dyDescent="0.25">
      <c r="A1918" t="s">
        <v>1938</v>
      </c>
      <c r="B1918" s="1">
        <v>45914</v>
      </c>
      <c r="C1918" t="s">
        <v>13</v>
      </c>
      <c r="D1918">
        <v>89</v>
      </c>
      <c r="E1918" t="s">
        <v>20</v>
      </c>
      <c r="F1918">
        <v>15</v>
      </c>
      <c r="G1918" t="s">
        <v>21</v>
      </c>
      <c r="H1918">
        <v>1</v>
      </c>
      <c r="I1918">
        <v>17</v>
      </c>
      <c r="J1918">
        <v>0</v>
      </c>
      <c r="K1918" t="s">
        <v>17</v>
      </c>
      <c r="L1918" t="s">
        <v>16</v>
      </c>
      <c r="M1918">
        <f>IF(Table1[[#This Row],[ألغى الاشتراك]]="نعم",1,0)</f>
        <v>1</v>
      </c>
      <c r="N1918">
        <f>IF(Table1[[#This Row],[وسيلة الدفع]]="بطاقة",1,0)</f>
        <v>0</v>
      </c>
      <c r="O1918">
        <f>IF(Table1[[#This Row],[وسيلة الدفع]]="محفظة",1,0)</f>
        <v>1</v>
      </c>
      <c r="P1918">
        <f>IF(Table1[[#This Row],[وسيلة الدفع]]="تحويل",1,0)</f>
        <v>0</v>
      </c>
      <c r="Q1918">
        <f>IF(Table1[[#This Row],[حضر التهيئة]]="نعم",1,0)</f>
        <v>0</v>
      </c>
      <c r="R1918">
        <f>IF(Table1[[#This Row],[دورة الفوترة]]="شهري",1,0)</f>
        <v>0</v>
      </c>
    </row>
    <row r="1919" spans="1:18" x14ac:dyDescent="0.25">
      <c r="A1919" t="s">
        <v>1939</v>
      </c>
      <c r="B1919" s="1">
        <v>45592</v>
      </c>
      <c r="C1919" t="s">
        <v>28</v>
      </c>
      <c r="D1919">
        <v>39</v>
      </c>
      <c r="E1919" t="s">
        <v>20</v>
      </c>
      <c r="F1919">
        <v>26</v>
      </c>
      <c r="G1919" t="s">
        <v>23</v>
      </c>
      <c r="H1919">
        <v>1</v>
      </c>
      <c r="I1919">
        <v>20</v>
      </c>
      <c r="J1919">
        <v>0</v>
      </c>
      <c r="K1919" t="s">
        <v>16</v>
      </c>
      <c r="L1919" t="s">
        <v>17</v>
      </c>
      <c r="M1919">
        <f>IF(Table1[[#This Row],[ألغى الاشتراك]]="نعم",1,0)</f>
        <v>0</v>
      </c>
      <c r="N1919">
        <f>IF(Table1[[#This Row],[وسيلة الدفع]]="بطاقة",1,0)</f>
        <v>0</v>
      </c>
      <c r="O1919">
        <f>IF(Table1[[#This Row],[وسيلة الدفع]]="محفظة",1,0)</f>
        <v>0</v>
      </c>
      <c r="P1919">
        <f>IF(Table1[[#This Row],[وسيلة الدفع]]="تحويل",1,0)</f>
        <v>1</v>
      </c>
      <c r="Q1919">
        <f>IF(Table1[[#This Row],[حضر التهيئة]]="نعم",1,0)</f>
        <v>1</v>
      </c>
      <c r="R1919">
        <f>IF(Table1[[#This Row],[دورة الفوترة]]="شهري",1,0)</f>
        <v>0</v>
      </c>
    </row>
    <row r="1920" spans="1:18" x14ac:dyDescent="0.25">
      <c r="A1920" t="s">
        <v>1940</v>
      </c>
      <c r="B1920" s="1">
        <v>45973</v>
      </c>
      <c r="C1920" t="s">
        <v>13</v>
      </c>
      <c r="D1920">
        <v>89</v>
      </c>
      <c r="E1920" t="s">
        <v>20</v>
      </c>
      <c r="F1920">
        <v>11</v>
      </c>
      <c r="G1920" t="s">
        <v>15</v>
      </c>
      <c r="H1920">
        <v>0</v>
      </c>
      <c r="I1920">
        <v>3</v>
      </c>
      <c r="J1920">
        <v>0</v>
      </c>
      <c r="K1920" t="s">
        <v>17</v>
      </c>
      <c r="L1920" t="s">
        <v>17</v>
      </c>
      <c r="M1920">
        <f>IF(Table1[[#This Row],[ألغى الاشتراك]]="نعم",1,0)</f>
        <v>0</v>
      </c>
      <c r="N1920">
        <f>IF(Table1[[#This Row],[وسيلة الدفع]]="بطاقة",1,0)</f>
        <v>1</v>
      </c>
      <c r="O1920">
        <f>IF(Table1[[#This Row],[وسيلة الدفع]]="محفظة",1,0)</f>
        <v>0</v>
      </c>
      <c r="P1920">
        <f>IF(Table1[[#This Row],[وسيلة الدفع]]="تحويل",1,0)</f>
        <v>0</v>
      </c>
      <c r="Q1920">
        <f>IF(Table1[[#This Row],[حضر التهيئة]]="نعم",1,0)</f>
        <v>0</v>
      </c>
      <c r="R1920">
        <f>IF(Table1[[#This Row],[دورة الفوترة]]="شهري",1,0)</f>
        <v>0</v>
      </c>
    </row>
    <row r="1921" spans="1:18" x14ac:dyDescent="0.25">
      <c r="A1921" t="s">
        <v>1941</v>
      </c>
      <c r="B1921" s="1">
        <v>45521</v>
      </c>
      <c r="C1921" t="s">
        <v>13</v>
      </c>
      <c r="D1921">
        <v>89</v>
      </c>
      <c r="E1921" t="s">
        <v>20</v>
      </c>
      <c r="F1921">
        <v>22</v>
      </c>
      <c r="G1921" t="s">
        <v>21</v>
      </c>
      <c r="H1921">
        <v>10</v>
      </c>
      <c r="I1921">
        <v>12</v>
      </c>
      <c r="J1921">
        <v>0</v>
      </c>
      <c r="K1921" t="s">
        <v>16</v>
      </c>
      <c r="L1921" t="s">
        <v>17</v>
      </c>
      <c r="M1921">
        <f>IF(Table1[[#This Row],[ألغى الاشتراك]]="نعم",1,0)</f>
        <v>0</v>
      </c>
      <c r="N1921">
        <f>IF(Table1[[#This Row],[وسيلة الدفع]]="بطاقة",1,0)</f>
        <v>0</v>
      </c>
      <c r="O1921">
        <f>IF(Table1[[#This Row],[وسيلة الدفع]]="محفظة",1,0)</f>
        <v>1</v>
      </c>
      <c r="P1921">
        <f>IF(Table1[[#This Row],[وسيلة الدفع]]="تحويل",1,0)</f>
        <v>0</v>
      </c>
      <c r="Q1921">
        <f>IF(Table1[[#This Row],[حضر التهيئة]]="نعم",1,0)</f>
        <v>1</v>
      </c>
      <c r="R1921">
        <f>IF(Table1[[#This Row],[دورة الفوترة]]="شهري",1,0)</f>
        <v>0</v>
      </c>
    </row>
    <row r="1922" spans="1:18" x14ac:dyDescent="0.25">
      <c r="A1922" t="s">
        <v>1942</v>
      </c>
      <c r="B1922" s="1">
        <v>45580</v>
      </c>
      <c r="C1922" t="s">
        <v>28</v>
      </c>
      <c r="D1922">
        <v>39</v>
      </c>
      <c r="E1922" t="s">
        <v>14</v>
      </c>
      <c r="F1922">
        <v>13</v>
      </c>
      <c r="G1922" t="s">
        <v>21</v>
      </c>
      <c r="H1922">
        <v>6</v>
      </c>
      <c r="I1922">
        <v>7</v>
      </c>
      <c r="J1922">
        <v>10</v>
      </c>
      <c r="K1922" t="s">
        <v>16</v>
      </c>
      <c r="L1922" t="s">
        <v>17</v>
      </c>
      <c r="M1922">
        <f>IF(Table1[[#This Row],[ألغى الاشتراك]]="نعم",1,0)</f>
        <v>0</v>
      </c>
      <c r="N1922">
        <f>IF(Table1[[#This Row],[وسيلة الدفع]]="بطاقة",1,0)</f>
        <v>0</v>
      </c>
      <c r="O1922">
        <f>IF(Table1[[#This Row],[وسيلة الدفع]]="محفظة",1,0)</f>
        <v>1</v>
      </c>
      <c r="P1922">
        <f>IF(Table1[[#This Row],[وسيلة الدفع]]="تحويل",1,0)</f>
        <v>0</v>
      </c>
      <c r="Q1922">
        <f>IF(Table1[[#This Row],[حضر التهيئة]]="نعم",1,0)</f>
        <v>1</v>
      </c>
      <c r="R1922">
        <f>IF(Table1[[#This Row],[دورة الفوترة]]="شهري",1,0)</f>
        <v>1</v>
      </c>
    </row>
    <row r="1923" spans="1:18" x14ac:dyDescent="0.25">
      <c r="A1923" t="s">
        <v>1943</v>
      </c>
      <c r="B1923" s="1">
        <v>45728</v>
      </c>
      <c r="C1923" t="s">
        <v>13</v>
      </c>
      <c r="D1923">
        <v>89</v>
      </c>
      <c r="E1923" t="s">
        <v>14</v>
      </c>
      <c r="F1923">
        <v>29</v>
      </c>
      <c r="G1923" t="s">
        <v>15</v>
      </c>
      <c r="H1923">
        <v>1</v>
      </c>
      <c r="I1923">
        <v>49</v>
      </c>
      <c r="J1923">
        <v>0</v>
      </c>
      <c r="K1923" t="s">
        <v>16</v>
      </c>
      <c r="L1923" t="s">
        <v>17</v>
      </c>
      <c r="M1923">
        <f>IF(Table1[[#This Row],[ألغى الاشتراك]]="نعم",1,0)</f>
        <v>0</v>
      </c>
      <c r="N1923">
        <f>IF(Table1[[#This Row],[وسيلة الدفع]]="بطاقة",1,0)</f>
        <v>1</v>
      </c>
      <c r="O1923">
        <f>IF(Table1[[#This Row],[وسيلة الدفع]]="محفظة",1,0)</f>
        <v>0</v>
      </c>
      <c r="P1923">
        <f>IF(Table1[[#This Row],[وسيلة الدفع]]="تحويل",1,0)</f>
        <v>0</v>
      </c>
      <c r="Q1923">
        <f>IF(Table1[[#This Row],[حضر التهيئة]]="نعم",1,0)</f>
        <v>1</v>
      </c>
      <c r="R1923">
        <f>IF(Table1[[#This Row],[دورة الفوترة]]="شهري",1,0)</f>
        <v>1</v>
      </c>
    </row>
    <row r="1924" spans="1:18" x14ac:dyDescent="0.25">
      <c r="A1924" t="s">
        <v>1944</v>
      </c>
      <c r="B1924" s="1">
        <v>45521</v>
      </c>
      <c r="C1924" t="s">
        <v>13</v>
      </c>
      <c r="D1924">
        <v>89</v>
      </c>
      <c r="E1924" t="s">
        <v>14</v>
      </c>
      <c r="F1924">
        <v>26</v>
      </c>
      <c r="G1924" t="s">
        <v>15</v>
      </c>
      <c r="H1924">
        <v>2</v>
      </c>
      <c r="I1924">
        <v>26</v>
      </c>
      <c r="J1924">
        <v>0</v>
      </c>
      <c r="K1924" t="s">
        <v>17</v>
      </c>
      <c r="L1924" t="s">
        <v>17</v>
      </c>
      <c r="M1924">
        <f>IF(Table1[[#This Row],[ألغى الاشتراك]]="نعم",1,0)</f>
        <v>0</v>
      </c>
      <c r="N1924">
        <f>IF(Table1[[#This Row],[وسيلة الدفع]]="بطاقة",1,0)</f>
        <v>1</v>
      </c>
      <c r="O1924">
        <f>IF(Table1[[#This Row],[وسيلة الدفع]]="محفظة",1,0)</f>
        <v>0</v>
      </c>
      <c r="P1924">
        <f>IF(Table1[[#This Row],[وسيلة الدفع]]="تحويل",1,0)</f>
        <v>0</v>
      </c>
      <c r="Q1924">
        <f>IF(Table1[[#This Row],[حضر التهيئة]]="نعم",1,0)</f>
        <v>0</v>
      </c>
      <c r="R1924">
        <f>IF(Table1[[#This Row],[دورة الفوترة]]="شهري",1,0)</f>
        <v>1</v>
      </c>
    </row>
    <row r="1925" spans="1:18" x14ac:dyDescent="0.25">
      <c r="A1925" t="s">
        <v>1945</v>
      </c>
      <c r="B1925" s="1">
        <v>45584</v>
      </c>
      <c r="C1925" t="s">
        <v>28</v>
      </c>
      <c r="D1925">
        <v>39</v>
      </c>
      <c r="E1925" t="s">
        <v>14</v>
      </c>
      <c r="F1925">
        <v>19</v>
      </c>
      <c r="G1925" t="s">
        <v>23</v>
      </c>
      <c r="H1925">
        <v>1</v>
      </c>
      <c r="I1925">
        <v>31</v>
      </c>
      <c r="J1925">
        <v>10</v>
      </c>
      <c r="K1925" t="s">
        <v>17</v>
      </c>
      <c r="L1925" t="s">
        <v>17</v>
      </c>
      <c r="M1925">
        <f>IF(Table1[[#This Row],[ألغى الاشتراك]]="نعم",1,0)</f>
        <v>0</v>
      </c>
      <c r="N1925">
        <f>IF(Table1[[#This Row],[وسيلة الدفع]]="بطاقة",1,0)</f>
        <v>0</v>
      </c>
      <c r="O1925">
        <f>IF(Table1[[#This Row],[وسيلة الدفع]]="محفظة",1,0)</f>
        <v>0</v>
      </c>
      <c r="P1925">
        <f>IF(Table1[[#This Row],[وسيلة الدفع]]="تحويل",1,0)</f>
        <v>1</v>
      </c>
      <c r="Q1925">
        <f>IF(Table1[[#This Row],[حضر التهيئة]]="نعم",1,0)</f>
        <v>0</v>
      </c>
      <c r="R1925">
        <f>IF(Table1[[#This Row],[دورة الفوترة]]="شهري",1,0)</f>
        <v>1</v>
      </c>
    </row>
    <row r="1926" spans="1:18" x14ac:dyDescent="0.25">
      <c r="A1926" t="s">
        <v>1946</v>
      </c>
      <c r="B1926" s="1">
        <v>45744</v>
      </c>
      <c r="C1926" t="s">
        <v>28</v>
      </c>
      <c r="D1926">
        <v>39</v>
      </c>
      <c r="E1926" t="s">
        <v>14</v>
      </c>
      <c r="F1926">
        <v>19</v>
      </c>
      <c r="G1926" t="s">
        <v>15</v>
      </c>
      <c r="H1926">
        <v>1</v>
      </c>
      <c r="I1926">
        <v>19</v>
      </c>
      <c r="J1926">
        <v>0</v>
      </c>
      <c r="K1926" t="s">
        <v>16</v>
      </c>
      <c r="L1926" t="s">
        <v>17</v>
      </c>
      <c r="M1926">
        <f>IF(Table1[[#This Row],[ألغى الاشتراك]]="نعم",1,0)</f>
        <v>0</v>
      </c>
      <c r="N1926">
        <f>IF(Table1[[#This Row],[وسيلة الدفع]]="بطاقة",1,0)</f>
        <v>1</v>
      </c>
      <c r="O1926">
        <f>IF(Table1[[#This Row],[وسيلة الدفع]]="محفظة",1,0)</f>
        <v>0</v>
      </c>
      <c r="P1926">
        <f>IF(Table1[[#This Row],[وسيلة الدفع]]="تحويل",1,0)</f>
        <v>0</v>
      </c>
      <c r="Q1926">
        <f>IF(Table1[[#This Row],[حضر التهيئة]]="نعم",1,0)</f>
        <v>1</v>
      </c>
      <c r="R1926">
        <f>IF(Table1[[#This Row],[دورة الفوترة]]="شهري",1,0)</f>
        <v>1</v>
      </c>
    </row>
    <row r="1927" spans="1:18" x14ac:dyDescent="0.25">
      <c r="A1927" t="s">
        <v>1947</v>
      </c>
      <c r="B1927" s="1">
        <v>45407</v>
      </c>
      <c r="C1927" t="s">
        <v>13</v>
      </c>
      <c r="D1927">
        <v>89</v>
      </c>
      <c r="E1927" t="s">
        <v>14</v>
      </c>
      <c r="F1927">
        <v>28</v>
      </c>
      <c r="G1927" t="s">
        <v>21</v>
      </c>
      <c r="H1927">
        <v>1</v>
      </c>
      <c r="I1927">
        <v>42</v>
      </c>
      <c r="J1927">
        <v>0</v>
      </c>
      <c r="K1927" t="s">
        <v>17</v>
      </c>
      <c r="L1927" t="s">
        <v>17</v>
      </c>
      <c r="M1927">
        <f>IF(Table1[[#This Row],[ألغى الاشتراك]]="نعم",1,0)</f>
        <v>0</v>
      </c>
      <c r="N1927">
        <f>IF(Table1[[#This Row],[وسيلة الدفع]]="بطاقة",1,0)</f>
        <v>0</v>
      </c>
      <c r="O1927">
        <f>IF(Table1[[#This Row],[وسيلة الدفع]]="محفظة",1,0)</f>
        <v>1</v>
      </c>
      <c r="P1927">
        <f>IF(Table1[[#This Row],[وسيلة الدفع]]="تحويل",1,0)</f>
        <v>0</v>
      </c>
      <c r="Q1927">
        <f>IF(Table1[[#This Row],[حضر التهيئة]]="نعم",1,0)</f>
        <v>0</v>
      </c>
      <c r="R1927">
        <f>IF(Table1[[#This Row],[دورة الفوترة]]="شهري",1,0)</f>
        <v>1</v>
      </c>
    </row>
    <row r="1928" spans="1:18" x14ac:dyDescent="0.25">
      <c r="A1928" t="s">
        <v>1948</v>
      </c>
      <c r="B1928" s="1">
        <v>45458</v>
      </c>
      <c r="C1928" t="s">
        <v>13</v>
      </c>
      <c r="D1928">
        <v>89</v>
      </c>
      <c r="E1928" t="s">
        <v>20</v>
      </c>
      <c r="F1928">
        <v>13</v>
      </c>
      <c r="G1928" t="s">
        <v>15</v>
      </c>
      <c r="H1928">
        <v>2</v>
      </c>
      <c r="I1928">
        <v>3</v>
      </c>
      <c r="J1928">
        <v>10</v>
      </c>
      <c r="K1928" t="s">
        <v>17</v>
      </c>
      <c r="L1928" t="s">
        <v>16</v>
      </c>
      <c r="M1928">
        <f>IF(Table1[[#This Row],[ألغى الاشتراك]]="نعم",1,0)</f>
        <v>1</v>
      </c>
      <c r="N1928">
        <f>IF(Table1[[#This Row],[وسيلة الدفع]]="بطاقة",1,0)</f>
        <v>1</v>
      </c>
      <c r="O1928">
        <f>IF(Table1[[#This Row],[وسيلة الدفع]]="محفظة",1,0)</f>
        <v>0</v>
      </c>
      <c r="P1928">
        <f>IF(Table1[[#This Row],[وسيلة الدفع]]="تحويل",1,0)</f>
        <v>0</v>
      </c>
      <c r="Q1928">
        <f>IF(Table1[[#This Row],[حضر التهيئة]]="نعم",1,0)</f>
        <v>0</v>
      </c>
      <c r="R1928">
        <f>IF(Table1[[#This Row],[دورة الفوترة]]="شهري",1,0)</f>
        <v>0</v>
      </c>
    </row>
    <row r="1929" spans="1:18" x14ac:dyDescent="0.25">
      <c r="A1929" t="s">
        <v>1949</v>
      </c>
      <c r="B1929" s="1">
        <v>45965</v>
      </c>
      <c r="C1929" t="s">
        <v>28</v>
      </c>
      <c r="D1929">
        <v>39</v>
      </c>
      <c r="E1929" t="s">
        <v>14</v>
      </c>
      <c r="F1929">
        <v>27</v>
      </c>
      <c r="G1929" t="s">
        <v>21</v>
      </c>
      <c r="H1929">
        <v>4</v>
      </c>
      <c r="I1929">
        <v>15</v>
      </c>
      <c r="J1929">
        <v>0</v>
      </c>
      <c r="K1929" t="s">
        <v>17</v>
      </c>
      <c r="L1929" t="s">
        <v>17</v>
      </c>
      <c r="M1929">
        <f>IF(Table1[[#This Row],[ألغى الاشتراك]]="نعم",1,0)</f>
        <v>0</v>
      </c>
      <c r="N1929">
        <f>IF(Table1[[#This Row],[وسيلة الدفع]]="بطاقة",1,0)</f>
        <v>0</v>
      </c>
      <c r="O1929">
        <f>IF(Table1[[#This Row],[وسيلة الدفع]]="محفظة",1,0)</f>
        <v>1</v>
      </c>
      <c r="P1929">
        <f>IF(Table1[[#This Row],[وسيلة الدفع]]="تحويل",1,0)</f>
        <v>0</v>
      </c>
      <c r="Q1929">
        <f>IF(Table1[[#This Row],[حضر التهيئة]]="نعم",1,0)</f>
        <v>0</v>
      </c>
      <c r="R1929">
        <f>IF(Table1[[#This Row],[دورة الفوترة]]="شهري",1,0)</f>
        <v>1</v>
      </c>
    </row>
    <row r="1930" spans="1:18" x14ac:dyDescent="0.25">
      <c r="A1930" t="s">
        <v>1950</v>
      </c>
      <c r="B1930" s="1">
        <v>45651</v>
      </c>
      <c r="C1930" t="s">
        <v>28</v>
      </c>
      <c r="D1930">
        <v>39</v>
      </c>
      <c r="E1930" t="s">
        <v>14</v>
      </c>
      <c r="F1930">
        <v>20</v>
      </c>
      <c r="G1930" t="s">
        <v>15</v>
      </c>
      <c r="H1930">
        <v>2</v>
      </c>
      <c r="I1930">
        <v>22</v>
      </c>
      <c r="J1930">
        <v>0</v>
      </c>
      <c r="K1930" t="s">
        <v>16</v>
      </c>
      <c r="L1930" t="s">
        <v>17</v>
      </c>
      <c r="M1930">
        <f>IF(Table1[[#This Row],[ألغى الاشتراك]]="نعم",1,0)</f>
        <v>0</v>
      </c>
      <c r="N1930">
        <f>IF(Table1[[#This Row],[وسيلة الدفع]]="بطاقة",1,0)</f>
        <v>1</v>
      </c>
      <c r="O1930">
        <f>IF(Table1[[#This Row],[وسيلة الدفع]]="محفظة",1,0)</f>
        <v>0</v>
      </c>
      <c r="P1930">
        <f>IF(Table1[[#This Row],[وسيلة الدفع]]="تحويل",1,0)</f>
        <v>0</v>
      </c>
      <c r="Q1930">
        <f>IF(Table1[[#This Row],[حضر التهيئة]]="نعم",1,0)</f>
        <v>1</v>
      </c>
      <c r="R1930">
        <f>IF(Table1[[#This Row],[دورة الفوترة]]="شهري",1,0)</f>
        <v>1</v>
      </c>
    </row>
    <row r="1931" spans="1:18" x14ac:dyDescent="0.25">
      <c r="A1931" t="s">
        <v>1951</v>
      </c>
      <c r="B1931" s="1">
        <v>45906</v>
      </c>
      <c r="C1931" t="s">
        <v>13</v>
      </c>
      <c r="D1931">
        <v>89</v>
      </c>
      <c r="E1931" t="s">
        <v>20</v>
      </c>
      <c r="F1931">
        <v>27</v>
      </c>
      <c r="G1931" t="s">
        <v>23</v>
      </c>
      <c r="H1931">
        <v>0</v>
      </c>
      <c r="I1931">
        <v>3</v>
      </c>
      <c r="J1931">
        <v>0</v>
      </c>
      <c r="K1931" t="s">
        <v>17</v>
      </c>
      <c r="L1931" t="s">
        <v>17</v>
      </c>
      <c r="M1931">
        <f>IF(Table1[[#This Row],[ألغى الاشتراك]]="نعم",1,0)</f>
        <v>0</v>
      </c>
      <c r="N1931">
        <f>IF(Table1[[#This Row],[وسيلة الدفع]]="بطاقة",1,0)</f>
        <v>0</v>
      </c>
      <c r="O1931">
        <f>IF(Table1[[#This Row],[وسيلة الدفع]]="محفظة",1,0)</f>
        <v>0</v>
      </c>
      <c r="P1931">
        <f>IF(Table1[[#This Row],[وسيلة الدفع]]="تحويل",1,0)</f>
        <v>1</v>
      </c>
      <c r="Q1931">
        <f>IF(Table1[[#This Row],[حضر التهيئة]]="نعم",1,0)</f>
        <v>0</v>
      </c>
      <c r="R1931">
        <f>IF(Table1[[#This Row],[دورة الفوترة]]="شهري",1,0)</f>
        <v>0</v>
      </c>
    </row>
    <row r="1932" spans="1:18" x14ac:dyDescent="0.25">
      <c r="A1932" t="s">
        <v>1952</v>
      </c>
      <c r="B1932" s="1">
        <v>45345</v>
      </c>
      <c r="C1932" t="s">
        <v>28</v>
      </c>
      <c r="D1932">
        <v>39</v>
      </c>
      <c r="E1932" t="s">
        <v>14</v>
      </c>
      <c r="F1932">
        <v>12</v>
      </c>
      <c r="G1932" t="s">
        <v>23</v>
      </c>
      <c r="H1932">
        <v>2</v>
      </c>
      <c r="I1932">
        <v>56</v>
      </c>
      <c r="J1932">
        <v>0</v>
      </c>
      <c r="K1932" t="s">
        <v>16</v>
      </c>
      <c r="L1932" t="s">
        <v>17</v>
      </c>
      <c r="M1932">
        <f>IF(Table1[[#This Row],[ألغى الاشتراك]]="نعم",1,0)</f>
        <v>0</v>
      </c>
      <c r="N1932">
        <f>IF(Table1[[#This Row],[وسيلة الدفع]]="بطاقة",1,0)</f>
        <v>0</v>
      </c>
      <c r="O1932">
        <f>IF(Table1[[#This Row],[وسيلة الدفع]]="محفظة",1,0)</f>
        <v>0</v>
      </c>
      <c r="P1932">
        <f>IF(Table1[[#This Row],[وسيلة الدفع]]="تحويل",1,0)</f>
        <v>1</v>
      </c>
      <c r="Q1932">
        <f>IF(Table1[[#This Row],[حضر التهيئة]]="نعم",1,0)</f>
        <v>1</v>
      </c>
      <c r="R1932">
        <f>IF(Table1[[#This Row],[دورة الفوترة]]="شهري",1,0)</f>
        <v>1</v>
      </c>
    </row>
    <row r="1933" spans="1:18" x14ac:dyDescent="0.25">
      <c r="A1933" t="s">
        <v>1953</v>
      </c>
      <c r="B1933" s="1">
        <v>45647</v>
      </c>
      <c r="C1933" t="s">
        <v>13</v>
      </c>
      <c r="D1933">
        <v>89</v>
      </c>
      <c r="E1933" t="s">
        <v>14</v>
      </c>
      <c r="F1933">
        <v>11</v>
      </c>
      <c r="G1933" t="s">
        <v>15</v>
      </c>
      <c r="H1933">
        <v>5</v>
      </c>
      <c r="I1933">
        <v>55</v>
      </c>
      <c r="J1933">
        <v>25</v>
      </c>
      <c r="K1933" t="s">
        <v>16</v>
      </c>
      <c r="L1933" t="s">
        <v>17</v>
      </c>
      <c r="M1933">
        <f>IF(Table1[[#This Row],[ألغى الاشتراك]]="نعم",1,0)</f>
        <v>0</v>
      </c>
      <c r="N1933">
        <f>IF(Table1[[#This Row],[وسيلة الدفع]]="بطاقة",1,0)</f>
        <v>1</v>
      </c>
      <c r="O1933">
        <f>IF(Table1[[#This Row],[وسيلة الدفع]]="محفظة",1,0)</f>
        <v>0</v>
      </c>
      <c r="P1933">
        <f>IF(Table1[[#This Row],[وسيلة الدفع]]="تحويل",1,0)</f>
        <v>0</v>
      </c>
      <c r="Q1933">
        <f>IF(Table1[[#This Row],[حضر التهيئة]]="نعم",1,0)</f>
        <v>1</v>
      </c>
      <c r="R1933">
        <f>IF(Table1[[#This Row],[دورة الفوترة]]="شهري",1,0)</f>
        <v>1</v>
      </c>
    </row>
    <row r="1934" spans="1:18" x14ac:dyDescent="0.25">
      <c r="A1934" t="s">
        <v>1954</v>
      </c>
      <c r="B1934" s="1">
        <v>45918</v>
      </c>
      <c r="C1934" t="s">
        <v>28</v>
      </c>
      <c r="D1934">
        <v>39</v>
      </c>
      <c r="E1934" t="s">
        <v>14</v>
      </c>
      <c r="F1934">
        <v>13</v>
      </c>
      <c r="G1934" t="s">
        <v>21</v>
      </c>
      <c r="H1934">
        <v>1</v>
      </c>
      <c r="I1934">
        <v>33</v>
      </c>
      <c r="J1934">
        <v>0</v>
      </c>
      <c r="K1934" t="s">
        <v>16</v>
      </c>
      <c r="L1934" t="s">
        <v>16</v>
      </c>
      <c r="M1934">
        <f>IF(Table1[[#This Row],[ألغى الاشتراك]]="نعم",1,0)</f>
        <v>1</v>
      </c>
      <c r="N1934">
        <f>IF(Table1[[#This Row],[وسيلة الدفع]]="بطاقة",1,0)</f>
        <v>0</v>
      </c>
      <c r="O1934">
        <f>IF(Table1[[#This Row],[وسيلة الدفع]]="محفظة",1,0)</f>
        <v>1</v>
      </c>
      <c r="P1934">
        <f>IF(Table1[[#This Row],[وسيلة الدفع]]="تحويل",1,0)</f>
        <v>0</v>
      </c>
      <c r="Q1934">
        <f>IF(Table1[[#This Row],[حضر التهيئة]]="نعم",1,0)</f>
        <v>1</v>
      </c>
      <c r="R1934">
        <f>IF(Table1[[#This Row],[دورة الفوترة]]="شهري",1,0)</f>
        <v>1</v>
      </c>
    </row>
    <row r="1935" spans="1:18" x14ac:dyDescent="0.25">
      <c r="A1935" t="s">
        <v>1955</v>
      </c>
      <c r="B1935" s="1">
        <v>45568</v>
      </c>
      <c r="C1935" t="s">
        <v>19</v>
      </c>
      <c r="D1935">
        <v>189</v>
      </c>
      <c r="E1935" t="s">
        <v>14</v>
      </c>
      <c r="F1935">
        <v>2</v>
      </c>
      <c r="G1935" t="s">
        <v>21</v>
      </c>
      <c r="H1935">
        <v>11</v>
      </c>
      <c r="I1935">
        <v>48</v>
      </c>
      <c r="J1935">
        <v>0</v>
      </c>
      <c r="K1935" t="s">
        <v>17</v>
      </c>
      <c r="L1935" t="s">
        <v>17</v>
      </c>
      <c r="M1935">
        <f>IF(Table1[[#This Row],[ألغى الاشتراك]]="نعم",1,0)</f>
        <v>0</v>
      </c>
      <c r="N1935">
        <f>IF(Table1[[#This Row],[وسيلة الدفع]]="بطاقة",1,0)</f>
        <v>0</v>
      </c>
      <c r="O1935">
        <f>IF(Table1[[#This Row],[وسيلة الدفع]]="محفظة",1,0)</f>
        <v>1</v>
      </c>
      <c r="P1935">
        <f>IF(Table1[[#This Row],[وسيلة الدفع]]="تحويل",1,0)</f>
        <v>0</v>
      </c>
      <c r="Q1935">
        <f>IF(Table1[[#This Row],[حضر التهيئة]]="نعم",1,0)</f>
        <v>0</v>
      </c>
      <c r="R1935">
        <f>IF(Table1[[#This Row],[دورة الفوترة]]="شهري",1,0)</f>
        <v>1</v>
      </c>
    </row>
    <row r="1936" spans="1:18" x14ac:dyDescent="0.25">
      <c r="A1936" t="s">
        <v>1956</v>
      </c>
      <c r="B1936" s="1">
        <v>45973</v>
      </c>
      <c r="C1936" t="s">
        <v>19</v>
      </c>
      <c r="D1936">
        <v>189</v>
      </c>
      <c r="E1936" t="s">
        <v>20</v>
      </c>
      <c r="F1936">
        <v>7</v>
      </c>
      <c r="G1936" t="s">
        <v>23</v>
      </c>
      <c r="H1936">
        <v>0</v>
      </c>
      <c r="I1936">
        <v>41</v>
      </c>
      <c r="J1936">
        <v>0</v>
      </c>
      <c r="K1936" t="s">
        <v>17</v>
      </c>
      <c r="L1936" t="s">
        <v>17</v>
      </c>
      <c r="M1936">
        <f>IF(Table1[[#This Row],[ألغى الاشتراك]]="نعم",1,0)</f>
        <v>0</v>
      </c>
      <c r="N1936">
        <f>IF(Table1[[#This Row],[وسيلة الدفع]]="بطاقة",1,0)</f>
        <v>0</v>
      </c>
      <c r="O1936">
        <f>IF(Table1[[#This Row],[وسيلة الدفع]]="محفظة",1,0)</f>
        <v>0</v>
      </c>
      <c r="P1936">
        <f>IF(Table1[[#This Row],[وسيلة الدفع]]="تحويل",1,0)</f>
        <v>1</v>
      </c>
      <c r="Q1936">
        <f>IF(Table1[[#This Row],[حضر التهيئة]]="نعم",1,0)</f>
        <v>0</v>
      </c>
      <c r="R1936">
        <f>IF(Table1[[#This Row],[دورة الفوترة]]="شهري",1,0)</f>
        <v>0</v>
      </c>
    </row>
    <row r="1937" spans="1:18" x14ac:dyDescent="0.25">
      <c r="A1937" t="s">
        <v>1957</v>
      </c>
      <c r="B1937" s="1">
        <v>45922</v>
      </c>
      <c r="C1937" t="s">
        <v>28</v>
      </c>
      <c r="D1937">
        <v>39</v>
      </c>
      <c r="E1937" t="s">
        <v>14</v>
      </c>
      <c r="F1937">
        <v>30</v>
      </c>
      <c r="G1937" t="s">
        <v>15</v>
      </c>
      <c r="H1937">
        <v>1</v>
      </c>
      <c r="I1937">
        <v>24</v>
      </c>
      <c r="J1937">
        <v>5</v>
      </c>
      <c r="K1937" t="s">
        <v>16</v>
      </c>
      <c r="L1937" t="s">
        <v>17</v>
      </c>
      <c r="M1937">
        <f>IF(Table1[[#This Row],[ألغى الاشتراك]]="نعم",1,0)</f>
        <v>0</v>
      </c>
      <c r="N1937">
        <f>IF(Table1[[#This Row],[وسيلة الدفع]]="بطاقة",1,0)</f>
        <v>1</v>
      </c>
      <c r="O1937">
        <f>IF(Table1[[#This Row],[وسيلة الدفع]]="محفظة",1,0)</f>
        <v>0</v>
      </c>
      <c r="P1937">
        <f>IF(Table1[[#This Row],[وسيلة الدفع]]="تحويل",1,0)</f>
        <v>0</v>
      </c>
      <c r="Q1937">
        <f>IF(Table1[[#This Row],[حضر التهيئة]]="نعم",1,0)</f>
        <v>1</v>
      </c>
      <c r="R1937">
        <f>IF(Table1[[#This Row],[دورة الفوترة]]="شهري",1,0)</f>
        <v>1</v>
      </c>
    </row>
    <row r="1938" spans="1:18" x14ac:dyDescent="0.25">
      <c r="A1938" t="s">
        <v>1958</v>
      </c>
      <c r="B1938" s="1">
        <v>45989</v>
      </c>
      <c r="C1938" t="s">
        <v>28</v>
      </c>
      <c r="D1938">
        <v>39</v>
      </c>
      <c r="E1938" t="s">
        <v>14</v>
      </c>
      <c r="F1938">
        <v>4</v>
      </c>
      <c r="G1938" t="s">
        <v>15</v>
      </c>
      <c r="H1938">
        <v>11</v>
      </c>
      <c r="I1938">
        <v>46</v>
      </c>
      <c r="J1938">
        <v>15</v>
      </c>
      <c r="K1938" t="s">
        <v>16</v>
      </c>
      <c r="L1938" t="s">
        <v>17</v>
      </c>
      <c r="M1938">
        <f>IF(Table1[[#This Row],[ألغى الاشتراك]]="نعم",1,0)</f>
        <v>0</v>
      </c>
      <c r="N1938">
        <f>IF(Table1[[#This Row],[وسيلة الدفع]]="بطاقة",1,0)</f>
        <v>1</v>
      </c>
      <c r="O1938">
        <f>IF(Table1[[#This Row],[وسيلة الدفع]]="محفظة",1,0)</f>
        <v>0</v>
      </c>
      <c r="P1938">
        <f>IF(Table1[[#This Row],[وسيلة الدفع]]="تحويل",1,0)</f>
        <v>0</v>
      </c>
      <c r="Q1938">
        <f>IF(Table1[[#This Row],[حضر التهيئة]]="نعم",1,0)</f>
        <v>1</v>
      </c>
      <c r="R1938">
        <f>IF(Table1[[#This Row],[دورة الفوترة]]="شهري",1,0)</f>
        <v>1</v>
      </c>
    </row>
    <row r="1939" spans="1:18" x14ac:dyDescent="0.25">
      <c r="A1939" t="s">
        <v>1959</v>
      </c>
      <c r="B1939" s="1">
        <v>45521</v>
      </c>
      <c r="C1939" t="s">
        <v>19</v>
      </c>
      <c r="D1939">
        <v>189</v>
      </c>
      <c r="E1939" t="s">
        <v>14</v>
      </c>
      <c r="F1939">
        <v>20</v>
      </c>
      <c r="G1939" t="s">
        <v>15</v>
      </c>
      <c r="H1939">
        <v>0</v>
      </c>
      <c r="I1939">
        <v>4</v>
      </c>
      <c r="J1939">
        <v>0</v>
      </c>
      <c r="K1939" t="s">
        <v>16</v>
      </c>
      <c r="L1939" t="s">
        <v>17</v>
      </c>
      <c r="M1939">
        <f>IF(Table1[[#This Row],[ألغى الاشتراك]]="نعم",1,0)</f>
        <v>0</v>
      </c>
      <c r="N1939">
        <f>IF(Table1[[#This Row],[وسيلة الدفع]]="بطاقة",1,0)</f>
        <v>1</v>
      </c>
      <c r="O1939">
        <f>IF(Table1[[#This Row],[وسيلة الدفع]]="محفظة",1,0)</f>
        <v>0</v>
      </c>
      <c r="P1939">
        <f>IF(Table1[[#This Row],[وسيلة الدفع]]="تحويل",1,0)</f>
        <v>0</v>
      </c>
      <c r="Q1939">
        <f>IF(Table1[[#This Row],[حضر التهيئة]]="نعم",1,0)</f>
        <v>1</v>
      </c>
      <c r="R1939">
        <f>IF(Table1[[#This Row],[دورة الفوترة]]="شهري",1,0)</f>
        <v>1</v>
      </c>
    </row>
    <row r="1940" spans="1:18" x14ac:dyDescent="0.25">
      <c r="A1940" t="s">
        <v>1960</v>
      </c>
      <c r="B1940" s="1">
        <v>45329</v>
      </c>
      <c r="C1940" t="s">
        <v>28</v>
      </c>
      <c r="D1940">
        <v>39</v>
      </c>
      <c r="E1940" t="s">
        <v>14</v>
      </c>
      <c r="F1940">
        <v>19</v>
      </c>
      <c r="G1940" t="s">
        <v>21</v>
      </c>
      <c r="H1940">
        <v>1</v>
      </c>
      <c r="I1940">
        <v>29</v>
      </c>
      <c r="J1940">
        <v>10</v>
      </c>
      <c r="K1940" t="s">
        <v>17</v>
      </c>
      <c r="L1940" t="s">
        <v>17</v>
      </c>
      <c r="M1940">
        <f>IF(Table1[[#This Row],[ألغى الاشتراك]]="نعم",1,0)</f>
        <v>0</v>
      </c>
      <c r="N1940">
        <f>IF(Table1[[#This Row],[وسيلة الدفع]]="بطاقة",1,0)</f>
        <v>0</v>
      </c>
      <c r="O1940">
        <f>IF(Table1[[#This Row],[وسيلة الدفع]]="محفظة",1,0)</f>
        <v>1</v>
      </c>
      <c r="P1940">
        <f>IF(Table1[[#This Row],[وسيلة الدفع]]="تحويل",1,0)</f>
        <v>0</v>
      </c>
      <c r="Q1940">
        <f>IF(Table1[[#This Row],[حضر التهيئة]]="نعم",1,0)</f>
        <v>0</v>
      </c>
      <c r="R1940">
        <f>IF(Table1[[#This Row],[دورة الفوترة]]="شهري",1,0)</f>
        <v>1</v>
      </c>
    </row>
    <row r="1941" spans="1:18" x14ac:dyDescent="0.25">
      <c r="A1941" t="s">
        <v>1961</v>
      </c>
      <c r="B1941" s="1">
        <v>45846</v>
      </c>
      <c r="C1941" t="s">
        <v>13</v>
      </c>
      <c r="D1941">
        <v>89</v>
      </c>
      <c r="E1941" t="s">
        <v>14</v>
      </c>
      <c r="F1941">
        <v>3</v>
      </c>
      <c r="G1941" t="s">
        <v>21</v>
      </c>
      <c r="H1941">
        <v>7</v>
      </c>
      <c r="I1941">
        <v>27</v>
      </c>
      <c r="J1941">
        <v>0</v>
      </c>
      <c r="K1941" t="s">
        <v>17</v>
      </c>
      <c r="L1941" t="s">
        <v>17</v>
      </c>
      <c r="M1941">
        <f>IF(Table1[[#This Row],[ألغى الاشتراك]]="نعم",1,0)</f>
        <v>0</v>
      </c>
      <c r="N1941">
        <f>IF(Table1[[#This Row],[وسيلة الدفع]]="بطاقة",1,0)</f>
        <v>0</v>
      </c>
      <c r="O1941">
        <f>IF(Table1[[#This Row],[وسيلة الدفع]]="محفظة",1,0)</f>
        <v>1</v>
      </c>
      <c r="P1941">
        <f>IF(Table1[[#This Row],[وسيلة الدفع]]="تحويل",1,0)</f>
        <v>0</v>
      </c>
      <c r="Q1941">
        <f>IF(Table1[[#This Row],[حضر التهيئة]]="نعم",1,0)</f>
        <v>0</v>
      </c>
      <c r="R1941">
        <f>IF(Table1[[#This Row],[دورة الفوترة]]="شهري",1,0)</f>
        <v>1</v>
      </c>
    </row>
    <row r="1942" spans="1:18" x14ac:dyDescent="0.25">
      <c r="A1942" t="s">
        <v>1962</v>
      </c>
      <c r="B1942" s="1">
        <v>45799</v>
      </c>
      <c r="C1942" t="s">
        <v>28</v>
      </c>
      <c r="D1942">
        <v>39</v>
      </c>
      <c r="E1942" t="s">
        <v>14</v>
      </c>
      <c r="F1942">
        <v>24</v>
      </c>
      <c r="G1942" t="s">
        <v>15</v>
      </c>
      <c r="H1942">
        <v>0</v>
      </c>
      <c r="I1942">
        <v>54</v>
      </c>
      <c r="J1942">
        <v>5</v>
      </c>
      <c r="K1942" t="s">
        <v>17</v>
      </c>
      <c r="L1942" t="s">
        <v>17</v>
      </c>
      <c r="M1942">
        <f>IF(Table1[[#This Row],[ألغى الاشتراك]]="نعم",1,0)</f>
        <v>0</v>
      </c>
      <c r="N1942">
        <f>IF(Table1[[#This Row],[وسيلة الدفع]]="بطاقة",1,0)</f>
        <v>1</v>
      </c>
      <c r="O1942">
        <f>IF(Table1[[#This Row],[وسيلة الدفع]]="محفظة",1,0)</f>
        <v>0</v>
      </c>
      <c r="P1942">
        <f>IF(Table1[[#This Row],[وسيلة الدفع]]="تحويل",1,0)</f>
        <v>0</v>
      </c>
      <c r="Q1942">
        <f>IF(Table1[[#This Row],[حضر التهيئة]]="نعم",1,0)</f>
        <v>0</v>
      </c>
      <c r="R1942">
        <f>IF(Table1[[#This Row],[دورة الفوترة]]="شهري",1,0)</f>
        <v>1</v>
      </c>
    </row>
    <row r="1943" spans="1:18" x14ac:dyDescent="0.25">
      <c r="A1943" t="s">
        <v>1963</v>
      </c>
      <c r="B1943" s="1">
        <v>45981</v>
      </c>
      <c r="C1943" t="s">
        <v>13</v>
      </c>
      <c r="D1943">
        <v>89</v>
      </c>
      <c r="E1943" t="s">
        <v>20</v>
      </c>
      <c r="F1943">
        <v>8</v>
      </c>
      <c r="G1943" t="s">
        <v>23</v>
      </c>
      <c r="H1943">
        <v>2</v>
      </c>
      <c r="I1943">
        <v>14</v>
      </c>
      <c r="J1943">
        <v>15</v>
      </c>
      <c r="K1943" t="s">
        <v>16</v>
      </c>
      <c r="L1943" t="s">
        <v>17</v>
      </c>
      <c r="M1943">
        <f>IF(Table1[[#This Row],[ألغى الاشتراك]]="نعم",1,0)</f>
        <v>0</v>
      </c>
      <c r="N1943">
        <f>IF(Table1[[#This Row],[وسيلة الدفع]]="بطاقة",1,0)</f>
        <v>0</v>
      </c>
      <c r="O1943">
        <f>IF(Table1[[#This Row],[وسيلة الدفع]]="محفظة",1,0)</f>
        <v>0</v>
      </c>
      <c r="P1943">
        <f>IF(Table1[[#This Row],[وسيلة الدفع]]="تحويل",1,0)</f>
        <v>1</v>
      </c>
      <c r="Q1943">
        <f>IF(Table1[[#This Row],[حضر التهيئة]]="نعم",1,0)</f>
        <v>1</v>
      </c>
      <c r="R1943">
        <f>IF(Table1[[#This Row],[دورة الفوترة]]="شهري",1,0)</f>
        <v>0</v>
      </c>
    </row>
    <row r="1944" spans="1:18" x14ac:dyDescent="0.25">
      <c r="A1944" t="s">
        <v>1964</v>
      </c>
      <c r="B1944" s="1">
        <v>45787</v>
      </c>
      <c r="C1944" t="s">
        <v>28</v>
      </c>
      <c r="D1944">
        <v>39</v>
      </c>
      <c r="E1944" t="s">
        <v>14</v>
      </c>
      <c r="F1944">
        <v>24</v>
      </c>
      <c r="G1944" t="s">
        <v>21</v>
      </c>
      <c r="H1944">
        <v>0</v>
      </c>
      <c r="I1944">
        <v>58</v>
      </c>
      <c r="J1944">
        <v>5</v>
      </c>
      <c r="K1944" t="s">
        <v>16</v>
      </c>
      <c r="L1944" t="s">
        <v>17</v>
      </c>
      <c r="M1944">
        <f>IF(Table1[[#This Row],[ألغى الاشتراك]]="نعم",1,0)</f>
        <v>0</v>
      </c>
      <c r="N1944">
        <f>IF(Table1[[#This Row],[وسيلة الدفع]]="بطاقة",1,0)</f>
        <v>0</v>
      </c>
      <c r="O1944">
        <f>IF(Table1[[#This Row],[وسيلة الدفع]]="محفظة",1,0)</f>
        <v>1</v>
      </c>
      <c r="P1944">
        <f>IF(Table1[[#This Row],[وسيلة الدفع]]="تحويل",1,0)</f>
        <v>0</v>
      </c>
      <c r="Q1944">
        <f>IF(Table1[[#This Row],[حضر التهيئة]]="نعم",1,0)</f>
        <v>1</v>
      </c>
      <c r="R1944">
        <f>IF(Table1[[#This Row],[دورة الفوترة]]="شهري",1,0)</f>
        <v>1</v>
      </c>
    </row>
    <row r="1945" spans="1:18" x14ac:dyDescent="0.25">
      <c r="A1945" t="s">
        <v>1965</v>
      </c>
      <c r="B1945" s="1">
        <v>45989</v>
      </c>
      <c r="C1945" t="s">
        <v>19</v>
      </c>
      <c r="D1945">
        <v>189</v>
      </c>
      <c r="E1945" t="s">
        <v>20</v>
      </c>
      <c r="F1945">
        <v>2</v>
      </c>
      <c r="G1945" t="s">
        <v>23</v>
      </c>
      <c r="H1945">
        <v>10</v>
      </c>
      <c r="I1945">
        <v>14</v>
      </c>
      <c r="J1945">
        <v>15</v>
      </c>
      <c r="K1945" t="s">
        <v>17</v>
      </c>
      <c r="L1945" t="s">
        <v>17</v>
      </c>
      <c r="M1945">
        <f>IF(Table1[[#This Row],[ألغى الاشتراك]]="نعم",1,0)</f>
        <v>0</v>
      </c>
      <c r="N1945">
        <f>IF(Table1[[#This Row],[وسيلة الدفع]]="بطاقة",1,0)</f>
        <v>0</v>
      </c>
      <c r="O1945">
        <f>IF(Table1[[#This Row],[وسيلة الدفع]]="محفظة",1,0)</f>
        <v>0</v>
      </c>
      <c r="P1945">
        <f>IF(Table1[[#This Row],[وسيلة الدفع]]="تحويل",1,0)</f>
        <v>1</v>
      </c>
      <c r="Q1945">
        <f>IF(Table1[[#This Row],[حضر التهيئة]]="نعم",1,0)</f>
        <v>0</v>
      </c>
      <c r="R1945">
        <f>IF(Table1[[#This Row],[دورة الفوترة]]="شهري",1,0)</f>
        <v>0</v>
      </c>
    </row>
    <row r="1946" spans="1:18" x14ac:dyDescent="0.25">
      <c r="A1946" t="s">
        <v>1966</v>
      </c>
      <c r="B1946" s="1">
        <v>45513</v>
      </c>
      <c r="C1946" t="s">
        <v>13</v>
      </c>
      <c r="D1946">
        <v>89</v>
      </c>
      <c r="E1946" t="s">
        <v>14</v>
      </c>
      <c r="F1946">
        <v>16</v>
      </c>
      <c r="G1946" t="s">
        <v>15</v>
      </c>
      <c r="H1946">
        <v>1</v>
      </c>
      <c r="I1946">
        <v>50</v>
      </c>
      <c r="J1946">
        <v>0</v>
      </c>
      <c r="K1946" t="s">
        <v>17</v>
      </c>
      <c r="L1946" t="s">
        <v>16</v>
      </c>
      <c r="M1946">
        <f>IF(Table1[[#This Row],[ألغى الاشتراك]]="نعم",1,0)</f>
        <v>1</v>
      </c>
      <c r="N1946">
        <f>IF(Table1[[#This Row],[وسيلة الدفع]]="بطاقة",1,0)</f>
        <v>1</v>
      </c>
      <c r="O1946">
        <f>IF(Table1[[#This Row],[وسيلة الدفع]]="محفظة",1,0)</f>
        <v>0</v>
      </c>
      <c r="P1946">
        <f>IF(Table1[[#This Row],[وسيلة الدفع]]="تحويل",1,0)</f>
        <v>0</v>
      </c>
      <c r="Q1946">
        <f>IF(Table1[[#This Row],[حضر التهيئة]]="نعم",1,0)</f>
        <v>0</v>
      </c>
      <c r="R1946">
        <f>IF(Table1[[#This Row],[دورة الفوترة]]="شهري",1,0)</f>
        <v>1</v>
      </c>
    </row>
    <row r="1947" spans="1:18" x14ac:dyDescent="0.25">
      <c r="A1947" t="s">
        <v>1967</v>
      </c>
      <c r="B1947" s="1">
        <v>45576</v>
      </c>
      <c r="C1947" t="s">
        <v>19</v>
      </c>
      <c r="D1947">
        <v>189</v>
      </c>
      <c r="E1947" t="s">
        <v>14</v>
      </c>
      <c r="F1947">
        <v>7</v>
      </c>
      <c r="G1947" t="s">
        <v>21</v>
      </c>
      <c r="H1947">
        <v>2</v>
      </c>
      <c r="I1947">
        <v>3</v>
      </c>
      <c r="J1947">
        <v>10</v>
      </c>
      <c r="K1947" t="s">
        <v>17</v>
      </c>
      <c r="L1947" t="s">
        <v>17</v>
      </c>
      <c r="M1947">
        <f>IF(Table1[[#This Row],[ألغى الاشتراك]]="نعم",1,0)</f>
        <v>0</v>
      </c>
      <c r="N1947">
        <f>IF(Table1[[#This Row],[وسيلة الدفع]]="بطاقة",1,0)</f>
        <v>0</v>
      </c>
      <c r="O1947">
        <f>IF(Table1[[#This Row],[وسيلة الدفع]]="محفظة",1,0)</f>
        <v>1</v>
      </c>
      <c r="P1947">
        <f>IF(Table1[[#This Row],[وسيلة الدفع]]="تحويل",1,0)</f>
        <v>0</v>
      </c>
      <c r="Q1947">
        <f>IF(Table1[[#This Row],[حضر التهيئة]]="نعم",1,0)</f>
        <v>0</v>
      </c>
      <c r="R1947">
        <f>IF(Table1[[#This Row],[دورة الفوترة]]="شهري",1,0)</f>
        <v>1</v>
      </c>
    </row>
    <row r="1948" spans="1:18" x14ac:dyDescent="0.25">
      <c r="A1948" t="s">
        <v>1968</v>
      </c>
      <c r="B1948" s="1">
        <v>45736</v>
      </c>
      <c r="C1948" t="s">
        <v>13</v>
      </c>
      <c r="D1948">
        <v>89</v>
      </c>
      <c r="E1948" t="s">
        <v>20</v>
      </c>
      <c r="F1948">
        <v>19</v>
      </c>
      <c r="G1948" t="s">
        <v>21</v>
      </c>
      <c r="H1948">
        <v>3</v>
      </c>
      <c r="I1948">
        <v>25</v>
      </c>
      <c r="J1948">
        <v>0</v>
      </c>
      <c r="K1948" t="s">
        <v>17</v>
      </c>
      <c r="L1948" t="s">
        <v>17</v>
      </c>
      <c r="M1948">
        <f>IF(Table1[[#This Row],[ألغى الاشتراك]]="نعم",1,0)</f>
        <v>0</v>
      </c>
      <c r="N1948">
        <f>IF(Table1[[#This Row],[وسيلة الدفع]]="بطاقة",1,0)</f>
        <v>0</v>
      </c>
      <c r="O1948">
        <f>IF(Table1[[#This Row],[وسيلة الدفع]]="محفظة",1,0)</f>
        <v>1</v>
      </c>
      <c r="P1948">
        <f>IF(Table1[[#This Row],[وسيلة الدفع]]="تحويل",1,0)</f>
        <v>0</v>
      </c>
      <c r="Q1948">
        <f>IF(Table1[[#This Row],[حضر التهيئة]]="نعم",1,0)</f>
        <v>0</v>
      </c>
      <c r="R1948">
        <f>IF(Table1[[#This Row],[دورة الفوترة]]="شهري",1,0)</f>
        <v>0</v>
      </c>
    </row>
    <row r="1949" spans="1:18" x14ac:dyDescent="0.25">
      <c r="A1949" t="s">
        <v>1969</v>
      </c>
      <c r="B1949" s="1">
        <v>45525</v>
      </c>
      <c r="C1949" t="s">
        <v>13</v>
      </c>
      <c r="D1949">
        <v>89</v>
      </c>
      <c r="E1949" t="s">
        <v>20</v>
      </c>
      <c r="F1949">
        <v>20</v>
      </c>
      <c r="G1949" t="s">
        <v>23</v>
      </c>
      <c r="H1949">
        <v>2</v>
      </c>
      <c r="I1949">
        <v>10</v>
      </c>
      <c r="J1949">
        <v>0</v>
      </c>
      <c r="K1949" t="s">
        <v>17</v>
      </c>
      <c r="L1949" t="s">
        <v>17</v>
      </c>
      <c r="M1949">
        <f>IF(Table1[[#This Row],[ألغى الاشتراك]]="نعم",1,0)</f>
        <v>0</v>
      </c>
      <c r="N1949">
        <f>IF(Table1[[#This Row],[وسيلة الدفع]]="بطاقة",1,0)</f>
        <v>0</v>
      </c>
      <c r="O1949">
        <f>IF(Table1[[#This Row],[وسيلة الدفع]]="محفظة",1,0)</f>
        <v>0</v>
      </c>
      <c r="P1949">
        <f>IF(Table1[[#This Row],[وسيلة الدفع]]="تحويل",1,0)</f>
        <v>1</v>
      </c>
      <c r="Q1949">
        <f>IF(Table1[[#This Row],[حضر التهيئة]]="نعم",1,0)</f>
        <v>0</v>
      </c>
      <c r="R1949">
        <f>IF(Table1[[#This Row],[دورة الفوترة]]="شهري",1,0)</f>
        <v>0</v>
      </c>
    </row>
    <row r="1950" spans="1:18" x14ac:dyDescent="0.25">
      <c r="A1950" t="s">
        <v>1970</v>
      </c>
      <c r="B1950" s="1">
        <v>45902</v>
      </c>
      <c r="C1950" t="s">
        <v>13</v>
      </c>
      <c r="D1950">
        <v>89</v>
      </c>
      <c r="E1950" t="s">
        <v>14</v>
      </c>
      <c r="F1950">
        <v>3</v>
      </c>
      <c r="G1950" t="s">
        <v>21</v>
      </c>
      <c r="H1950">
        <v>0</v>
      </c>
      <c r="I1950">
        <v>21</v>
      </c>
      <c r="J1950">
        <v>0</v>
      </c>
      <c r="K1950" t="s">
        <v>16</v>
      </c>
      <c r="L1950" t="s">
        <v>17</v>
      </c>
      <c r="M1950">
        <f>IF(Table1[[#This Row],[ألغى الاشتراك]]="نعم",1,0)</f>
        <v>0</v>
      </c>
      <c r="N1950">
        <f>IF(Table1[[#This Row],[وسيلة الدفع]]="بطاقة",1,0)</f>
        <v>0</v>
      </c>
      <c r="O1950">
        <f>IF(Table1[[#This Row],[وسيلة الدفع]]="محفظة",1,0)</f>
        <v>1</v>
      </c>
      <c r="P1950">
        <f>IF(Table1[[#This Row],[وسيلة الدفع]]="تحويل",1,0)</f>
        <v>0</v>
      </c>
      <c r="Q1950">
        <f>IF(Table1[[#This Row],[حضر التهيئة]]="نعم",1,0)</f>
        <v>1</v>
      </c>
      <c r="R1950">
        <f>IF(Table1[[#This Row],[دورة الفوترة]]="شهري",1,0)</f>
        <v>1</v>
      </c>
    </row>
    <row r="1951" spans="1:18" x14ac:dyDescent="0.25">
      <c r="A1951" t="s">
        <v>1971</v>
      </c>
      <c r="B1951" s="1">
        <v>45866</v>
      </c>
      <c r="C1951" t="s">
        <v>28</v>
      </c>
      <c r="D1951">
        <v>39</v>
      </c>
      <c r="E1951" t="s">
        <v>20</v>
      </c>
      <c r="F1951">
        <v>12</v>
      </c>
      <c r="G1951" t="s">
        <v>23</v>
      </c>
      <c r="H1951">
        <v>0</v>
      </c>
      <c r="I1951">
        <v>22</v>
      </c>
      <c r="J1951">
        <v>15</v>
      </c>
      <c r="K1951" t="s">
        <v>17</v>
      </c>
      <c r="L1951" t="s">
        <v>17</v>
      </c>
      <c r="M1951">
        <f>IF(Table1[[#This Row],[ألغى الاشتراك]]="نعم",1,0)</f>
        <v>0</v>
      </c>
      <c r="N1951">
        <f>IF(Table1[[#This Row],[وسيلة الدفع]]="بطاقة",1,0)</f>
        <v>0</v>
      </c>
      <c r="O1951">
        <f>IF(Table1[[#This Row],[وسيلة الدفع]]="محفظة",1,0)</f>
        <v>0</v>
      </c>
      <c r="P1951">
        <f>IF(Table1[[#This Row],[وسيلة الدفع]]="تحويل",1,0)</f>
        <v>1</v>
      </c>
      <c r="Q1951">
        <f>IF(Table1[[#This Row],[حضر التهيئة]]="نعم",1,0)</f>
        <v>0</v>
      </c>
      <c r="R1951">
        <f>IF(Table1[[#This Row],[دورة الفوترة]]="شهري",1,0)</f>
        <v>0</v>
      </c>
    </row>
    <row r="1952" spans="1:18" x14ac:dyDescent="0.25">
      <c r="A1952" t="s">
        <v>1972</v>
      </c>
      <c r="B1952" s="1">
        <v>45399</v>
      </c>
      <c r="C1952" t="s">
        <v>19</v>
      </c>
      <c r="D1952">
        <v>189</v>
      </c>
      <c r="E1952" t="s">
        <v>14</v>
      </c>
      <c r="F1952">
        <v>30</v>
      </c>
      <c r="G1952" t="s">
        <v>15</v>
      </c>
      <c r="H1952">
        <v>4</v>
      </c>
      <c r="I1952">
        <v>26</v>
      </c>
      <c r="J1952">
        <v>0</v>
      </c>
      <c r="K1952" t="s">
        <v>17</v>
      </c>
      <c r="L1952" t="s">
        <v>17</v>
      </c>
      <c r="M1952">
        <f>IF(Table1[[#This Row],[ألغى الاشتراك]]="نعم",1,0)</f>
        <v>0</v>
      </c>
      <c r="N1952">
        <f>IF(Table1[[#This Row],[وسيلة الدفع]]="بطاقة",1,0)</f>
        <v>1</v>
      </c>
      <c r="O1952">
        <f>IF(Table1[[#This Row],[وسيلة الدفع]]="محفظة",1,0)</f>
        <v>0</v>
      </c>
      <c r="P1952">
        <f>IF(Table1[[#This Row],[وسيلة الدفع]]="تحويل",1,0)</f>
        <v>0</v>
      </c>
      <c r="Q1952">
        <f>IF(Table1[[#This Row],[حضر التهيئة]]="نعم",1,0)</f>
        <v>0</v>
      </c>
      <c r="R1952">
        <f>IF(Table1[[#This Row],[دورة الفوترة]]="شهري",1,0)</f>
        <v>1</v>
      </c>
    </row>
    <row r="1953" spans="1:18" x14ac:dyDescent="0.25">
      <c r="A1953" t="s">
        <v>1973</v>
      </c>
      <c r="B1953" s="1">
        <v>45787</v>
      </c>
      <c r="C1953" t="s">
        <v>19</v>
      </c>
      <c r="D1953">
        <v>189</v>
      </c>
      <c r="E1953" t="s">
        <v>20</v>
      </c>
      <c r="F1953">
        <v>13</v>
      </c>
      <c r="G1953" t="s">
        <v>21</v>
      </c>
      <c r="H1953">
        <v>1</v>
      </c>
      <c r="I1953">
        <v>19</v>
      </c>
      <c r="J1953">
        <v>0</v>
      </c>
      <c r="K1953" t="s">
        <v>17</v>
      </c>
      <c r="L1953" t="s">
        <v>17</v>
      </c>
      <c r="M1953">
        <f>IF(Table1[[#This Row],[ألغى الاشتراك]]="نعم",1,0)</f>
        <v>0</v>
      </c>
      <c r="N1953">
        <f>IF(Table1[[#This Row],[وسيلة الدفع]]="بطاقة",1,0)</f>
        <v>0</v>
      </c>
      <c r="O1953">
        <f>IF(Table1[[#This Row],[وسيلة الدفع]]="محفظة",1,0)</f>
        <v>1</v>
      </c>
      <c r="P1953">
        <f>IF(Table1[[#This Row],[وسيلة الدفع]]="تحويل",1,0)</f>
        <v>0</v>
      </c>
      <c r="Q1953">
        <f>IF(Table1[[#This Row],[حضر التهيئة]]="نعم",1,0)</f>
        <v>0</v>
      </c>
      <c r="R1953">
        <f>IF(Table1[[#This Row],[دورة الفوترة]]="شهري",1,0)</f>
        <v>0</v>
      </c>
    </row>
    <row r="1954" spans="1:18" x14ac:dyDescent="0.25">
      <c r="A1954" t="s">
        <v>1974</v>
      </c>
      <c r="B1954" s="1">
        <v>45458</v>
      </c>
      <c r="C1954" t="s">
        <v>13</v>
      </c>
      <c r="D1954">
        <v>89</v>
      </c>
      <c r="E1954" t="s">
        <v>14</v>
      </c>
      <c r="F1954">
        <v>2</v>
      </c>
      <c r="G1954" t="s">
        <v>21</v>
      </c>
      <c r="H1954">
        <v>1</v>
      </c>
      <c r="I1954">
        <v>40</v>
      </c>
      <c r="J1954">
        <v>0</v>
      </c>
      <c r="K1954" t="s">
        <v>16</v>
      </c>
      <c r="L1954" t="s">
        <v>17</v>
      </c>
      <c r="M1954">
        <f>IF(Table1[[#This Row],[ألغى الاشتراك]]="نعم",1,0)</f>
        <v>0</v>
      </c>
      <c r="N1954">
        <f>IF(Table1[[#This Row],[وسيلة الدفع]]="بطاقة",1,0)</f>
        <v>0</v>
      </c>
      <c r="O1954">
        <f>IF(Table1[[#This Row],[وسيلة الدفع]]="محفظة",1,0)</f>
        <v>1</v>
      </c>
      <c r="P1954">
        <f>IF(Table1[[#This Row],[وسيلة الدفع]]="تحويل",1,0)</f>
        <v>0</v>
      </c>
      <c r="Q1954">
        <f>IF(Table1[[#This Row],[حضر التهيئة]]="نعم",1,0)</f>
        <v>1</v>
      </c>
      <c r="R1954">
        <f>IF(Table1[[#This Row],[دورة الفوترة]]="شهري",1,0)</f>
        <v>1</v>
      </c>
    </row>
    <row r="1955" spans="1:18" x14ac:dyDescent="0.25">
      <c r="A1955" t="s">
        <v>1975</v>
      </c>
      <c r="B1955" s="1">
        <v>45720</v>
      </c>
      <c r="C1955" t="s">
        <v>19</v>
      </c>
      <c r="D1955">
        <v>189</v>
      </c>
      <c r="E1955" t="s">
        <v>14</v>
      </c>
      <c r="F1955">
        <v>13</v>
      </c>
      <c r="G1955" t="s">
        <v>15</v>
      </c>
      <c r="H1955">
        <v>0</v>
      </c>
      <c r="I1955">
        <v>23</v>
      </c>
      <c r="J1955">
        <v>0</v>
      </c>
      <c r="K1955" t="s">
        <v>17</v>
      </c>
      <c r="L1955" t="s">
        <v>17</v>
      </c>
      <c r="M1955">
        <f>IF(Table1[[#This Row],[ألغى الاشتراك]]="نعم",1,0)</f>
        <v>0</v>
      </c>
      <c r="N1955">
        <f>IF(Table1[[#This Row],[وسيلة الدفع]]="بطاقة",1,0)</f>
        <v>1</v>
      </c>
      <c r="O1955">
        <f>IF(Table1[[#This Row],[وسيلة الدفع]]="محفظة",1,0)</f>
        <v>0</v>
      </c>
      <c r="P1955">
        <f>IF(Table1[[#This Row],[وسيلة الدفع]]="تحويل",1,0)</f>
        <v>0</v>
      </c>
      <c r="Q1955">
        <f>IF(Table1[[#This Row],[حضر التهيئة]]="نعم",1,0)</f>
        <v>0</v>
      </c>
      <c r="R1955">
        <f>IF(Table1[[#This Row],[دورة الفوترة]]="شهري",1,0)</f>
        <v>1</v>
      </c>
    </row>
    <row r="1956" spans="1:18" x14ac:dyDescent="0.25">
      <c r="A1956" t="s">
        <v>1976</v>
      </c>
      <c r="B1956" s="1">
        <v>45647</v>
      </c>
      <c r="C1956" t="s">
        <v>19</v>
      </c>
      <c r="D1956">
        <v>189</v>
      </c>
      <c r="E1956" t="s">
        <v>14</v>
      </c>
      <c r="F1956">
        <v>26</v>
      </c>
      <c r="G1956" t="s">
        <v>23</v>
      </c>
      <c r="H1956">
        <v>1</v>
      </c>
      <c r="I1956">
        <v>32</v>
      </c>
      <c r="J1956">
        <v>0</v>
      </c>
      <c r="K1956" t="s">
        <v>17</v>
      </c>
      <c r="L1956" t="s">
        <v>17</v>
      </c>
      <c r="M1956">
        <f>IF(Table1[[#This Row],[ألغى الاشتراك]]="نعم",1,0)</f>
        <v>0</v>
      </c>
      <c r="N1956">
        <f>IF(Table1[[#This Row],[وسيلة الدفع]]="بطاقة",1,0)</f>
        <v>0</v>
      </c>
      <c r="O1956">
        <f>IF(Table1[[#This Row],[وسيلة الدفع]]="محفظة",1,0)</f>
        <v>0</v>
      </c>
      <c r="P1956">
        <f>IF(Table1[[#This Row],[وسيلة الدفع]]="تحويل",1,0)</f>
        <v>1</v>
      </c>
      <c r="Q1956">
        <f>IF(Table1[[#This Row],[حضر التهيئة]]="نعم",1,0)</f>
        <v>0</v>
      </c>
      <c r="R1956">
        <f>IF(Table1[[#This Row],[دورة الفوترة]]="شهري",1,0)</f>
        <v>1</v>
      </c>
    </row>
    <row r="1957" spans="1:18" x14ac:dyDescent="0.25">
      <c r="A1957" t="s">
        <v>1977</v>
      </c>
      <c r="B1957" s="1">
        <v>45783</v>
      </c>
      <c r="C1957" t="s">
        <v>28</v>
      </c>
      <c r="D1957">
        <v>39</v>
      </c>
      <c r="E1957" t="s">
        <v>20</v>
      </c>
      <c r="F1957">
        <v>5</v>
      </c>
      <c r="G1957" t="s">
        <v>23</v>
      </c>
      <c r="H1957">
        <v>11</v>
      </c>
      <c r="I1957">
        <v>15</v>
      </c>
      <c r="J1957">
        <v>0</v>
      </c>
      <c r="K1957" t="s">
        <v>17</v>
      </c>
      <c r="L1957" t="s">
        <v>17</v>
      </c>
      <c r="M1957">
        <f>IF(Table1[[#This Row],[ألغى الاشتراك]]="نعم",1,0)</f>
        <v>0</v>
      </c>
      <c r="N1957">
        <f>IF(Table1[[#This Row],[وسيلة الدفع]]="بطاقة",1,0)</f>
        <v>0</v>
      </c>
      <c r="O1957">
        <f>IF(Table1[[#This Row],[وسيلة الدفع]]="محفظة",1,0)</f>
        <v>0</v>
      </c>
      <c r="P1957">
        <f>IF(Table1[[#This Row],[وسيلة الدفع]]="تحويل",1,0)</f>
        <v>1</v>
      </c>
      <c r="Q1957">
        <f>IF(Table1[[#This Row],[حضر التهيئة]]="نعم",1,0)</f>
        <v>0</v>
      </c>
      <c r="R1957">
        <f>IF(Table1[[#This Row],[دورة الفوترة]]="شهري",1,0)</f>
        <v>0</v>
      </c>
    </row>
    <row r="1958" spans="1:18" x14ac:dyDescent="0.25">
      <c r="A1958" t="s">
        <v>1978</v>
      </c>
      <c r="B1958" s="1">
        <v>45572</v>
      </c>
      <c r="C1958" t="s">
        <v>13</v>
      </c>
      <c r="D1958">
        <v>89</v>
      </c>
      <c r="E1958" t="s">
        <v>14</v>
      </c>
      <c r="F1958">
        <v>18</v>
      </c>
      <c r="G1958" t="s">
        <v>21</v>
      </c>
      <c r="H1958">
        <v>9</v>
      </c>
      <c r="I1958">
        <v>12</v>
      </c>
      <c r="J1958">
        <v>0</v>
      </c>
      <c r="K1958" t="s">
        <v>16</v>
      </c>
      <c r="L1958" t="s">
        <v>17</v>
      </c>
      <c r="M1958">
        <f>IF(Table1[[#This Row],[ألغى الاشتراك]]="نعم",1,0)</f>
        <v>0</v>
      </c>
      <c r="N1958">
        <f>IF(Table1[[#This Row],[وسيلة الدفع]]="بطاقة",1,0)</f>
        <v>0</v>
      </c>
      <c r="O1958">
        <f>IF(Table1[[#This Row],[وسيلة الدفع]]="محفظة",1,0)</f>
        <v>1</v>
      </c>
      <c r="P1958">
        <f>IF(Table1[[#This Row],[وسيلة الدفع]]="تحويل",1,0)</f>
        <v>0</v>
      </c>
      <c r="Q1958">
        <f>IF(Table1[[#This Row],[حضر التهيئة]]="نعم",1,0)</f>
        <v>1</v>
      </c>
      <c r="R1958">
        <f>IF(Table1[[#This Row],[دورة الفوترة]]="شهري",1,0)</f>
        <v>1</v>
      </c>
    </row>
    <row r="1959" spans="1:18" x14ac:dyDescent="0.25">
      <c r="A1959" t="s">
        <v>1979</v>
      </c>
      <c r="B1959" s="1">
        <v>45740</v>
      </c>
      <c r="C1959" t="s">
        <v>13</v>
      </c>
      <c r="D1959">
        <v>89</v>
      </c>
      <c r="E1959" t="s">
        <v>14</v>
      </c>
      <c r="F1959">
        <v>11</v>
      </c>
      <c r="G1959" t="s">
        <v>23</v>
      </c>
      <c r="H1959">
        <v>0</v>
      </c>
      <c r="I1959">
        <v>31</v>
      </c>
      <c r="J1959">
        <v>0</v>
      </c>
      <c r="K1959" t="s">
        <v>17</v>
      </c>
      <c r="L1959" t="s">
        <v>17</v>
      </c>
      <c r="M1959">
        <f>IF(Table1[[#This Row],[ألغى الاشتراك]]="نعم",1,0)</f>
        <v>0</v>
      </c>
      <c r="N1959">
        <f>IF(Table1[[#This Row],[وسيلة الدفع]]="بطاقة",1,0)</f>
        <v>0</v>
      </c>
      <c r="O1959">
        <f>IF(Table1[[#This Row],[وسيلة الدفع]]="محفظة",1,0)</f>
        <v>0</v>
      </c>
      <c r="P1959">
        <f>IF(Table1[[#This Row],[وسيلة الدفع]]="تحويل",1,0)</f>
        <v>1</v>
      </c>
      <c r="Q1959">
        <f>IF(Table1[[#This Row],[حضر التهيئة]]="نعم",1,0)</f>
        <v>0</v>
      </c>
      <c r="R1959">
        <f>IF(Table1[[#This Row],[دورة الفوترة]]="شهري",1,0)</f>
        <v>1</v>
      </c>
    </row>
    <row r="1960" spans="1:18" x14ac:dyDescent="0.25">
      <c r="A1960" t="s">
        <v>1980</v>
      </c>
      <c r="B1960" s="1">
        <v>45627</v>
      </c>
      <c r="C1960" t="s">
        <v>13</v>
      </c>
      <c r="D1960">
        <v>89</v>
      </c>
      <c r="E1960" t="s">
        <v>20</v>
      </c>
      <c r="F1960">
        <v>22</v>
      </c>
      <c r="G1960" t="s">
        <v>21</v>
      </c>
      <c r="H1960">
        <v>6</v>
      </c>
      <c r="I1960">
        <v>12</v>
      </c>
      <c r="J1960">
        <v>0</v>
      </c>
      <c r="K1960" t="s">
        <v>16</v>
      </c>
      <c r="L1960" t="s">
        <v>17</v>
      </c>
      <c r="M1960">
        <f>IF(Table1[[#This Row],[ألغى الاشتراك]]="نعم",1,0)</f>
        <v>0</v>
      </c>
      <c r="N1960">
        <f>IF(Table1[[#This Row],[وسيلة الدفع]]="بطاقة",1,0)</f>
        <v>0</v>
      </c>
      <c r="O1960">
        <f>IF(Table1[[#This Row],[وسيلة الدفع]]="محفظة",1,0)</f>
        <v>1</v>
      </c>
      <c r="P1960">
        <f>IF(Table1[[#This Row],[وسيلة الدفع]]="تحويل",1,0)</f>
        <v>0</v>
      </c>
      <c r="Q1960">
        <f>IF(Table1[[#This Row],[حضر التهيئة]]="نعم",1,0)</f>
        <v>1</v>
      </c>
      <c r="R1960">
        <f>IF(Table1[[#This Row],[دورة الفوترة]]="شهري",1,0)</f>
        <v>0</v>
      </c>
    </row>
    <row r="1961" spans="1:18" x14ac:dyDescent="0.25">
      <c r="A1961" t="s">
        <v>1981</v>
      </c>
      <c r="B1961" s="1">
        <v>45333</v>
      </c>
      <c r="C1961" t="s">
        <v>13</v>
      </c>
      <c r="D1961">
        <v>89</v>
      </c>
      <c r="E1961" t="s">
        <v>14</v>
      </c>
      <c r="F1961">
        <v>23</v>
      </c>
      <c r="G1961" t="s">
        <v>15</v>
      </c>
      <c r="H1961">
        <v>3</v>
      </c>
      <c r="I1961">
        <v>3</v>
      </c>
      <c r="J1961">
        <v>10</v>
      </c>
      <c r="K1961" t="s">
        <v>16</v>
      </c>
      <c r="L1961" t="s">
        <v>16</v>
      </c>
      <c r="M1961">
        <f>IF(Table1[[#This Row],[ألغى الاشتراك]]="نعم",1,0)</f>
        <v>1</v>
      </c>
      <c r="N1961">
        <f>IF(Table1[[#This Row],[وسيلة الدفع]]="بطاقة",1,0)</f>
        <v>1</v>
      </c>
      <c r="O1961">
        <f>IF(Table1[[#This Row],[وسيلة الدفع]]="محفظة",1,0)</f>
        <v>0</v>
      </c>
      <c r="P1961">
        <f>IF(Table1[[#This Row],[وسيلة الدفع]]="تحويل",1,0)</f>
        <v>0</v>
      </c>
      <c r="Q1961">
        <f>IF(Table1[[#This Row],[حضر التهيئة]]="نعم",1,0)</f>
        <v>1</v>
      </c>
      <c r="R1961">
        <f>IF(Table1[[#This Row],[دورة الفوترة]]="شهري",1,0)</f>
        <v>1</v>
      </c>
    </row>
    <row r="1962" spans="1:18" x14ac:dyDescent="0.25">
      <c r="A1962" t="s">
        <v>1982</v>
      </c>
      <c r="B1962" s="1">
        <v>45639</v>
      </c>
      <c r="C1962" t="s">
        <v>13</v>
      </c>
      <c r="D1962">
        <v>89</v>
      </c>
      <c r="E1962" t="s">
        <v>14</v>
      </c>
      <c r="F1962">
        <v>19</v>
      </c>
      <c r="G1962" t="s">
        <v>21</v>
      </c>
      <c r="H1962">
        <v>1</v>
      </c>
      <c r="I1962">
        <v>5</v>
      </c>
      <c r="J1962">
        <v>25</v>
      </c>
      <c r="K1962" t="s">
        <v>17</v>
      </c>
      <c r="L1962" t="s">
        <v>17</v>
      </c>
      <c r="M1962">
        <f>IF(Table1[[#This Row],[ألغى الاشتراك]]="نعم",1,0)</f>
        <v>0</v>
      </c>
      <c r="N1962">
        <f>IF(Table1[[#This Row],[وسيلة الدفع]]="بطاقة",1,0)</f>
        <v>0</v>
      </c>
      <c r="O1962">
        <f>IF(Table1[[#This Row],[وسيلة الدفع]]="محفظة",1,0)</f>
        <v>1</v>
      </c>
      <c r="P1962">
        <f>IF(Table1[[#This Row],[وسيلة الدفع]]="تحويل",1,0)</f>
        <v>0</v>
      </c>
      <c r="Q1962">
        <f>IF(Table1[[#This Row],[حضر التهيئة]]="نعم",1,0)</f>
        <v>0</v>
      </c>
      <c r="R1962">
        <f>IF(Table1[[#This Row],[دورة الفوترة]]="شهري",1,0)</f>
        <v>1</v>
      </c>
    </row>
    <row r="1963" spans="1:18" x14ac:dyDescent="0.25">
      <c r="A1963" t="s">
        <v>1983</v>
      </c>
      <c r="B1963" s="1">
        <v>45679</v>
      </c>
      <c r="C1963" t="s">
        <v>19</v>
      </c>
      <c r="D1963">
        <v>189</v>
      </c>
      <c r="E1963" t="s">
        <v>14</v>
      </c>
      <c r="F1963">
        <v>15</v>
      </c>
      <c r="G1963" t="s">
        <v>21</v>
      </c>
      <c r="H1963">
        <v>3</v>
      </c>
      <c r="I1963">
        <v>59</v>
      </c>
      <c r="J1963">
        <v>0</v>
      </c>
      <c r="K1963" t="s">
        <v>17</v>
      </c>
      <c r="L1963" t="s">
        <v>17</v>
      </c>
      <c r="M1963">
        <f>IF(Table1[[#This Row],[ألغى الاشتراك]]="نعم",1,0)</f>
        <v>0</v>
      </c>
      <c r="N1963">
        <f>IF(Table1[[#This Row],[وسيلة الدفع]]="بطاقة",1,0)</f>
        <v>0</v>
      </c>
      <c r="O1963">
        <f>IF(Table1[[#This Row],[وسيلة الدفع]]="محفظة",1,0)</f>
        <v>1</v>
      </c>
      <c r="P1963">
        <f>IF(Table1[[#This Row],[وسيلة الدفع]]="تحويل",1,0)</f>
        <v>0</v>
      </c>
      <c r="Q1963">
        <f>IF(Table1[[#This Row],[حضر التهيئة]]="نعم",1,0)</f>
        <v>0</v>
      </c>
      <c r="R1963">
        <f>IF(Table1[[#This Row],[دورة الفوترة]]="شهري",1,0)</f>
        <v>1</v>
      </c>
    </row>
    <row r="1964" spans="1:18" x14ac:dyDescent="0.25">
      <c r="A1964" t="s">
        <v>1984</v>
      </c>
      <c r="B1964" s="1">
        <v>45446</v>
      </c>
      <c r="C1964" t="s">
        <v>13</v>
      </c>
      <c r="D1964">
        <v>89</v>
      </c>
      <c r="E1964" t="s">
        <v>14</v>
      </c>
      <c r="F1964">
        <v>28</v>
      </c>
      <c r="G1964" t="s">
        <v>23</v>
      </c>
      <c r="H1964">
        <v>0</v>
      </c>
      <c r="I1964">
        <v>14</v>
      </c>
      <c r="J1964">
        <v>0</v>
      </c>
      <c r="K1964" t="s">
        <v>16</v>
      </c>
      <c r="L1964" t="s">
        <v>17</v>
      </c>
      <c r="M1964">
        <f>IF(Table1[[#This Row],[ألغى الاشتراك]]="نعم",1,0)</f>
        <v>0</v>
      </c>
      <c r="N1964">
        <f>IF(Table1[[#This Row],[وسيلة الدفع]]="بطاقة",1,0)</f>
        <v>0</v>
      </c>
      <c r="O1964">
        <f>IF(Table1[[#This Row],[وسيلة الدفع]]="محفظة",1,0)</f>
        <v>0</v>
      </c>
      <c r="P1964">
        <f>IF(Table1[[#This Row],[وسيلة الدفع]]="تحويل",1,0)</f>
        <v>1</v>
      </c>
      <c r="Q1964">
        <f>IF(Table1[[#This Row],[حضر التهيئة]]="نعم",1,0)</f>
        <v>1</v>
      </c>
      <c r="R1964">
        <f>IF(Table1[[#This Row],[دورة الفوترة]]="شهري",1,0)</f>
        <v>1</v>
      </c>
    </row>
    <row r="1965" spans="1:18" x14ac:dyDescent="0.25">
      <c r="A1965" t="s">
        <v>1985</v>
      </c>
      <c r="B1965" s="1">
        <v>45977</v>
      </c>
      <c r="C1965" t="s">
        <v>28</v>
      </c>
      <c r="D1965">
        <v>39</v>
      </c>
      <c r="E1965" t="s">
        <v>14</v>
      </c>
      <c r="F1965">
        <v>1</v>
      </c>
      <c r="G1965" t="s">
        <v>21</v>
      </c>
      <c r="H1965">
        <v>2</v>
      </c>
      <c r="I1965">
        <v>53</v>
      </c>
      <c r="J1965">
        <v>0</v>
      </c>
      <c r="K1965" t="s">
        <v>16</v>
      </c>
      <c r="L1965" t="s">
        <v>17</v>
      </c>
      <c r="M1965">
        <f>IF(Table1[[#This Row],[ألغى الاشتراك]]="نعم",1,0)</f>
        <v>0</v>
      </c>
      <c r="N1965">
        <f>IF(Table1[[#This Row],[وسيلة الدفع]]="بطاقة",1,0)</f>
        <v>0</v>
      </c>
      <c r="O1965">
        <f>IF(Table1[[#This Row],[وسيلة الدفع]]="محفظة",1,0)</f>
        <v>1</v>
      </c>
      <c r="P1965">
        <f>IF(Table1[[#This Row],[وسيلة الدفع]]="تحويل",1,0)</f>
        <v>0</v>
      </c>
      <c r="Q1965">
        <f>IF(Table1[[#This Row],[حضر التهيئة]]="نعم",1,0)</f>
        <v>1</v>
      </c>
      <c r="R1965">
        <f>IF(Table1[[#This Row],[دورة الفوترة]]="شهري",1,0)</f>
        <v>1</v>
      </c>
    </row>
    <row r="1966" spans="1:18" x14ac:dyDescent="0.25">
      <c r="A1966" t="s">
        <v>1986</v>
      </c>
      <c r="B1966" s="1">
        <v>45395</v>
      </c>
      <c r="C1966" t="s">
        <v>28</v>
      </c>
      <c r="D1966">
        <v>39</v>
      </c>
      <c r="E1966" t="s">
        <v>14</v>
      </c>
      <c r="F1966">
        <v>26</v>
      </c>
      <c r="G1966" t="s">
        <v>21</v>
      </c>
      <c r="H1966">
        <v>0</v>
      </c>
      <c r="I1966">
        <v>54</v>
      </c>
      <c r="J1966">
        <v>0</v>
      </c>
      <c r="K1966" t="s">
        <v>16</v>
      </c>
      <c r="L1966" t="s">
        <v>17</v>
      </c>
      <c r="M1966">
        <f>IF(Table1[[#This Row],[ألغى الاشتراك]]="نعم",1,0)</f>
        <v>0</v>
      </c>
      <c r="N1966">
        <f>IF(Table1[[#This Row],[وسيلة الدفع]]="بطاقة",1,0)</f>
        <v>0</v>
      </c>
      <c r="O1966">
        <f>IF(Table1[[#This Row],[وسيلة الدفع]]="محفظة",1,0)</f>
        <v>1</v>
      </c>
      <c r="P1966">
        <f>IF(Table1[[#This Row],[وسيلة الدفع]]="تحويل",1,0)</f>
        <v>0</v>
      </c>
      <c r="Q1966">
        <f>IF(Table1[[#This Row],[حضر التهيئة]]="نعم",1,0)</f>
        <v>1</v>
      </c>
      <c r="R1966">
        <f>IF(Table1[[#This Row],[دورة الفوترة]]="شهري",1,0)</f>
        <v>1</v>
      </c>
    </row>
    <row r="1967" spans="1:18" x14ac:dyDescent="0.25">
      <c r="A1967" t="s">
        <v>1987</v>
      </c>
      <c r="B1967" s="1">
        <v>45910</v>
      </c>
      <c r="C1967" t="s">
        <v>28</v>
      </c>
      <c r="D1967">
        <v>39</v>
      </c>
      <c r="E1967" t="s">
        <v>14</v>
      </c>
      <c r="F1967">
        <v>5</v>
      </c>
      <c r="G1967" t="s">
        <v>23</v>
      </c>
      <c r="H1967">
        <v>6</v>
      </c>
      <c r="I1967">
        <v>51</v>
      </c>
      <c r="J1967">
        <v>0</v>
      </c>
      <c r="K1967" t="s">
        <v>17</v>
      </c>
      <c r="L1967" t="s">
        <v>17</v>
      </c>
      <c r="M1967">
        <f>IF(Table1[[#This Row],[ألغى الاشتراك]]="نعم",1,0)</f>
        <v>0</v>
      </c>
      <c r="N1967">
        <f>IF(Table1[[#This Row],[وسيلة الدفع]]="بطاقة",1,0)</f>
        <v>0</v>
      </c>
      <c r="O1967">
        <f>IF(Table1[[#This Row],[وسيلة الدفع]]="محفظة",1,0)</f>
        <v>0</v>
      </c>
      <c r="P1967">
        <f>IF(Table1[[#This Row],[وسيلة الدفع]]="تحويل",1,0)</f>
        <v>1</v>
      </c>
      <c r="Q1967">
        <f>IF(Table1[[#This Row],[حضر التهيئة]]="نعم",1,0)</f>
        <v>0</v>
      </c>
      <c r="R1967">
        <f>IF(Table1[[#This Row],[دورة الفوترة]]="شهري",1,0)</f>
        <v>1</v>
      </c>
    </row>
    <row r="1968" spans="1:18" x14ac:dyDescent="0.25">
      <c r="A1968" t="s">
        <v>1988</v>
      </c>
      <c r="B1968" s="1">
        <v>45969</v>
      </c>
      <c r="C1968" t="s">
        <v>19</v>
      </c>
      <c r="D1968">
        <v>189</v>
      </c>
      <c r="E1968" t="s">
        <v>14</v>
      </c>
      <c r="F1968">
        <v>18</v>
      </c>
      <c r="G1968" t="s">
        <v>21</v>
      </c>
      <c r="H1968">
        <v>9</v>
      </c>
      <c r="I1968">
        <v>50</v>
      </c>
      <c r="J1968">
        <v>15</v>
      </c>
      <c r="K1968" t="s">
        <v>16</v>
      </c>
      <c r="L1968" t="s">
        <v>17</v>
      </c>
      <c r="M1968">
        <f>IF(Table1[[#This Row],[ألغى الاشتراك]]="نعم",1,0)</f>
        <v>0</v>
      </c>
      <c r="N1968">
        <f>IF(Table1[[#This Row],[وسيلة الدفع]]="بطاقة",1,0)</f>
        <v>0</v>
      </c>
      <c r="O1968">
        <f>IF(Table1[[#This Row],[وسيلة الدفع]]="محفظة",1,0)</f>
        <v>1</v>
      </c>
      <c r="P1968">
        <f>IF(Table1[[#This Row],[وسيلة الدفع]]="تحويل",1,0)</f>
        <v>0</v>
      </c>
      <c r="Q1968">
        <f>IF(Table1[[#This Row],[حضر التهيئة]]="نعم",1,0)</f>
        <v>1</v>
      </c>
      <c r="R1968">
        <f>IF(Table1[[#This Row],[دورة الفوترة]]="شهري",1,0)</f>
        <v>1</v>
      </c>
    </row>
    <row r="1969" spans="1:18" x14ac:dyDescent="0.25">
      <c r="A1969" t="s">
        <v>1989</v>
      </c>
      <c r="B1969" s="1">
        <v>45627</v>
      </c>
      <c r="C1969" t="s">
        <v>19</v>
      </c>
      <c r="D1969">
        <v>189</v>
      </c>
      <c r="E1969" t="s">
        <v>14</v>
      </c>
      <c r="F1969">
        <v>24</v>
      </c>
      <c r="G1969" t="s">
        <v>23</v>
      </c>
      <c r="H1969">
        <v>2</v>
      </c>
      <c r="I1969">
        <v>50</v>
      </c>
      <c r="J1969">
        <v>0</v>
      </c>
      <c r="K1969" t="s">
        <v>17</v>
      </c>
      <c r="L1969" t="s">
        <v>17</v>
      </c>
      <c r="M1969">
        <f>IF(Table1[[#This Row],[ألغى الاشتراك]]="نعم",1,0)</f>
        <v>0</v>
      </c>
      <c r="N1969">
        <f>IF(Table1[[#This Row],[وسيلة الدفع]]="بطاقة",1,0)</f>
        <v>0</v>
      </c>
      <c r="O1969">
        <f>IF(Table1[[#This Row],[وسيلة الدفع]]="محفظة",1,0)</f>
        <v>0</v>
      </c>
      <c r="P1969">
        <f>IF(Table1[[#This Row],[وسيلة الدفع]]="تحويل",1,0)</f>
        <v>1</v>
      </c>
      <c r="Q1969">
        <f>IF(Table1[[#This Row],[حضر التهيئة]]="نعم",1,0)</f>
        <v>0</v>
      </c>
      <c r="R1969">
        <f>IF(Table1[[#This Row],[دورة الفوترة]]="شهري",1,0)</f>
        <v>1</v>
      </c>
    </row>
    <row r="1970" spans="1:18" x14ac:dyDescent="0.25">
      <c r="A1970" t="s">
        <v>1990</v>
      </c>
      <c r="B1970" s="1">
        <v>45791</v>
      </c>
      <c r="C1970" t="s">
        <v>13</v>
      </c>
      <c r="D1970">
        <v>89</v>
      </c>
      <c r="E1970" t="s">
        <v>20</v>
      </c>
      <c r="F1970">
        <v>7</v>
      </c>
      <c r="G1970" t="s">
        <v>23</v>
      </c>
      <c r="H1970">
        <v>1</v>
      </c>
      <c r="I1970">
        <v>49</v>
      </c>
      <c r="J1970">
        <v>0</v>
      </c>
      <c r="K1970" t="s">
        <v>17</v>
      </c>
      <c r="L1970" t="s">
        <v>17</v>
      </c>
      <c r="M1970">
        <f>IF(Table1[[#This Row],[ألغى الاشتراك]]="نعم",1,0)</f>
        <v>0</v>
      </c>
      <c r="N1970">
        <f>IF(Table1[[#This Row],[وسيلة الدفع]]="بطاقة",1,0)</f>
        <v>0</v>
      </c>
      <c r="O1970">
        <f>IF(Table1[[#This Row],[وسيلة الدفع]]="محفظة",1,0)</f>
        <v>0</v>
      </c>
      <c r="P1970">
        <f>IF(Table1[[#This Row],[وسيلة الدفع]]="تحويل",1,0)</f>
        <v>1</v>
      </c>
      <c r="Q1970">
        <f>IF(Table1[[#This Row],[حضر التهيئة]]="نعم",1,0)</f>
        <v>0</v>
      </c>
      <c r="R1970">
        <f>IF(Table1[[#This Row],[دورة الفوترة]]="شهري",1,0)</f>
        <v>0</v>
      </c>
    </row>
    <row r="1971" spans="1:18" x14ac:dyDescent="0.25">
      <c r="A1971" t="s">
        <v>1991</v>
      </c>
      <c r="B1971" s="1">
        <v>45989</v>
      </c>
      <c r="C1971" t="s">
        <v>13</v>
      </c>
      <c r="D1971">
        <v>89</v>
      </c>
      <c r="E1971" t="s">
        <v>20</v>
      </c>
      <c r="F1971">
        <v>26</v>
      </c>
      <c r="G1971" t="s">
        <v>21</v>
      </c>
      <c r="H1971">
        <v>0</v>
      </c>
      <c r="I1971">
        <v>54</v>
      </c>
      <c r="J1971">
        <v>15</v>
      </c>
      <c r="K1971" t="s">
        <v>16</v>
      </c>
      <c r="L1971" t="s">
        <v>17</v>
      </c>
      <c r="M1971">
        <f>IF(Table1[[#This Row],[ألغى الاشتراك]]="نعم",1,0)</f>
        <v>0</v>
      </c>
      <c r="N1971">
        <f>IF(Table1[[#This Row],[وسيلة الدفع]]="بطاقة",1,0)</f>
        <v>0</v>
      </c>
      <c r="O1971">
        <f>IF(Table1[[#This Row],[وسيلة الدفع]]="محفظة",1,0)</f>
        <v>1</v>
      </c>
      <c r="P1971">
        <f>IF(Table1[[#This Row],[وسيلة الدفع]]="تحويل",1,0)</f>
        <v>0</v>
      </c>
      <c r="Q1971">
        <f>IF(Table1[[#This Row],[حضر التهيئة]]="نعم",1,0)</f>
        <v>1</v>
      </c>
      <c r="R1971">
        <f>IF(Table1[[#This Row],[دورة الفوترة]]="شهري",1,0)</f>
        <v>0</v>
      </c>
    </row>
    <row r="1972" spans="1:18" x14ac:dyDescent="0.25">
      <c r="A1972" t="s">
        <v>1992</v>
      </c>
      <c r="B1972" s="1">
        <v>45521</v>
      </c>
      <c r="C1972" t="s">
        <v>19</v>
      </c>
      <c r="D1972">
        <v>189</v>
      </c>
      <c r="E1972" t="s">
        <v>20</v>
      </c>
      <c r="F1972">
        <v>2</v>
      </c>
      <c r="G1972" t="s">
        <v>21</v>
      </c>
      <c r="H1972">
        <v>1</v>
      </c>
      <c r="I1972">
        <v>28</v>
      </c>
      <c r="J1972">
        <v>0</v>
      </c>
      <c r="K1972" t="s">
        <v>16</v>
      </c>
      <c r="L1972" t="s">
        <v>17</v>
      </c>
      <c r="M1972">
        <f>IF(Table1[[#This Row],[ألغى الاشتراك]]="نعم",1,0)</f>
        <v>0</v>
      </c>
      <c r="N1972">
        <f>IF(Table1[[#This Row],[وسيلة الدفع]]="بطاقة",1,0)</f>
        <v>0</v>
      </c>
      <c r="O1972">
        <f>IF(Table1[[#This Row],[وسيلة الدفع]]="محفظة",1,0)</f>
        <v>1</v>
      </c>
      <c r="P1972">
        <f>IF(Table1[[#This Row],[وسيلة الدفع]]="تحويل",1,0)</f>
        <v>0</v>
      </c>
      <c r="Q1972">
        <f>IF(Table1[[#This Row],[حضر التهيئة]]="نعم",1,0)</f>
        <v>1</v>
      </c>
      <c r="R1972">
        <f>IF(Table1[[#This Row],[دورة الفوترة]]="شهري",1,0)</f>
        <v>0</v>
      </c>
    </row>
    <row r="1973" spans="1:18" x14ac:dyDescent="0.25">
      <c r="A1973" t="s">
        <v>1993</v>
      </c>
      <c r="B1973" s="1">
        <v>45779</v>
      </c>
      <c r="C1973" t="s">
        <v>28</v>
      </c>
      <c r="D1973">
        <v>39</v>
      </c>
      <c r="E1973" t="s">
        <v>14</v>
      </c>
      <c r="F1973">
        <v>7</v>
      </c>
      <c r="G1973" t="s">
        <v>21</v>
      </c>
      <c r="H1973">
        <v>2</v>
      </c>
      <c r="I1973">
        <v>51</v>
      </c>
      <c r="J1973">
        <v>0</v>
      </c>
      <c r="K1973" t="s">
        <v>17</v>
      </c>
      <c r="L1973" t="s">
        <v>17</v>
      </c>
      <c r="M1973">
        <f>IF(Table1[[#This Row],[ألغى الاشتراك]]="نعم",1,0)</f>
        <v>0</v>
      </c>
      <c r="N1973">
        <f>IF(Table1[[#This Row],[وسيلة الدفع]]="بطاقة",1,0)</f>
        <v>0</v>
      </c>
      <c r="O1973">
        <f>IF(Table1[[#This Row],[وسيلة الدفع]]="محفظة",1,0)</f>
        <v>1</v>
      </c>
      <c r="P1973">
        <f>IF(Table1[[#This Row],[وسيلة الدفع]]="تحويل",1,0)</f>
        <v>0</v>
      </c>
      <c r="Q1973">
        <f>IF(Table1[[#This Row],[حضر التهيئة]]="نعم",1,0)</f>
        <v>0</v>
      </c>
      <c r="R1973">
        <f>IF(Table1[[#This Row],[دورة الفوترة]]="شهري",1,0)</f>
        <v>1</v>
      </c>
    </row>
    <row r="1974" spans="1:18" x14ac:dyDescent="0.25">
      <c r="A1974" t="s">
        <v>1994</v>
      </c>
      <c r="B1974" s="1">
        <v>45470</v>
      </c>
      <c r="C1974" t="s">
        <v>19</v>
      </c>
      <c r="D1974">
        <v>189</v>
      </c>
      <c r="E1974" t="s">
        <v>14</v>
      </c>
      <c r="F1974">
        <v>10</v>
      </c>
      <c r="G1974" t="s">
        <v>23</v>
      </c>
      <c r="H1974">
        <v>0</v>
      </c>
      <c r="I1974">
        <v>32</v>
      </c>
      <c r="J1974">
        <v>0</v>
      </c>
      <c r="K1974" t="s">
        <v>16</v>
      </c>
      <c r="L1974" t="s">
        <v>17</v>
      </c>
      <c r="M1974">
        <f>IF(Table1[[#This Row],[ألغى الاشتراك]]="نعم",1,0)</f>
        <v>0</v>
      </c>
      <c r="N1974">
        <f>IF(Table1[[#This Row],[وسيلة الدفع]]="بطاقة",1,0)</f>
        <v>0</v>
      </c>
      <c r="O1974">
        <f>IF(Table1[[#This Row],[وسيلة الدفع]]="محفظة",1,0)</f>
        <v>0</v>
      </c>
      <c r="P1974">
        <f>IF(Table1[[#This Row],[وسيلة الدفع]]="تحويل",1,0)</f>
        <v>1</v>
      </c>
      <c r="Q1974">
        <f>IF(Table1[[#This Row],[حضر التهيئة]]="نعم",1,0)</f>
        <v>1</v>
      </c>
      <c r="R1974">
        <f>IF(Table1[[#This Row],[دورة الفوترة]]="شهري",1,0)</f>
        <v>1</v>
      </c>
    </row>
    <row r="1975" spans="1:18" x14ac:dyDescent="0.25">
      <c r="A1975" t="s">
        <v>1995</v>
      </c>
      <c r="B1975" s="1">
        <v>45977</v>
      </c>
      <c r="C1975" t="s">
        <v>28</v>
      </c>
      <c r="D1975">
        <v>39</v>
      </c>
      <c r="E1975" t="s">
        <v>20</v>
      </c>
      <c r="F1975">
        <v>29</v>
      </c>
      <c r="G1975" t="s">
        <v>15</v>
      </c>
      <c r="H1975">
        <v>9</v>
      </c>
      <c r="I1975">
        <v>33</v>
      </c>
      <c r="J1975">
        <v>0</v>
      </c>
      <c r="K1975" t="s">
        <v>16</v>
      </c>
      <c r="L1975" t="s">
        <v>17</v>
      </c>
      <c r="M1975">
        <f>IF(Table1[[#This Row],[ألغى الاشتراك]]="نعم",1,0)</f>
        <v>0</v>
      </c>
      <c r="N1975">
        <f>IF(Table1[[#This Row],[وسيلة الدفع]]="بطاقة",1,0)</f>
        <v>1</v>
      </c>
      <c r="O1975">
        <f>IF(Table1[[#This Row],[وسيلة الدفع]]="محفظة",1,0)</f>
        <v>0</v>
      </c>
      <c r="P1975">
        <f>IF(Table1[[#This Row],[وسيلة الدفع]]="تحويل",1,0)</f>
        <v>0</v>
      </c>
      <c r="Q1975">
        <f>IF(Table1[[#This Row],[حضر التهيئة]]="نعم",1,0)</f>
        <v>1</v>
      </c>
      <c r="R1975">
        <f>IF(Table1[[#This Row],[دورة الفوترة]]="شهري",1,0)</f>
        <v>0</v>
      </c>
    </row>
    <row r="1976" spans="1:18" x14ac:dyDescent="0.25">
      <c r="A1976" t="s">
        <v>1996</v>
      </c>
      <c r="B1976" s="1">
        <v>45391</v>
      </c>
      <c r="C1976" t="s">
        <v>19</v>
      </c>
      <c r="D1976">
        <v>189</v>
      </c>
      <c r="E1976" t="s">
        <v>20</v>
      </c>
      <c r="F1976">
        <v>24</v>
      </c>
      <c r="G1976" t="s">
        <v>15</v>
      </c>
      <c r="H1976">
        <v>10</v>
      </c>
      <c r="I1976">
        <v>8</v>
      </c>
      <c r="J1976">
        <v>0</v>
      </c>
      <c r="K1976" t="s">
        <v>17</v>
      </c>
      <c r="L1976" t="s">
        <v>17</v>
      </c>
      <c r="M1976">
        <f>IF(Table1[[#This Row],[ألغى الاشتراك]]="نعم",1,0)</f>
        <v>0</v>
      </c>
      <c r="N1976">
        <f>IF(Table1[[#This Row],[وسيلة الدفع]]="بطاقة",1,0)</f>
        <v>1</v>
      </c>
      <c r="O1976">
        <f>IF(Table1[[#This Row],[وسيلة الدفع]]="محفظة",1,0)</f>
        <v>0</v>
      </c>
      <c r="P1976">
        <f>IF(Table1[[#This Row],[وسيلة الدفع]]="تحويل",1,0)</f>
        <v>0</v>
      </c>
      <c r="Q1976">
        <f>IF(Table1[[#This Row],[حضر التهيئة]]="نعم",1,0)</f>
        <v>0</v>
      </c>
      <c r="R1976">
        <f>IF(Table1[[#This Row],[دورة الفوترة]]="شهري",1,0)</f>
        <v>0</v>
      </c>
    </row>
    <row r="1977" spans="1:18" x14ac:dyDescent="0.25">
      <c r="A1977" t="s">
        <v>1997</v>
      </c>
      <c r="B1977" s="1">
        <v>45918</v>
      </c>
      <c r="C1977" t="s">
        <v>13</v>
      </c>
      <c r="D1977">
        <v>89</v>
      </c>
      <c r="E1977" t="s">
        <v>14</v>
      </c>
      <c r="F1977">
        <v>5</v>
      </c>
      <c r="G1977" t="s">
        <v>21</v>
      </c>
      <c r="H1977">
        <v>2</v>
      </c>
      <c r="I1977">
        <v>9</v>
      </c>
      <c r="J1977">
        <v>0</v>
      </c>
      <c r="K1977" t="s">
        <v>17</v>
      </c>
      <c r="L1977" t="s">
        <v>16</v>
      </c>
      <c r="M1977">
        <f>IF(Table1[[#This Row],[ألغى الاشتراك]]="نعم",1,0)</f>
        <v>1</v>
      </c>
      <c r="N1977">
        <f>IF(Table1[[#This Row],[وسيلة الدفع]]="بطاقة",1,0)</f>
        <v>0</v>
      </c>
      <c r="O1977">
        <f>IF(Table1[[#This Row],[وسيلة الدفع]]="محفظة",1,0)</f>
        <v>1</v>
      </c>
      <c r="P1977">
        <f>IF(Table1[[#This Row],[وسيلة الدفع]]="تحويل",1,0)</f>
        <v>0</v>
      </c>
      <c r="Q1977">
        <f>IF(Table1[[#This Row],[حضر التهيئة]]="نعم",1,0)</f>
        <v>0</v>
      </c>
      <c r="R1977">
        <f>IF(Table1[[#This Row],[دورة الفوترة]]="شهري",1,0)</f>
        <v>1</v>
      </c>
    </row>
    <row r="1978" spans="1:18" x14ac:dyDescent="0.25">
      <c r="A1978" t="s">
        <v>1998</v>
      </c>
      <c r="B1978" s="1">
        <v>45580</v>
      </c>
      <c r="C1978" t="s">
        <v>19</v>
      </c>
      <c r="D1978">
        <v>189</v>
      </c>
      <c r="E1978" t="s">
        <v>14</v>
      </c>
      <c r="F1978">
        <v>26</v>
      </c>
      <c r="G1978" t="s">
        <v>15</v>
      </c>
      <c r="H1978">
        <v>3</v>
      </c>
      <c r="I1978">
        <v>38</v>
      </c>
      <c r="J1978">
        <v>0</v>
      </c>
      <c r="K1978" t="s">
        <v>17</v>
      </c>
      <c r="L1978" t="s">
        <v>17</v>
      </c>
      <c r="M1978">
        <f>IF(Table1[[#This Row],[ألغى الاشتراك]]="نعم",1,0)</f>
        <v>0</v>
      </c>
      <c r="N1978">
        <f>IF(Table1[[#This Row],[وسيلة الدفع]]="بطاقة",1,0)</f>
        <v>1</v>
      </c>
      <c r="O1978">
        <f>IF(Table1[[#This Row],[وسيلة الدفع]]="محفظة",1,0)</f>
        <v>0</v>
      </c>
      <c r="P1978">
        <f>IF(Table1[[#This Row],[وسيلة الدفع]]="تحويل",1,0)</f>
        <v>0</v>
      </c>
      <c r="Q1978">
        <f>IF(Table1[[#This Row],[حضر التهيئة]]="نعم",1,0)</f>
        <v>0</v>
      </c>
      <c r="R1978">
        <f>IF(Table1[[#This Row],[دورة الفوترة]]="شهري",1,0)</f>
        <v>1</v>
      </c>
    </row>
    <row r="1979" spans="1:18" x14ac:dyDescent="0.25">
      <c r="A1979" t="s">
        <v>1999</v>
      </c>
      <c r="B1979" s="1">
        <v>45740</v>
      </c>
      <c r="C1979" t="s">
        <v>19</v>
      </c>
      <c r="D1979">
        <v>189</v>
      </c>
      <c r="E1979" t="s">
        <v>20</v>
      </c>
      <c r="F1979">
        <v>7</v>
      </c>
      <c r="G1979" t="s">
        <v>15</v>
      </c>
      <c r="H1979">
        <v>0</v>
      </c>
      <c r="I1979">
        <v>49</v>
      </c>
      <c r="J1979">
        <v>0</v>
      </c>
      <c r="K1979" t="s">
        <v>16</v>
      </c>
      <c r="L1979" t="s">
        <v>17</v>
      </c>
      <c r="M1979">
        <f>IF(Table1[[#This Row],[ألغى الاشتراك]]="نعم",1,0)</f>
        <v>0</v>
      </c>
      <c r="N1979">
        <f>IF(Table1[[#This Row],[وسيلة الدفع]]="بطاقة",1,0)</f>
        <v>1</v>
      </c>
      <c r="O1979">
        <f>IF(Table1[[#This Row],[وسيلة الدفع]]="محفظة",1,0)</f>
        <v>0</v>
      </c>
      <c r="P1979">
        <f>IF(Table1[[#This Row],[وسيلة الدفع]]="تحويل",1,0)</f>
        <v>0</v>
      </c>
      <c r="Q1979">
        <f>IF(Table1[[#This Row],[حضر التهيئة]]="نعم",1,0)</f>
        <v>1</v>
      </c>
      <c r="R1979">
        <f>IF(Table1[[#This Row],[دورة الفوترة]]="شهري",1,0)</f>
        <v>0</v>
      </c>
    </row>
    <row r="1980" spans="1:18" x14ac:dyDescent="0.25">
      <c r="A1980" t="s">
        <v>2000</v>
      </c>
      <c r="B1980" s="1">
        <v>45639</v>
      </c>
      <c r="C1980" t="s">
        <v>28</v>
      </c>
      <c r="D1980">
        <v>39</v>
      </c>
      <c r="E1980" t="s">
        <v>14</v>
      </c>
      <c r="F1980">
        <v>20</v>
      </c>
      <c r="G1980" t="s">
        <v>23</v>
      </c>
      <c r="H1980">
        <v>2</v>
      </c>
      <c r="I1980">
        <v>18</v>
      </c>
      <c r="J1980">
        <v>0</v>
      </c>
      <c r="K1980" t="s">
        <v>17</v>
      </c>
      <c r="L1980" t="s">
        <v>17</v>
      </c>
      <c r="M1980">
        <f>IF(Table1[[#This Row],[ألغى الاشتراك]]="نعم",1,0)</f>
        <v>0</v>
      </c>
      <c r="N1980">
        <f>IF(Table1[[#This Row],[وسيلة الدفع]]="بطاقة",1,0)</f>
        <v>0</v>
      </c>
      <c r="O1980">
        <f>IF(Table1[[#This Row],[وسيلة الدفع]]="محفظة",1,0)</f>
        <v>0</v>
      </c>
      <c r="P1980">
        <f>IF(Table1[[#This Row],[وسيلة الدفع]]="تحويل",1,0)</f>
        <v>1</v>
      </c>
      <c r="Q1980">
        <f>IF(Table1[[#This Row],[حضر التهيئة]]="نعم",1,0)</f>
        <v>0</v>
      </c>
      <c r="R1980">
        <f>IF(Table1[[#This Row],[دورة الفوترة]]="شهري",1,0)</f>
        <v>1</v>
      </c>
    </row>
    <row r="1981" spans="1:18" x14ac:dyDescent="0.25">
      <c r="A1981" t="s">
        <v>2001</v>
      </c>
      <c r="B1981" s="1">
        <v>45902</v>
      </c>
      <c r="C1981" t="s">
        <v>19</v>
      </c>
      <c r="D1981">
        <v>189</v>
      </c>
      <c r="E1981" t="s">
        <v>20</v>
      </c>
      <c r="F1981">
        <v>11</v>
      </c>
      <c r="G1981" t="s">
        <v>23</v>
      </c>
      <c r="H1981">
        <v>2</v>
      </c>
      <c r="I1981">
        <v>53</v>
      </c>
      <c r="J1981">
        <v>0</v>
      </c>
      <c r="K1981" t="s">
        <v>16</v>
      </c>
      <c r="L1981" t="s">
        <v>17</v>
      </c>
      <c r="M1981">
        <f>IF(Table1[[#This Row],[ألغى الاشتراك]]="نعم",1,0)</f>
        <v>0</v>
      </c>
      <c r="N1981">
        <f>IF(Table1[[#This Row],[وسيلة الدفع]]="بطاقة",1,0)</f>
        <v>0</v>
      </c>
      <c r="O1981">
        <f>IF(Table1[[#This Row],[وسيلة الدفع]]="محفظة",1,0)</f>
        <v>0</v>
      </c>
      <c r="P1981">
        <f>IF(Table1[[#This Row],[وسيلة الدفع]]="تحويل",1,0)</f>
        <v>1</v>
      </c>
      <c r="Q1981">
        <f>IF(Table1[[#This Row],[حضر التهيئة]]="نعم",1,0)</f>
        <v>1</v>
      </c>
      <c r="R1981">
        <f>IF(Table1[[#This Row],[دورة الفوترة]]="شهري",1,0)</f>
        <v>0</v>
      </c>
    </row>
    <row r="1982" spans="1:18" x14ac:dyDescent="0.25">
      <c r="A1982" t="s">
        <v>2002</v>
      </c>
      <c r="B1982" s="1">
        <v>45349</v>
      </c>
      <c r="C1982" t="s">
        <v>28</v>
      </c>
      <c r="D1982">
        <v>39</v>
      </c>
      <c r="E1982" t="s">
        <v>14</v>
      </c>
      <c r="F1982">
        <v>10</v>
      </c>
      <c r="G1982" t="s">
        <v>23</v>
      </c>
      <c r="H1982">
        <v>2</v>
      </c>
      <c r="I1982">
        <v>56</v>
      </c>
      <c r="J1982">
        <v>0</v>
      </c>
      <c r="K1982" t="s">
        <v>16</v>
      </c>
      <c r="L1982" t="s">
        <v>17</v>
      </c>
      <c r="M1982">
        <f>IF(Table1[[#This Row],[ألغى الاشتراك]]="نعم",1,0)</f>
        <v>0</v>
      </c>
      <c r="N1982">
        <f>IF(Table1[[#This Row],[وسيلة الدفع]]="بطاقة",1,0)</f>
        <v>0</v>
      </c>
      <c r="O1982">
        <f>IF(Table1[[#This Row],[وسيلة الدفع]]="محفظة",1,0)</f>
        <v>0</v>
      </c>
      <c r="P1982">
        <f>IF(Table1[[#This Row],[وسيلة الدفع]]="تحويل",1,0)</f>
        <v>1</v>
      </c>
      <c r="Q1982">
        <f>IF(Table1[[#This Row],[حضر التهيئة]]="نعم",1,0)</f>
        <v>1</v>
      </c>
      <c r="R1982">
        <f>IF(Table1[[#This Row],[دورة الفوترة]]="شهري",1,0)</f>
        <v>1</v>
      </c>
    </row>
    <row r="1983" spans="1:18" x14ac:dyDescent="0.25">
      <c r="A1983" t="s">
        <v>2003</v>
      </c>
      <c r="B1983" s="1">
        <v>45969</v>
      </c>
      <c r="C1983" t="s">
        <v>28</v>
      </c>
      <c r="D1983">
        <v>39</v>
      </c>
      <c r="E1983" t="s">
        <v>14</v>
      </c>
      <c r="F1983">
        <v>27</v>
      </c>
      <c r="G1983" t="s">
        <v>23</v>
      </c>
      <c r="H1983">
        <v>1</v>
      </c>
      <c r="I1983">
        <v>27</v>
      </c>
      <c r="J1983">
        <v>0</v>
      </c>
      <c r="K1983" t="s">
        <v>17</v>
      </c>
      <c r="L1983" t="s">
        <v>17</v>
      </c>
      <c r="M1983">
        <f>IF(Table1[[#This Row],[ألغى الاشتراك]]="نعم",1,0)</f>
        <v>0</v>
      </c>
      <c r="N1983">
        <f>IF(Table1[[#This Row],[وسيلة الدفع]]="بطاقة",1,0)</f>
        <v>0</v>
      </c>
      <c r="O1983">
        <f>IF(Table1[[#This Row],[وسيلة الدفع]]="محفظة",1,0)</f>
        <v>0</v>
      </c>
      <c r="P1983">
        <f>IF(Table1[[#This Row],[وسيلة الدفع]]="تحويل",1,0)</f>
        <v>1</v>
      </c>
      <c r="Q1983">
        <f>IF(Table1[[#This Row],[حضر التهيئة]]="نعم",1,0)</f>
        <v>0</v>
      </c>
      <c r="R1983">
        <f>IF(Table1[[#This Row],[دورة الفوترة]]="شهري",1,0)</f>
        <v>1</v>
      </c>
    </row>
    <row r="1984" spans="1:18" x14ac:dyDescent="0.25">
      <c r="A1984" t="s">
        <v>2004</v>
      </c>
      <c r="B1984" s="1">
        <v>45667</v>
      </c>
      <c r="C1984" t="s">
        <v>28</v>
      </c>
      <c r="D1984">
        <v>39</v>
      </c>
      <c r="E1984" t="s">
        <v>14</v>
      </c>
      <c r="F1984">
        <v>28</v>
      </c>
      <c r="G1984" t="s">
        <v>15</v>
      </c>
      <c r="H1984">
        <v>1</v>
      </c>
      <c r="I1984">
        <v>6</v>
      </c>
      <c r="J1984">
        <v>5</v>
      </c>
      <c r="K1984" t="s">
        <v>16</v>
      </c>
      <c r="L1984" t="s">
        <v>17</v>
      </c>
      <c r="M1984">
        <f>IF(Table1[[#This Row],[ألغى الاشتراك]]="نعم",1,0)</f>
        <v>0</v>
      </c>
      <c r="N1984">
        <f>IF(Table1[[#This Row],[وسيلة الدفع]]="بطاقة",1,0)</f>
        <v>1</v>
      </c>
      <c r="O1984">
        <f>IF(Table1[[#This Row],[وسيلة الدفع]]="محفظة",1,0)</f>
        <v>0</v>
      </c>
      <c r="P1984">
        <f>IF(Table1[[#This Row],[وسيلة الدفع]]="تحويل",1,0)</f>
        <v>0</v>
      </c>
      <c r="Q1984">
        <f>IF(Table1[[#This Row],[حضر التهيئة]]="نعم",1,0)</f>
        <v>1</v>
      </c>
      <c r="R1984">
        <f>IF(Table1[[#This Row],[دورة الفوترة]]="شهري",1,0)</f>
        <v>1</v>
      </c>
    </row>
    <row r="1985" spans="1:18" x14ac:dyDescent="0.25">
      <c r="A1985" t="s">
        <v>2005</v>
      </c>
      <c r="B1985" s="1">
        <v>45866</v>
      </c>
      <c r="C1985" t="s">
        <v>13</v>
      </c>
      <c r="D1985">
        <v>89</v>
      </c>
      <c r="E1985" t="s">
        <v>14</v>
      </c>
      <c r="F1985">
        <v>30</v>
      </c>
      <c r="G1985" t="s">
        <v>15</v>
      </c>
      <c r="H1985">
        <v>1</v>
      </c>
      <c r="I1985">
        <v>22</v>
      </c>
      <c r="J1985">
        <v>15</v>
      </c>
      <c r="K1985" t="s">
        <v>17</v>
      </c>
      <c r="L1985" t="s">
        <v>17</v>
      </c>
      <c r="M1985">
        <f>IF(Table1[[#This Row],[ألغى الاشتراك]]="نعم",1,0)</f>
        <v>0</v>
      </c>
      <c r="N1985">
        <f>IF(Table1[[#This Row],[وسيلة الدفع]]="بطاقة",1,0)</f>
        <v>1</v>
      </c>
      <c r="O1985">
        <f>IF(Table1[[#This Row],[وسيلة الدفع]]="محفظة",1,0)</f>
        <v>0</v>
      </c>
      <c r="P1985">
        <f>IF(Table1[[#This Row],[وسيلة الدفع]]="تحويل",1,0)</f>
        <v>0</v>
      </c>
      <c r="Q1985">
        <f>IF(Table1[[#This Row],[حضر التهيئة]]="نعم",1,0)</f>
        <v>0</v>
      </c>
      <c r="R1985">
        <f>IF(Table1[[#This Row],[دورة الفوترة]]="شهري",1,0)</f>
        <v>1</v>
      </c>
    </row>
    <row r="1986" spans="1:18" x14ac:dyDescent="0.25">
      <c r="A1986" t="s">
        <v>2006</v>
      </c>
      <c r="B1986" s="1">
        <v>45403</v>
      </c>
      <c r="C1986" t="s">
        <v>19</v>
      </c>
      <c r="D1986">
        <v>189</v>
      </c>
      <c r="E1986" t="s">
        <v>20</v>
      </c>
      <c r="F1986">
        <v>4</v>
      </c>
      <c r="G1986" t="s">
        <v>15</v>
      </c>
      <c r="H1986">
        <v>1</v>
      </c>
      <c r="I1986">
        <v>16</v>
      </c>
      <c r="J1986">
        <v>0</v>
      </c>
      <c r="K1986" t="s">
        <v>17</v>
      </c>
      <c r="L1986" t="s">
        <v>17</v>
      </c>
      <c r="M1986">
        <f>IF(Table1[[#This Row],[ألغى الاشتراك]]="نعم",1,0)</f>
        <v>0</v>
      </c>
      <c r="N1986">
        <f>IF(Table1[[#This Row],[وسيلة الدفع]]="بطاقة",1,0)</f>
        <v>1</v>
      </c>
      <c r="O1986">
        <f>IF(Table1[[#This Row],[وسيلة الدفع]]="محفظة",1,0)</f>
        <v>0</v>
      </c>
      <c r="P1986">
        <f>IF(Table1[[#This Row],[وسيلة الدفع]]="تحويل",1,0)</f>
        <v>0</v>
      </c>
      <c r="Q1986">
        <f>IF(Table1[[#This Row],[حضر التهيئة]]="نعم",1,0)</f>
        <v>0</v>
      </c>
      <c r="R1986">
        <f>IF(Table1[[#This Row],[دورة الفوترة]]="شهري",1,0)</f>
        <v>0</v>
      </c>
    </row>
    <row r="1987" spans="1:18" x14ac:dyDescent="0.25">
      <c r="A1987" t="s">
        <v>2007</v>
      </c>
      <c r="B1987" s="1">
        <v>45341</v>
      </c>
      <c r="C1987" t="s">
        <v>13</v>
      </c>
      <c r="D1987">
        <v>89</v>
      </c>
      <c r="E1987" t="s">
        <v>14</v>
      </c>
      <c r="F1987">
        <v>29</v>
      </c>
      <c r="G1987" t="s">
        <v>21</v>
      </c>
      <c r="H1987">
        <v>0</v>
      </c>
      <c r="I1987">
        <v>25</v>
      </c>
      <c r="J1987">
        <v>10</v>
      </c>
      <c r="K1987" t="s">
        <v>16</v>
      </c>
      <c r="L1987" t="s">
        <v>17</v>
      </c>
      <c r="M1987">
        <f>IF(Table1[[#This Row],[ألغى الاشتراك]]="نعم",1,0)</f>
        <v>0</v>
      </c>
      <c r="N1987">
        <f>IF(Table1[[#This Row],[وسيلة الدفع]]="بطاقة",1,0)</f>
        <v>0</v>
      </c>
      <c r="O1987">
        <f>IF(Table1[[#This Row],[وسيلة الدفع]]="محفظة",1,0)</f>
        <v>1</v>
      </c>
      <c r="P1987">
        <f>IF(Table1[[#This Row],[وسيلة الدفع]]="تحويل",1,0)</f>
        <v>0</v>
      </c>
      <c r="Q1987">
        <f>IF(Table1[[#This Row],[حضر التهيئة]]="نعم",1,0)</f>
        <v>1</v>
      </c>
      <c r="R1987">
        <f>IF(Table1[[#This Row],[دورة الفوترة]]="شهري",1,0)</f>
        <v>1</v>
      </c>
    </row>
    <row r="1988" spans="1:18" x14ac:dyDescent="0.25">
      <c r="A1988" t="s">
        <v>2008</v>
      </c>
      <c r="B1988" s="1">
        <v>45977</v>
      </c>
      <c r="C1988" t="s">
        <v>13</v>
      </c>
      <c r="D1988">
        <v>89</v>
      </c>
      <c r="E1988" t="s">
        <v>14</v>
      </c>
      <c r="F1988">
        <v>7</v>
      </c>
      <c r="G1988" t="s">
        <v>21</v>
      </c>
      <c r="H1988">
        <v>1</v>
      </c>
      <c r="I1988">
        <v>49</v>
      </c>
      <c r="J1988">
        <v>0</v>
      </c>
      <c r="K1988" t="s">
        <v>17</v>
      </c>
      <c r="L1988" t="s">
        <v>17</v>
      </c>
      <c r="M1988">
        <f>IF(Table1[[#This Row],[ألغى الاشتراك]]="نعم",1,0)</f>
        <v>0</v>
      </c>
      <c r="N1988">
        <f>IF(Table1[[#This Row],[وسيلة الدفع]]="بطاقة",1,0)</f>
        <v>0</v>
      </c>
      <c r="O1988">
        <f>IF(Table1[[#This Row],[وسيلة الدفع]]="محفظة",1,0)</f>
        <v>1</v>
      </c>
      <c r="P1988">
        <f>IF(Table1[[#This Row],[وسيلة الدفع]]="تحويل",1,0)</f>
        <v>0</v>
      </c>
      <c r="Q1988">
        <f>IF(Table1[[#This Row],[حضر التهيئة]]="نعم",1,0)</f>
        <v>0</v>
      </c>
      <c r="R1988">
        <f>IF(Table1[[#This Row],[دورة الفوترة]]="شهري",1,0)</f>
        <v>1</v>
      </c>
    </row>
    <row r="1989" spans="1:18" x14ac:dyDescent="0.25">
      <c r="A1989" t="s">
        <v>2009</v>
      </c>
      <c r="B1989" s="1">
        <v>45647</v>
      </c>
      <c r="C1989" t="s">
        <v>28</v>
      </c>
      <c r="D1989">
        <v>39</v>
      </c>
      <c r="E1989" t="s">
        <v>20</v>
      </c>
      <c r="F1989">
        <v>8</v>
      </c>
      <c r="G1989" t="s">
        <v>21</v>
      </c>
      <c r="H1989">
        <v>2</v>
      </c>
      <c r="I1989">
        <v>32</v>
      </c>
      <c r="J1989">
        <v>0</v>
      </c>
      <c r="K1989" t="s">
        <v>17</v>
      </c>
      <c r="L1989" t="s">
        <v>17</v>
      </c>
      <c r="M1989">
        <f>IF(Table1[[#This Row],[ألغى الاشتراك]]="نعم",1,0)</f>
        <v>0</v>
      </c>
      <c r="N1989">
        <f>IF(Table1[[#This Row],[وسيلة الدفع]]="بطاقة",1,0)</f>
        <v>0</v>
      </c>
      <c r="O1989">
        <f>IF(Table1[[#This Row],[وسيلة الدفع]]="محفظة",1,0)</f>
        <v>1</v>
      </c>
      <c r="P1989">
        <f>IF(Table1[[#This Row],[وسيلة الدفع]]="تحويل",1,0)</f>
        <v>0</v>
      </c>
      <c r="Q1989">
        <f>IF(Table1[[#This Row],[حضر التهيئة]]="نعم",1,0)</f>
        <v>0</v>
      </c>
      <c r="R1989">
        <f>IF(Table1[[#This Row],[دورة الفوترة]]="شهري",1,0)</f>
        <v>0</v>
      </c>
    </row>
    <row r="1990" spans="1:18" x14ac:dyDescent="0.25">
      <c r="A1990" t="s">
        <v>2010</v>
      </c>
      <c r="B1990" s="1">
        <v>45803</v>
      </c>
      <c r="C1990" t="s">
        <v>19</v>
      </c>
      <c r="D1990">
        <v>189</v>
      </c>
      <c r="E1990" t="s">
        <v>20</v>
      </c>
      <c r="F1990">
        <v>25</v>
      </c>
      <c r="G1990" t="s">
        <v>21</v>
      </c>
      <c r="H1990">
        <v>3</v>
      </c>
      <c r="I1990">
        <v>47</v>
      </c>
      <c r="J1990">
        <v>0</v>
      </c>
      <c r="K1990" t="s">
        <v>16</v>
      </c>
      <c r="L1990" t="s">
        <v>17</v>
      </c>
      <c r="M1990">
        <f>IF(Table1[[#This Row],[ألغى الاشتراك]]="نعم",1,0)</f>
        <v>0</v>
      </c>
      <c r="N1990">
        <f>IF(Table1[[#This Row],[وسيلة الدفع]]="بطاقة",1,0)</f>
        <v>0</v>
      </c>
      <c r="O1990">
        <f>IF(Table1[[#This Row],[وسيلة الدفع]]="محفظة",1,0)</f>
        <v>1</v>
      </c>
      <c r="P1990">
        <f>IF(Table1[[#This Row],[وسيلة الدفع]]="تحويل",1,0)</f>
        <v>0</v>
      </c>
      <c r="Q1990">
        <f>IF(Table1[[#This Row],[حضر التهيئة]]="نعم",1,0)</f>
        <v>1</v>
      </c>
      <c r="R1990">
        <f>IF(Table1[[#This Row],[دورة الفوترة]]="شهري",1,0)</f>
        <v>0</v>
      </c>
    </row>
    <row r="1991" spans="1:18" x14ac:dyDescent="0.25">
      <c r="A1991" t="s">
        <v>2011</v>
      </c>
      <c r="B1991" s="1">
        <v>45450</v>
      </c>
      <c r="C1991" t="s">
        <v>13</v>
      </c>
      <c r="D1991">
        <v>89</v>
      </c>
      <c r="E1991" t="s">
        <v>20</v>
      </c>
      <c r="F1991">
        <v>12</v>
      </c>
      <c r="G1991" t="s">
        <v>15</v>
      </c>
      <c r="H1991">
        <v>6</v>
      </c>
      <c r="I1991">
        <v>14</v>
      </c>
      <c r="J1991">
        <v>0</v>
      </c>
      <c r="K1991" t="s">
        <v>17</v>
      </c>
      <c r="L1991" t="s">
        <v>17</v>
      </c>
      <c r="M1991">
        <f>IF(Table1[[#This Row],[ألغى الاشتراك]]="نعم",1,0)</f>
        <v>0</v>
      </c>
      <c r="N1991">
        <f>IF(Table1[[#This Row],[وسيلة الدفع]]="بطاقة",1,0)</f>
        <v>1</v>
      </c>
      <c r="O1991">
        <f>IF(Table1[[#This Row],[وسيلة الدفع]]="محفظة",1,0)</f>
        <v>0</v>
      </c>
      <c r="P1991">
        <f>IF(Table1[[#This Row],[وسيلة الدفع]]="تحويل",1,0)</f>
        <v>0</v>
      </c>
      <c r="Q1991">
        <f>IF(Table1[[#This Row],[حضر التهيئة]]="نعم",1,0)</f>
        <v>0</v>
      </c>
      <c r="R1991">
        <f>IF(Table1[[#This Row],[دورة الفوترة]]="شهري",1,0)</f>
        <v>0</v>
      </c>
    </row>
    <row r="1992" spans="1:18" x14ac:dyDescent="0.25">
      <c r="A1992" t="s">
        <v>2012</v>
      </c>
      <c r="B1992" s="1">
        <v>45529</v>
      </c>
      <c r="C1992" t="s">
        <v>28</v>
      </c>
      <c r="D1992">
        <v>39</v>
      </c>
      <c r="E1992" t="s">
        <v>20</v>
      </c>
      <c r="F1992">
        <v>19</v>
      </c>
      <c r="G1992" t="s">
        <v>23</v>
      </c>
      <c r="H1992">
        <v>4</v>
      </c>
      <c r="I1992">
        <v>29</v>
      </c>
      <c r="J1992">
        <v>25</v>
      </c>
      <c r="K1992" t="s">
        <v>17</v>
      </c>
      <c r="L1992" t="s">
        <v>17</v>
      </c>
      <c r="M1992">
        <f>IF(Table1[[#This Row],[ألغى الاشتراك]]="نعم",1,0)</f>
        <v>0</v>
      </c>
      <c r="N1992">
        <f>IF(Table1[[#This Row],[وسيلة الدفع]]="بطاقة",1,0)</f>
        <v>0</v>
      </c>
      <c r="O1992">
        <f>IF(Table1[[#This Row],[وسيلة الدفع]]="محفظة",1,0)</f>
        <v>0</v>
      </c>
      <c r="P1992">
        <f>IF(Table1[[#This Row],[وسيلة الدفع]]="تحويل",1,0)</f>
        <v>1</v>
      </c>
      <c r="Q1992">
        <f>IF(Table1[[#This Row],[حضر التهيئة]]="نعم",1,0)</f>
        <v>0</v>
      </c>
      <c r="R1992">
        <f>IF(Table1[[#This Row],[دورة الفوترة]]="شهري",1,0)</f>
        <v>0</v>
      </c>
    </row>
    <row r="1993" spans="1:18" x14ac:dyDescent="0.25">
      <c r="A1993" t="s">
        <v>2013</v>
      </c>
      <c r="B1993" s="1">
        <v>45922</v>
      </c>
      <c r="C1993" t="s">
        <v>13</v>
      </c>
      <c r="D1993">
        <v>89</v>
      </c>
      <c r="E1993" t="s">
        <v>20</v>
      </c>
      <c r="F1993">
        <v>7</v>
      </c>
      <c r="G1993" t="s">
        <v>21</v>
      </c>
      <c r="H1993">
        <v>7</v>
      </c>
      <c r="I1993">
        <v>29</v>
      </c>
      <c r="J1993">
        <v>0</v>
      </c>
      <c r="K1993" t="s">
        <v>17</v>
      </c>
      <c r="L1993" t="s">
        <v>17</v>
      </c>
      <c r="M1993">
        <f>IF(Table1[[#This Row],[ألغى الاشتراك]]="نعم",1,0)</f>
        <v>0</v>
      </c>
      <c r="N1993">
        <f>IF(Table1[[#This Row],[وسيلة الدفع]]="بطاقة",1,0)</f>
        <v>0</v>
      </c>
      <c r="O1993">
        <f>IF(Table1[[#This Row],[وسيلة الدفع]]="محفظة",1,0)</f>
        <v>1</v>
      </c>
      <c r="P1993">
        <f>IF(Table1[[#This Row],[وسيلة الدفع]]="تحويل",1,0)</f>
        <v>0</v>
      </c>
      <c r="Q1993">
        <f>IF(Table1[[#This Row],[حضر التهيئة]]="نعم",1,0)</f>
        <v>0</v>
      </c>
      <c r="R1993">
        <f>IF(Table1[[#This Row],[دورة الفوترة]]="شهري",1,0)</f>
        <v>0</v>
      </c>
    </row>
    <row r="1994" spans="1:18" x14ac:dyDescent="0.25">
      <c r="A1994" t="s">
        <v>2014</v>
      </c>
      <c r="B1994" s="1">
        <v>45337</v>
      </c>
      <c r="C1994" t="s">
        <v>13</v>
      </c>
      <c r="D1994">
        <v>89</v>
      </c>
      <c r="E1994" t="s">
        <v>14</v>
      </c>
      <c r="F1994">
        <v>10</v>
      </c>
      <c r="G1994" t="s">
        <v>15</v>
      </c>
      <c r="H1994">
        <v>0</v>
      </c>
      <c r="I1994">
        <v>38</v>
      </c>
      <c r="J1994">
        <v>0</v>
      </c>
      <c r="K1994" t="s">
        <v>16</v>
      </c>
      <c r="L1994" t="s">
        <v>17</v>
      </c>
      <c r="M1994">
        <f>IF(Table1[[#This Row],[ألغى الاشتراك]]="نعم",1,0)</f>
        <v>0</v>
      </c>
      <c r="N1994">
        <f>IF(Table1[[#This Row],[وسيلة الدفع]]="بطاقة",1,0)</f>
        <v>1</v>
      </c>
      <c r="O1994">
        <f>IF(Table1[[#This Row],[وسيلة الدفع]]="محفظة",1,0)</f>
        <v>0</v>
      </c>
      <c r="P1994">
        <f>IF(Table1[[#This Row],[وسيلة الدفع]]="تحويل",1,0)</f>
        <v>0</v>
      </c>
      <c r="Q1994">
        <f>IF(Table1[[#This Row],[حضر التهيئة]]="نعم",1,0)</f>
        <v>1</v>
      </c>
      <c r="R1994">
        <f>IF(Table1[[#This Row],[دورة الفوترة]]="شهري",1,0)</f>
        <v>1</v>
      </c>
    </row>
    <row r="1995" spans="1:18" x14ac:dyDescent="0.25">
      <c r="A1995" t="s">
        <v>2015</v>
      </c>
      <c r="B1995" s="1">
        <v>45744</v>
      </c>
      <c r="C1995" t="s">
        <v>19</v>
      </c>
      <c r="D1995">
        <v>189</v>
      </c>
      <c r="E1995" t="s">
        <v>20</v>
      </c>
      <c r="F1995">
        <v>25</v>
      </c>
      <c r="G1995" t="s">
        <v>23</v>
      </c>
      <c r="H1995">
        <v>2</v>
      </c>
      <c r="I1995">
        <v>41</v>
      </c>
      <c r="J1995">
        <v>0</v>
      </c>
      <c r="K1995" t="s">
        <v>17</v>
      </c>
      <c r="L1995" t="s">
        <v>17</v>
      </c>
      <c r="M1995">
        <f>IF(Table1[[#This Row],[ألغى الاشتراك]]="نعم",1,0)</f>
        <v>0</v>
      </c>
      <c r="N1995">
        <f>IF(Table1[[#This Row],[وسيلة الدفع]]="بطاقة",1,0)</f>
        <v>0</v>
      </c>
      <c r="O1995">
        <f>IF(Table1[[#This Row],[وسيلة الدفع]]="محفظة",1,0)</f>
        <v>0</v>
      </c>
      <c r="P1995">
        <f>IF(Table1[[#This Row],[وسيلة الدفع]]="تحويل",1,0)</f>
        <v>1</v>
      </c>
      <c r="Q1995">
        <f>IF(Table1[[#This Row],[حضر التهيئة]]="نعم",1,0)</f>
        <v>0</v>
      </c>
      <c r="R1995">
        <f>IF(Table1[[#This Row],[دورة الفوترة]]="شهري",1,0)</f>
        <v>0</v>
      </c>
    </row>
    <row r="1996" spans="1:18" x14ac:dyDescent="0.25">
      <c r="A1996" t="s">
        <v>2016</v>
      </c>
      <c r="B1996" s="1">
        <v>45505</v>
      </c>
      <c r="C1996" t="s">
        <v>13</v>
      </c>
      <c r="D1996">
        <v>89</v>
      </c>
      <c r="E1996" t="s">
        <v>20</v>
      </c>
      <c r="F1996">
        <v>4</v>
      </c>
      <c r="G1996" t="s">
        <v>23</v>
      </c>
      <c r="H1996">
        <v>8</v>
      </c>
      <c r="I1996">
        <v>50</v>
      </c>
      <c r="J1996">
        <v>0</v>
      </c>
      <c r="K1996" t="s">
        <v>16</v>
      </c>
      <c r="L1996" t="s">
        <v>17</v>
      </c>
      <c r="M1996">
        <f>IF(Table1[[#This Row],[ألغى الاشتراك]]="نعم",1,0)</f>
        <v>0</v>
      </c>
      <c r="N1996">
        <f>IF(Table1[[#This Row],[وسيلة الدفع]]="بطاقة",1,0)</f>
        <v>0</v>
      </c>
      <c r="O1996">
        <f>IF(Table1[[#This Row],[وسيلة الدفع]]="محفظة",1,0)</f>
        <v>0</v>
      </c>
      <c r="P1996">
        <f>IF(Table1[[#This Row],[وسيلة الدفع]]="تحويل",1,0)</f>
        <v>1</v>
      </c>
      <c r="Q1996">
        <f>IF(Table1[[#This Row],[حضر التهيئة]]="نعم",1,0)</f>
        <v>1</v>
      </c>
      <c r="R1996">
        <f>IF(Table1[[#This Row],[دورة الفوترة]]="شهري",1,0)</f>
        <v>0</v>
      </c>
    </row>
    <row r="1997" spans="1:18" x14ac:dyDescent="0.25">
      <c r="A1997" t="s">
        <v>2017</v>
      </c>
      <c r="B1997" s="1">
        <v>45341</v>
      </c>
      <c r="C1997" t="s">
        <v>19</v>
      </c>
      <c r="D1997">
        <v>189</v>
      </c>
      <c r="E1997" t="s">
        <v>20</v>
      </c>
      <c r="F1997">
        <v>25</v>
      </c>
      <c r="G1997" t="s">
        <v>15</v>
      </c>
      <c r="H1997">
        <v>2</v>
      </c>
      <c r="I1997">
        <v>41</v>
      </c>
      <c r="J1997">
        <v>10</v>
      </c>
      <c r="K1997" t="s">
        <v>17</v>
      </c>
      <c r="L1997" t="s">
        <v>17</v>
      </c>
      <c r="M1997">
        <f>IF(Table1[[#This Row],[ألغى الاشتراك]]="نعم",1,0)</f>
        <v>0</v>
      </c>
      <c r="N1997">
        <f>IF(Table1[[#This Row],[وسيلة الدفع]]="بطاقة",1,0)</f>
        <v>1</v>
      </c>
      <c r="O1997">
        <f>IF(Table1[[#This Row],[وسيلة الدفع]]="محفظة",1,0)</f>
        <v>0</v>
      </c>
      <c r="P1997">
        <f>IF(Table1[[#This Row],[وسيلة الدفع]]="تحويل",1,0)</f>
        <v>0</v>
      </c>
      <c r="Q1997">
        <f>IF(Table1[[#This Row],[حضر التهيئة]]="نعم",1,0)</f>
        <v>0</v>
      </c>
      <c r="R1997">
        <f>IF(Table1[[#This Row],[دورة الفوترة]]="شهري",1,0)</f>
        <v>0</v>
      </c>
    </row>
    <row r="1998" spans="1:18" x14ac:dyDescent="0.25">
      <c r="A1998" t="s">
        <v>2018</v>
      </c>
      <c r="B1998" s="1">
        <v>45866</v>
      </c>
      <c r="C1998" t="s">
        <v>19</v>
      </c>
      <c r="D1998">
        <v>189</v>
      </c>
      <c r="E1998" t="s">
        <v>14</v>
      </c>
      <c r="F1998">
        <v>29</v>
      </c>
      <c r="G1998" t="s">
        <v>23</v>
      </c>
      <c r="H1998">
        <v>0</v>
      </c>
      <c r="I1998">
        <v>7</v>
      </c>
      <c r="J1998">
        <v>0</v>
      </c>
      <c r="K1998" t="s">
        <v>17</v>
      </c>
      <c r="L1998" t="s">
        <v>17</v>
      </c>
      <c r="M1998">
        <f>IF(Table1[[#This Row],[ألغى الاشتراك]]="نعم",1,0)</f>
        <v>0</v>
      </c>
      <c r="N1998">
        <f>IF(Table1[[#This Row],[وسيلة الدفع]]="بطاقة",1,0)</f>
        <v>0</v>
      </c>
      <c r="O1998">
        <f>IF(Table1[[#This Row],[وسيلة الدفع]]="محفظة",1,0)</f>
        <v>0</v>
      </c>
      <c r="P1998">
        <f>IF(Table1[[#This Row],[وسيلة الدفع]]="تحويل",1,0)</f>
        <v>1</v>
      </c>
      <c r="Q1998">
        <f>IF(Table1[[#This Row],[حضر التهيئة]]="نعم",1,0)</f>
        <v>0</v>
      </c>
      <c r="R1998">
        <f>IF(Table1[[#This Row],[دورة الفوترة]]="شهري",1,0)</f>
        <v>1</v>
      </c>
    </row>
    <row r="1999" spans="1:18" x14ac:dyDescent="0.25">
      <c r="A1999" t="s">
        <v>2019</v>
      </c>
      <c r="B1999" s="1">
        <v>45391</v>
      </c>
      <c r="C1999" t="s">
        <v>28</v>
      </c>
      <c r="D1999">
        <v>39</v>
      </c>
      <c r="E1999" t="s">
        <v>14</v>
      </c>
      <c r="F1999">
        <v>30</v>
      </c>
      <c r="G1999" t="s">
        <v>15</v>
      </c>
      <c r="H1999">
        <v>1</v>
      </c>
      <c r="I1999">
        <v>22</v>
      </c>
      <c r="J1999">
        <v>0</v>
      </c>
      <c r="K1999" t="s">
        <v>16</v>
      </c>
      <c r="L1999" t="s">
        <v>17</v>
      </c>
      <c r="M1999">
        <f>IF(Table1[[#This Row],[ألغى الاشتراك]]="نعم",1,0)</f>
        <v>0</v>
      </c>
      <c r="N1999">
        <f>IF(Table1[[#This Row],[وسيلة الدفع]]="بطاقة",1,0)</f>
        <v>1</v>
      </c>
      <c r="O1999">
        <f>IF(Table1[[#This Row],[وسيلة الدفع]]="محفظة",1,0)</f>
        <v>0</v>
      </c>
      <c r="P1999">
        <f>IF(Table1[[#This Row],[وسيلة الدفع]]="تحويل",1,0)</f>
        <v>0</v>
      </c>
      <c r="Q1999">
        <f>IF(Table1[[#This Row],[حضر التهيئة]]="نعم",1,0)</f>
        <v>1</v>
      </c>
      <c r="R1999">
        <f>IF(Table1[[#This Row],[دورة الفوترة]]="شهري",1,0)</f>
        <v>1</v>
      </c>
    </row>
    <row r="2000" spans="1:18" x14ac:dyDescent="0.25">
      <c r="A2000" t="s">
        <v>2020</v>
      </c>
      <c r="B2000" s="1">
        <v>45902</v>
      </c>
      <c r="C2000" t="s">
        <v>19</v>
      </c>
      <c r="D2000">
        <v>189</v>
      </c>
      <c r="E2000" t="s">
        <v>20</v>
      </c>
      <c r="F2000">
        <v>21</v>
      </c>
      <c r="G2000" t="s">
        <v>23</v>
      </c>
      <c r="H2000">
        <v>1</v>
      </c>
      <c r="I2000">
        <v>35</v>
      </c>
      <c r="J2000">
        <v>0</v>
      </c>
      <c r="K2000" t="s">
        <v>17</v>
      </c>
      <c r="L2000" t="s">
        <v>17</v>
      </c>
      <c r="M2000">
        <f>IF(Table1[[#This Row],[ألغى الاشتراك]]="نعم",1,0)</f>
        <v>0</v>
      </c>
      <c r="N2000">
        <f>IF(Table1[[#This Row],[وسيلة الدفع]]="بطاقة",1,0)</f>
        <v>0</v>
      </c>
      <c r="O2000">
        <f>IF(Table1[[#This Row],[وسيلة الدفع]]="محفظة",1,0)</f>
        <v>0</v>
      </c>
      <c r="P2000">
        <f>IF(Table1[[#This Row],[وسيلة الدفع]]="تحويل",1,0)</f>
        <v>1</v>
      </c>
      <c r="Q2000">
        <f>IF(Table1[[#This Row],[حضر التهيئة]]="نعم",1,0)</f>
        <v>0</v>
      </c>
      <c r="R2000">
        <f>IF(Table1[[#This Row],[دورة الفوترة]]="شهري",1,0)</f>
        <v>0</v>
      </c>
    </row>
    <row r="2001" spans="1:18" x14ac:dyDescent="0.25">
      <c r="A2001" t="s">
        <v>2021</v>
      </c>
      <c r="B2001" s="1">
        <v>45446</v>
      </c>
      <c r="C2001" t="s">
        <v>13</v>
      </c>
      <c r="D2001">
        <v>89</v>
      </c>
      <c r="E2001" t="s">
        <v>14</v>
      </c>
      <c r="F2001">
        <v>20</v>
      </c>
      <c r="G2001" t="s">
        <v>21</v>
      </c>
      <c r="H2001">
        <v>0</v>
      </c>
      <c r="I2001">
        <v>58</v>
      </c>
      <c r="J2001">
        <v>0</v>
      </c>
      <c r="K2001" t="s">
        <v>16</v>
      </c>
      <c r="L2001" t="s">
        <v>17</v>
      </c>
      <c r="M2001">
        <f>IF(Table1[[#This Row],[ألغى الاشتراك]]="نعم",1,0)</f>
        <v>0</v>
      </c>
      <c r="N2001">
        <f>IF(Table1[[#This Row],[وسيلة الدفع]]="بطاقة",1,0)</f>
        <v>0</v>
      </c>
      <c r="O2001">
        <f>IF(Table1[[#This Row],[وسيلة الدفع]]="محفظة",1,0)</f>
        <v>1</v>
      </c>
      <c r="P2001">
        <f>IF(Table1[[#This Row],[وسيلة الدفع]]="تحويل",1,0)</f>
        <v>0</v>
      </c>
      <c r="Q2001">
        <f>IF(Table1[[#This Row],[حضر التهيئة]]="نعم",1,0)</f>
        <v>1</v>
      </c>
      <c r="R2001">
        <f>IF(Table1[[#This Row],[دورة الفوترة]]="شهري",1,0)</f>
        <v>1</v>
      </c>
    </row>
    <row r="2002" spans="1:18" x14ac:dyDescent="0.25">
      <c r="A2002" t="s">
        <v>2022</v>
      </c>
      <c r="B2002" s="1">
        <v>45635</v>
      </c>
      <c r="C2002" t="s">
        <v>28</v>
      </c>
      <c r="D2002">
        <v>39</v>
      </c>
      <c r="E2002" t="s">
        <v>20</v>
      </c>
      <c r="F2002">
        <v>11</v>
      </c>
      <c r="G2002" t="s">
        <v>23</v>
      </c>
      <c r="H2002">
        <v>2</v>
      </c>
      <c r="I2002">
        <v>3</v>
      </c>
      <c r="J2002">
        <v>25</v>
      </c>
      <c r="K2002" t="s">
        <v>16</v>
      </c>
      <c r="L2002" t="s">
        <v>17</v>
      </c>
      <c r="M2002">
        <f>IF(Table1[[#This Row],[ألغى الاشتراك]]="نعم",1,0)</f>
        <v>0</v>
      </c>
      <c r="N2002">
        <f>IF(Table1[[#This Row],[وسيلة الدفع]]="بطاقة",1,0)</f>
        <v>0</v>
      </c>
      <c r="O2002">
        <f>IF(Table1[[#This Row],[وسيلة الدفع]]="محفظة",1,0)</f>
        <v>0</v>
      </c>
      <c r="P2002">
        <f>IF(Table1[[#This Row],[وسيلة الدفع]]="تحويل",1,0)</f>
        <v>1</v>
      </c>
      <c r="Q2002">
        <f>IF(Table1[[#This Row],[حضر التهيئة]]="نعم",1,0)</f>
        <v>1</v>
      </c>
      <c r="R2002">
        <f>IF(Table1[[#This Row],[دورة الفوترة]]="شهري",1,0)</f>
        <v>0</v>
      </c>
    </row>
    <row r="2003" spans="1:18" x14ac:dyDescent="0.25">
      <c r="A2003" t="s">
        <v>2023</v>
      </c>
      <c r="B2003" s="1">
        <v>45803</v>
      </c>
      <c r="C2003" t="s">
        <v>13</v>
      </c>
      <c r="D2003">
        <v>89</v>
      </c>
      <c r="E2003" t="s">
        <v>20</v>
      </c>
      <c r="F2003">
        <v>15</v>
      </c>
      <c r="G2003" t="s">
        <v>21</v>
      </c>
      <c r="H2003">
        <v>1</v>
      </c>
      <c r="I2003">
        <v>53</v>
      </c>
      <c r="J2003">
        <v>0</v>
      </c>
      <c r="K2003" t="s">
        <v>16</v>
      </c>
      <c r="L2003" t="s">
        <v>17</v>
      </c>
      <c r="M2003">
        <f>IF(Table1[[#This Row],[ألغى الاشتراك]]="نعم",1,0)</f>
        <v>0</v>
      </c>
      <c r="N2003">
        <f>IF(Table1[[#This Row],[وسيلة الدفع]]="بطاقة",1,0)</f>
        <v>0</v>
      </c>
      <c r="O2003">
        <f>IF(Table1[[#This Row],[وسيلة الدفع]]="محفظة",1,0)</f>
        <v>1</v>
      </c>
      <c r="P2003">
        <f>IF(Table1[[#This Row],[وسيلة الدفع]]="تحويل",1,0)</f>
        <v>0</v>
      </c>
      <c r="Q2003">
        <f>IF(Table1[[#This Row],[حضر التهيئة]]="نعم",1,0)</f>
        <v>1</v>
      </c>
      <c r="R2003">
        <f>IF(Table1[[#This Row],[دورة الفوترة]]="شهري",1,0)</f>
        <v>0</v>
      </c>
    </row>
    <row r="2004" spans="1:18" x14ac:dyDescent="0.25">
      <c r="A2004" t="s">
        <v>2024</v>
      </c>
      <c r="B2004" s="1">
        <v>45329</v>
      </c>
      <c r="C2004" t="s">
        <v>19</v>
      </c>
      <c r="D2004">
        <v>189</v>
      </c>
      <c r="E2004" t="s">
        <v>14</v>
      </c>
      <c r="F2004">
        <v>14</v>
      </c>
      <c r="G2004" t="s">
        <v>21</v>
      </c>
      <c r="H2004">
        <v>0</v>
      </c>
      <c r="I2004">
        <v>58</v>
      </c>
      <c r="J2004">
        <v>0</v>
      </c>
      <c r="K2004" t="s">
        <v>17</v>
      </c>
      <c r="L2004" t="s">
        <v>17</v>
      </c>
      <c r="M2004">
        <f>IF(Table1[[#This Row],[ألغى الاشتراك]]="نعم",1,0)</f>
        <v>0</v>
      </c>
      <c r="N2004">
        <f>IF(Table1[[#This Row],[وسيلة الدفع]]="بطاقة",1,0)</f>
        <v>0</v>
      </c>
      <c r="O2004">
        <f>IF(Table1[[#This Row],[وسيلة الدفع]]="محفظة",1,0)</f>
        <v>1</v>
      </c>
      <c r="P2004">
        <f>IF(Table1[[#This Row],[وسيلة الدفع]]="تحويل",1,0)</f>
        <v>0</v>
      </c>
      <c r="Q2004">
        <f>IF(Table1[[#This Row],[حضر التهيئة]]="نعم",1,0)</f>
        <v>0</v>
      </c>
      <c r="R2004">
        <f>IF(Table1[[#This Row],[دورة الفوترة]]="شهري",1,0)</f>
        <v>1</v>
      </c>
    </row>
    <row r="2005" spans="1:18" x14ac:dyDescent="0.25">
      <c r="A2005" t="s">
        <v>2025</v>
      </c>
      <c r="B2005" s="1">
        <v>45858</v>
      </c>
      <c r="C2005" t="s">
        <v>28</v>
      </c>
      <c r="D2005">
        <v>39</v>
      </c>
      <c r="E2005" t="s">
        <v>20</v>
      </c>
      <c r="F2005">
        <v>1</v>
      </c>
      <c r="G2005" t="s">
        <v>15</v>
      </c>
      <c r="H2005">
        <v>1</v>
      </c>
      <c r="I2005">
        <v>11</v>
      </c>
      <c r="J2005">
        <v>0</v>
      </c>
      <c r="K2005" t="s">
        <v>17</v>
      </c>
      <c r="L2005" t="s">
        <v>17</v>
      </c>
      <c r="M2005">
        <f>IF(Table1[[#This Row],[ألغى الاشتراك]]="نعم",1,0)</f>
        <v>0</v>
      </c>
      <c r="N2005">
        <f>IF(Table1[[#This Row],[وسيلة الدفع]]="بطاقة",1,0)</f>
        <v>1</v>
      </c>
      <c r="O2005">
        <f>IF(Table1[[#This Row],[وسيلة الدفع]]="محفظة",1,0)</f>
        <v>0</v>
      </c>
      <c r="P2005">
        <f>IF(Table1[[#This Row],[وسيلة الدفع]]="تحويل",1,0)</f>
        <v>0</v>
      </c>
      <c r="Q2005">
        <f>IF(Table1[[#This Row],[حضر التهيئة]]="نعم",1,0)</f>
        <v>0</v>
      </c>
      <c r="R2005">
        <f>IF(Table1[[#This Row],[دورة الفوترة]]="شهري",1,0)</f>
        <v>0</v>
      </c>
    </row>
    <row r="2006" spans="1:18" x14ac:dyDescent="0.25">
      <c r="A2006" t="s">
        <v>2026</v>
      </c>
      <c r="B2006" s="1">
        <v>45525</v>
      </c>
      <c r="C2006" t="s">
        <v>19</v>
      </c>
      <c r="D2006">
        <v>189</v>
      </c>
      <c r="E2006" t="s">
        <v>20</v>
      </c>
      <c r="F2006">
        <v>12</v>
      </c>
      <c r="G2006" t="s">
        <v>23</v>
      </c>
      <c r="H2006">
        <v>1</v>
      </c>
      <c r="I2006">
        <v>44</v>
      </c>
      <c r="J2006">
        <v>0</v>
      </c>
      <c r="K2006" t="s">
        <v>16</v>
      </c>
      <c r="L2006" t="s">
        <v>17</v>
      </c>
      <c r="M2006">
        <f>IF(Table1[[#This Row],[ألغى الاشتراك]]="نعم",1,0)</f>
        <v>0</v>
      </c>
      <c r="N2006">
        <f>IF(Table1[[#This Row],[وسيلة الدفع]]="بطاقة",1,0)</f>
        <v>0</v>
      </c>
      <c r="O2006">
        <f>IF(Table1[[#This Row],[وسيلة الدفع]]="محفظة",1,0)</f>
        <v>0</v>
      </c>
      <c r="P2006">
        <f>IF(Table1[[#This Row],[وسيلة الدفع]]="تحويل",1,0)</f>
        <v>1</v>
      </c>
      <c r="Q2006">
        <f>IF(Table1[[#This Row],[حضر التهيئة]]="نعم",1,0)</f>
        <v>1</v>
      </c>
      <c r="R2006">
        <f>IF(Table1[[#This Row],[دورة الفوترة]]="شهري",1,0)</f>
        <v>0</v>
      </c>
    </row>
    <row r="2007" spans="1:18" x14ac:dyDescent="0.25">
      <c r="A2007" t="s">
        <v>2027</v>
      </c>
      <c r="B2007" s="1">
        <v>45803</v>
      </c>
      <c r="C2007" t="s">
        <v>28</v>
      </c>
      <c r="D2007">
        <v>39</v>
      </c>
      <c r="E2007" t="s">
        <v>14</v>
      </c>
      <c r="F2007">
        <v>5</v>
      </c>
      <c r="G2007" t="s">
        <v>23</v>
      </c>
      <c r="H2007">
        <v>9</v>
      </c>
      <c r="I2007">
        <v>47</v>
      </c>
      <c r="J2007">
        <v>0</v>
      </c>
      <c r="K2007" t="s">
        <v>17</v>
      </c>
      <c r="L2007" t="s">
        <v>17</v>
      </c>
      <c r="M2007">
        <f>IF(Table1[[#This Row],[ألغى الاشتراك]]="نعم",1,0)</f>
        <v>0</v>
      </c>
      <c r="N2007">
        <f>IF(Table1[[#This Row],[وسيلة الدفع]]="بطاقة",1,0)</f>
        <v>0</v>
      </c>
      <c r="O2007">
        <f>IF(Table1[[#This Row],[وسيلة الدفع]]="محفظة",1,0)</f>
        <v>0</v>
      </c>
      <c r="P2007">
        <f>IF(Table1[[#This Row],[وسيلة الدفع]]="تحويل",1,0)</f>
        <v>1</v>
      </c>
      <c r="Q2007">
        <f>IF(Table1[[#This Row],[حضر التهيئة]]="نعم",1,0)</f>
        <v>0</v>
      </c>
      <c r="R2007">
        <f>IF(Table1[[#This Row],[دورة الفوترة]]="شهري",1,0)</f>
        <v>1</v>
      </c>
    </row>
    <row r="2008" spans="1:18" x14ac:dyDescent="0.25">
      <c r="A2008" t="s">
        <v>2028</v>
      </c>
      <c r="B2008" s="1">
        <v>45580</v>
      </c>
      <c r="C2008" t="s">
        <v>28</v>
      </c>
      <c r="D2008">
        <v>39</v>
      </c>
      <c r="E2008" t="s">
        <v>14</v>
      </c>
      <c r="F2008">
        <v>28</v>
      </c>
      <c r="G2008" t="s">
        <v>15</v>
      </c>
      <c r="H2008">
        <v>4</v>
      </c>
      <c r="I2008">
        <v>8</v>
      </c>
      <c r="J2008">
        <v>0</v>
      </c>
      <c r="K2008" t="s">
        <v>16</v>
      </c>
      <c r="L2008" t="s">
        <v>17</v>
      </c>
      <c r="M2008">
        <f>IF(Table1[[#This Row],[ألغى الاشتراك]]="نعم",1,0)</f>
        <v>0</v>
      </c>
      <c r="N2008">
        <f>IF(Table1[[#This Row],[وسيلة الدفع]]="بطاقة",1,0)</f>
        <v>1</v>
      </c>
      <c r="O2008">
        <f>IF(Table1[[#This Row],[وسيلة الدفع]]="محفظة",1,0)</f>
        <v>0</v>
      </c>
      <c r="P2008">
        <f>IF(Table1[[#This Row],[وسيلة الدفع]]="تحويل",1,0)</f>
        <v>0</v>
      </c>
      <c r="Q2008">
        <f>IF(Table1[[#This Row],[حضر التهيئة]]="نعم",1,0)</f>
        <v>1</v>
      </c>
      <c r="R2008">
        <f>IF(Table1[[#This Row],[دورة الفوترة]]="شهري",1,0)</f>
        <v>1</v>
      </c>
    </row>
    <row r="2009" spans="1:18" x14ac:dyDescent="0.25">
      <c r="A2009" t="s">
        <v>2029</v>
      </c>
      <c r="B2009" s="1">
        <v>45989</v>
      </c>
      <c r="C2009" t="s">
        <v>13</v>
      </c>
      <c r="D2009">
        <v>89</v>
      </c>
      <c r="E2009" t="s">
        <v>20</v>
      </c>
      <c r="F2009">
        <v>1</v>
      </c>
      <c r="G2009" t="s">
        <v>23</v>
      </c>
      <c r="H2009">
        <v>0</v>
      </c>
      <c r="I2009">
        <v>45</v>
      </c>
      <c r="J2009">
        <v>0</v>
      </c>
      <c r="K2009" t="s">
        <v>16</v>
      </c>
      <c r="L2009" t="s">
        <v>17</v>
      </c>
      <c r="M2009">
        <f>IF(Table1[[#This Row],[ألغى الاشتراك]]="نعم",1,0)</f>
        <v>0</v>
      </c>
      <c r="N2009">
        <f>IF(Table1[[#This Row],[وسيلة الدفع]]="بطاقة",1,0)</f>
        <v>0</v>
      </c>
      <c r="O2009">
        <f>IF(Table1[[#This Row],[وسيلة الدفع]]="محفظة",1,0)</f>
        <v>0</v>
      </c>
      <c r="P2009">
        <f>IF(Table1[[#This Row],[وسيلة الدفع]]="تحويل",1,0)</f>
        <v>1</v>
      </c>
      <c r="Q2009">
        <f>IF(Table1[[#This Row],[حضر التهيئة]]="نعم",1,0)</f>
        <v>1</v>
      </c>
      <c r="R2009">
        <f>IF(Table1[[#This Row],[دورة الفوترة]]="شهري",1,0)</f>
        <v>0</v>
      </c>
    </row>
    <row r="2010" spans="1:18" x14ac:dyDescent="0.25">
      <c r="A2010" t="s">
        <v>2030</v>
      </c>
      <c r="B2010" s="1">
        <v>45387</v>
      </c>
      <c r="C2010" t="s">
        <v>13</v>
      </c>
      <c r="D2010">
        <v>89</v>
      </c>
      <c r="E2010" t="s">
        <v>14</v>
      </c>
      <c r="F2010">
        <v>14</v>
      </c>
      <c r="G2010" t="s">
        <v>23</v>
      </c>
      <c r="H2010">
        <v>2</v>
      </c>
      <c r="I2010">
        <v>4</v>
      </c>
      <c r="J2010">
        <v>0</v>
      </c>
      <c r="K2010" t="s">
        <v>16</v>
      </c>
      <c r="L2010" t="s">
        <v>17</v>
      </c>
      <c r="M2010">
        <f>IF(Table1[[#This Row],[ألغى الاشتراك]]="نعم",1,0)</f>
        <v>0</v>
      </c>
      <c r="N2010">
        <f>IF(Table1[[#This Row],[وسيلة الدفع]]="بطاقة",1,0)</f>
        <v>0</v>
      </c>
      <c r="O2010">
        <f>IF(Table1[[#This Row],[وسيلة الدفع]]="محفظة",1,0)</f>
        <v>0</v>
      </c>
      <c r="P2010">
        <f>IF(Table1[[#This Row],[وسيلة الدفع]]="تحويل",1,0)</f>
        <v>1</v>
      </c>
      <c r="Q2010">
        <f>IF(Table1[[#This Row],[حضر التهيئة]]="نعم",1,0)</f>
        <v>1</v>
      </c>
      <c r="R2010">
        <f>IF(Table1[[#This Row],[دورة الفوترة]]="شهري",1,0)</f>
        <v>1</v>
      </c>
    </row>
    <row r="2011" spans="1:18" x14ac:dyDescent="0.25">
      <c r="A2011" t="s">
        <v>2031</v>
      </c>
      <c r="B2011" s="1">
        <v>45568</v>
      </c>
      <c r="C2011" t="s">
        <v>13</v>
      </c>
      <c r="D2011">
        <v>89</v>
      </c>
      <c r="E2011" t="s">
        <v>14</v>
      </c>
      <c r="F2011">
        <v>7</v>
      </c>
      <c r="G2011" t="s">
        <v>15</v>
      </c>
      <c r="H2011">
        <v>2</v>
      </c>
      <c r="I2011">
        <v>37</v>
      </c>
      <c r="J2011">
        <v>10</v>
      </c>
      <c r="K2011" t="s">
        <v>17</v>
      </c>
      <c r="L2011" t="s">
        <v>17</v>
      </c>
      <c r="M2011">
        <f>IF(Table1[[#This Row],[ألغى الاشتراك]]="نعم",1,0)</f>
        <v>0</v>
      </c>
      <c r="N2011">
        <f>IF(Table1[[#This Row],[وسيلة الدفع]]="بطاقة",1,0)</f>
        <v>1</v>
      </c>
      <c r="O2011">
        <f>IF(Table1[[#This Row],[وسيلة الدفع]]="محفظة",1,0)</f>
        <v>0</v>
      </c>
      <c r="P2011">
        <f>IF(Table1[[#This Row],[وسيلة الدفع]]="تحويل",1,0)</f>
        <v>0</v>
      </c>
      <c r="Q2011">
        <f>IF(Table1[[#This Row],[حضر التهيئة]]="نعم",1,0)</f>
        <v>0</v>
      </c>
      <c r="R2011">
        <f>IF(Table1[[#This Row],[دورة الفوترة]]="شهري",1,0)</f>
        <v>1</v>
      </c>
    </row>
    <row r="2012" spans="1:18" x14ac:dyDescent="0.25">
      <c r="A2012" t="s">
        <v>2032</v>
      </c>
      <c r="B2012" s="1">
        <v>45736</v>
      </c>
      <c r="C2012" t="s">
        <v>13</v>
      </c>
      <c r="D2012">
        <v>89</v>
      </c>
      <c r="E2012" t="s">
        <v>14</v>
      </c>
      <c r="F2012">
        <v>21</v>
      </c>
      <c r="G2012" t="s">
        <v>23</v>
      </c>
      <c r="H2012">
        <v>0</v>
      </c>
      <c r="I2012">
        <v>53</v>
      </c>
      <c r="J2012">
        <v>0</v>
      </c>
      <c r="K2012" t="s">
        <v>16</v>
      </c>
      <c r="L2012" t="s">
        <v>17</v>
      </c>
      <c r="M2012">
        <f>IF(Table1[[#This Row],[ألغى الاشتراك]]="نعم",1,0)</f>
        <v>0</v>
      </c>
      <c r="N2012">
        <f>IF(Table1[[#This Row],[وسيلة الدفع]]="بطاقة",1,0)</f>
        <v>0</v>
      </c>
      <c r="O2012">
        <f>IF(Table1[[#This Row],[وسيلة الدفع]]="محفظة",1,0)</f>
        <v>0</v>
      </c>
      <c r="P2012">
        <f>IF(Table1[[#This Row],[وسيلة الدفع]]="تحويل",1,0)</f>
        <v>1</v>
      </c>
      <c r="Q2012">
        <f>IF(Table1[[#This Row],[حضر التهيئة]]="نعم",1,0)</f>
        <v>1</v>
      </c>
      <c r="R2012">
        <f>IF(Table1[[#This Row],[دورة الفوترة]]="شهري",1,0)</f>
        <v>1</v>
      </c>
    </row>
    <row r="2013" spans="1:18" x14ac:dyDescent="0.25">
      <c r="A2013" t="s">
        <v>2033</v>
      </c>
      <c r="B2013" s="1">
        <v>45791</v>
      </c>
      <c r="C2013" t="s">
        <v>19</v>
      </c>
      <c r="D2013">
        <v>189</v>
      </c>
      <c r="E2013" t="s">
        <v>14</v>
      </c>
      <c r="F2013">
        <v>8</v>
      </c>
      <c r="G2013" t="s">
        <v>23</v>
      </c>
      <c r="H2013">
        <v>2</v>
      </c>
      <c r="I2013">
        <v>36</v>
      </c>
      <c r="J2013">
        <v>5</v>
      </c>
      <c r="K2013" t="s">
        <v>17</v>
      </c>
      <c r="L2013" t="s">
        <v>17</v>
      </c>
      <c r="M2013">
        <f>IF(Table1[[#This Row],[ألغى الاشتراك]]="نعم",1,0)</f>
        <v>0</v>
      </c>
      <c r="N2013">
        <f>IF(Table1[[#This Row],[وسيلة الدفع]]="بطاقة",1,0)</f>
        <v>0</v>
      </c>
      <c r="O2013">
        <f>IF(Table1[[#This Row],[وسيلة الدفع]]="محفظة",1,0)</f>
        <v>0</v>
      </c>
      <c r="P2013">
        <f>IF(Table1[[#This Row],[وسيلة الدفع]]="تحويل",1,0)</f>
        <v>1</v>
      </c>
      <c r="Q2013">
        <f>IF(Table1[[#This Row],[حضر التهيئة]]="نعم",1,0)</f>
        <v>0</v>
      </c>
      <c r="R2013">
        <f>IF(Table1[[#This Row],[دورة الفوترة]]="شهري",1,0)</f>
        <v>1</v>
      </c>
    </row>
    <row r="2014" spans="1:18" x14ac:dyDescent="0.25">
      <c r="A2014" t="s">
        <v>2034</v>
      </c>
      <c r="B2014" s="1">
        <v>45568</v>
      </c>
      <c r="C2014" t="s">
        <v>19</v>
      </c>
      <c r="D2014">
        <v>189</v>
      </c>
      <c r="E2014" t="s">
        <v>14</v>
      </c>
      <c r="F2014">
        <v>6</v>
      </c>
      <c r="G2014" t="s">
        <v>15</v>
      </c>
      <c r="H2014">
        <v>2</v>
      </c>
      <c r="I2014">
        <v>36</v>
      </c>
      <c r="J2014">
        <v>0</v>
      </c>
      <c r="K2014" t="s">
        <v>16</v>
      </c>
      <c r="L2014" t="s">
        <v>17</v>
      </c>
      <c r="M2014">
        <f>IF(Table1[[#This Row],[ألغى الاشتراك]]="نعم",1,0)</f>
        <v>0</v>
      </c>
      <c r="N2014">
        <f>IF(Table1[[#This Row],[وسيلة الدفع]]="بطاقة",1,0)</f>
        <v>1</v>
      </c>
      <c r="O2014">
        <f>IF(Table1[[#This Row],[وسيلة الدفع]]="محفظة",1,0)</f>
        <v>0</v>
      </c>
      <c r="P2014">
        <f>IF(Table1[[#This Row],[وسيلة الدفع]]="تحويل",1,0)</f>
        <v>0</v>
      </c>
      <c r="Q2014">
        <f>IF(Table1[[#This Row],[حضر التهيئة]]="نعم",1,0)</f>
        <v>1</v>
      </c>
      <c r="R2014">
        <f>IF(Table1[[#This Row],[دورة الفوترة]]="شهري",1,0)</f>
        <v>1</v>
      </c>
    </row>
    <row r="2015" spans="1:18" x14ac:dyDescent="0.25">
      <c r="A2015" t="s">
        <v>2035</v>
      </c>
      <c r="B2015" s="1">
        <v>45732</v>
      </c>
      <c r="C2015" t="s">
        <v>28</v>
      </c>
      <c r="D2015">
        <v>39</v>
      </c>
      <c r="E2015" t="s">
        <v>14</v>
      </c>
      <c r="F2015">
        <v>21</v>
      </c>
      <c r="G2015" t="s">
        <v>21</v>
      </c>
      <c r="H2015">
        <v>1</v>
      </c>
      <c r="I2015">
        <v>3</v>
      </c>
      <c r="J2015">
        <v>0</v>
      </c>
      <c r="K2015" t="s">
        <v>16</v>
      </c>
      <c r="L2015" t="s">
        <v>17</v>
      </c>
      <c r="M2015">
        <f>IF(Table1[[#This Row],[ألغى الاشتراك]]="نعم",1,0)</f>
        <v>0</v>
      </c>
      <c r="N2015">
        <f>IF(Table1[[#This Row],[وسيلة الدفع]]="بطاقة",1,0)</f>
        <v>0</v>
      </c>
      <c r="O2015">
        <f>IF(Table1[[#This Row],[وسيلة الدفع]]="محفظة",1,0)</f>
        <v>1</v>
      </c>
      <c r="P2015">
        <f>IF(Table1[[#This Row],[وسيلة الدفع]]="تحويل",1,0)</f>
        <v>0</v>
      </c>
      <c r="Q2015">
        <f>IF(Table1[[#This Row],[حضر التهيئة]]="نعم",1,0)</f>
        <v>1</v>
      </c>
      <c r="R2015">
        <f>IF(Table1[[#This Row],[دورة الفوترة]]="شهري",1,0)</f>
        <v>1</v>
      </c>
    </row>
    <row r="2016" spans="1:18" x14ac:dyDescent="0.25">
      <c r="A2016" t="s">
        <v>2036</v>
      </c>
      <c r="B2016" s="1">
        <v>45643</v>
      </c>
      <c r="C2016" t="s">
        <v>13</v>
      </c>
      <c r="D2016">
        <v>89</v>
      </c>
      <c r="E2016" t="s">
        <v>20</v>
      </c>
      <c r="F2016">
        <v>26</v>
      </c>
      <c r="G2016" t="s">
        <v>21</v>
      </c>
      <c r="H2016">
        <v>1</v>
      </c>
      <c r="I2016">
        <v>20</v>
      </c>
      <c r="J2016">
        <v>0</v>
      </c>
      <c r="K2016" t="s">
        <v>16</v>
      </c>
      <c r="L2016" t="s">
        <v>17</v>
      </c>
      <c r="M2016">
        <f>IF(Table1[[#This Row],[ألغى الاشتراك]]="نعم",1,0)</f>
        <v>0</v>
      </c>
      <c r="N2016">
        <f>IF(Table1[[#This Row],[وسيلة الدفع]]="بطاقة",1,0)</f>
        <v>0</v>
      </c>
      <c r="O2016">
        <f>IF(Table1[[#This Row],[وسيلة الدفع]]="محفظة",1,0)</f>
        <v>1</v>
      </c>
      <c r="P2016">
        <f>IF(Table1[[#This Row],[وسيلة الدفع]]="تحويل",1,0)</f>
        <v>0</v>
      </c>
      <c r="Q2016">
        <f>IF(Table1[[#This Row],[حضر التهيئة]]="نعم",1,0)</f>
        <v>1</v>
      </c>
      <c r="R2016">
        <f>IF(Table1[[#This Row],[دورة الفوترة]]="شهري",1,0)</f>
        <v>0</v>
      </c>
    </row>
    <row r="2017" spans="1:18" x14ac:dyDescent="0.25">
      <c r="A2017" t="s">
        <v>2037</v>
      </c>
      <c r="B2017" s="1">
        <v>45446</v>
      </c>
      <c r="C2017" t="s">
        <v>13</v>
      </c>
      <c r="D2017">
        <v>89</v>
      </c>
      <c r="E2017" t="s">
        <v>14</v>
      </c>
      <c r="F2017">
        <v>21</v>
      </c>
      <c r="G2017" t="s">
        <v>15</v>
      </c>
      <c r="H2017">
        <v>11</v>
      </c>
      <c r="I2017">
        <v>21</v>
      </c>
      <c r="J2017">
        <v>10</v>
      </c>
      <c r="K2017" t="s">
        <v>16</v>
      </c>
      <c r="L2017" t="s">
        <v>17</v>
      </c>
      <c r="M2017">
        <f>IF(Table1[[#This Row],[ألغى الاشتراك]]="نعم",1,0)</f>
        <v>0</v>
      </c>
      <c r="N2017">
        <f>IF(Table1[[#This Row],[وسيلة الدفع]]="بطاقة",1,0)</f>
        <v>1</v>
      </c>
      <c r="O2017">
        <f>IF(Table1[[#This Row],[وسيلة الدفع]]="محفظة",1,0)</f>
        <v>0</v>
      </c>
      <c r="P2017">
        <f>IF(Table1[[#This Row],[وسيلة الدفع]]="تحويل",1,0)</f>
        <v>0</v>
      </c>
      <c r="Q2017">
        <f>IF(Table1[[#This Row],[حضر التهيئة]]="نعم",1,0)</f>
        <v>1</v>
      </c>
      <c r="R2017">
        <f>IF(Table1[[#This Row],[دورة الفوترة]]="شهري",1,0)</f>
        <v>1</v>
      </c>
    </row>
    <row r="2018" spans="1:18" x14ac:dyDescent="0.25">
      <c r="A2018" t="s">
        <v>2038</v>
      </c>
      <c r="B2018" s="1">
        <v>45866</v>
      </c>
      <c r="C2018" t="s">
        <v>19</v>
      </c>
      <c r="D2018">
        <v>189</v>
      </c>
      <c r="E2018" t="s">
        <v>20</v>
      </c>
      <c r="F2018">
        <v>27</v>
      </c>
      <c r="G2018" t="s">
        <v>21</v>
      </c>
      <c r="H2018">
        <v>2</v>
      </c>
      <c r="I2018">
        <v>27</v>
      </c>
      <c r="J2018">
        <v>0</v>
      </c>
      <c r="K2018" t="s">
        <v>17</v>
      </c>
      <c r="L2018" t="s">
        <v>17</v>
      </c>
      <c r="M2018">
        <f>IF(Table1[[#This Row],[ألغى الاشتراك]]="نعم",1,0)</f>
        <v>0</v>
      </c>
      <c r="N2018">
        <f>IF(Table1[[#This Row],[وسيلة الدفع]]="بطاقة",1,0)</f>
        <v>0</v>
      </c>
      <c r="O2018">
        <f>IF(Table1[[#This Row],[وسيلة الدفع]]="محفظة",1,0)</f>
        <v>1</v>
      </c>
      <c r="P2018">
        <f>IF(Table1[[#This Row],[وسيلة الدفع]]="تحويل",1,0)</f>
        <v>0</v>
      </c>
      <c r="Q2018">
        <f>IF(Table1[[#This Row],[حضر التهيئة]]="نعم",1,0)</f>
        <v>0</v>
      </c>
      <c r="R2018">
        <f>IF(Table1[[#This Row],[دورة الفوترة]]="شهري",1,0)</f>
        <v>0</v>
      </c>
    </row>
    <row r="2019" spans="1:18" x14ac:dyDescent="0.25">
      <c r="A2019" t="s">
        <v>2039</v>
      </c>
      <c r="B2019" s="1">
        <v>45391</v>
      </c>
      <c r="C2019" t="s">
        <v>19</v>
      </c>
      <c r="D2019">
        <v>189</v>
      </c>
      <c r="E2019" t="s">
        <v>14</v>
      </c>
      <c r="F2019">
        <v>22</v>
      </c>
      <c r="G2019" t="s">
        <v>21</v>
      </c>
      <c r="H2019">
        <v>4</v>
      </c>
      <c r="I2019">
        <v>52</v>
      </c>
      <c r="J2019">
        <v>0</v>
      </c>
      <c r="K2019" t="s">
        <v>16</v>
      </c>
      <c r="L2019" t="s">
        <v>17</v>
      </c>
      <c r="M2019">
        <f>IF(Table1[[#This Row],[ألغى الاشتراك]]="نعم",1,0)</f>
        <v>0</v>
      </c>
      <c r="N2019">
        <f>IF(Table1[[#This Row],[وسيلة الدفع]]="بطاقة",1,0)</f>
        <v>0</v>
      </c>
      <c r="O2019">
        <f>IF(Table1[[#This Row],[وسيلة الدفع]]="محفظة",1,0)</f>
        <v>1</v>
      </c>
      <c r="P2019">
        <f>IF(Table1[[#This Row],[وسيلة الدفع]]="تحويل",1,0)</f>
        <v>0</v>
      </c>
      <c r="Q2019">
        <f>IF(Table1[[#This Row],[حضر التهيئة]]="نعم",1,0)</f>
        <v>1</v>
      </c>
      <c r="R2019">
        <f>IF(Table1[[#This Row],[دورة الفوترة]]="شهري",1,0)</f>
        <v>1</v>
      </c>
    </row>
    <row r="2020" spans="1:18" x14ac:dyDescent="0.25">
      <c r="A2020" t="s">
        <v>2040</v>
      </c>
      <c r="B2020" s="1">
        <v>45787</v>
      </c>
      <c r="C2020" t="s">
        <v>13</v>
      </c>
      <c r="D2020">
        <v>89</v>
      </c>
      <c r="E2020" t="s">
        <v>20</v>
      </c>
      <c r="F2020">
        <v>11</v>
      </c>
      <c r="G2020" t="s">
        <v>23</v>
      </c>
      <c r="H2020">
        <v>1</v>
      </c>
      <c r="I2020">
        <v>15</v>
      </c>
      <c r="J2020">
        <v>0</v>
      </c>
      <c r="K2020" t="s">
        <v>16</v>
      </c>
      <c r="L2020" t="s">
        <v>17</v>
      </c>
      <c r="M2020">
        <f>IF(Table1[[#This Row],[ألغى الاشتراك]]="نعم",1,0)</f>
        <v>0</v>
      </c>
      <c r="N2020">
        <f>IF(Table1[[#This Row],[وسيلة الدفع]]="بطاقة",1,0)</f>
        <v>0</v>
      </c>
      <c r="O2020">
        <f>IF(Table1[[#This Row],[وسيلة الدفع]]="محفظة",1,0)</f>
        <v>0</v>
      </c>
      <c r="P2020">
        <f>IF(Table1[[#This Row],[وسيلة الدفع]]="تحويل",1,0)</f>
        <v>1</v>
      </c>
      <c r="Q2020">
        <f>IF(Table1[[#This Row],[حضر التهيئة]]="نعم",1,0)</f>
        <v>1</v>
      </c>
      <c r="R2020">
        <f>IF(Table1[[#This Row],[دورة الفوترة]]="شهري",1,0)</f>
        <v>0</v>
      </c>
    </row>
    <row r="2021" spans="1:18" x14ac:dyDescent="0.25">
      <c r="A2021" t="s">
        <v>2041</v>
      </c>
      <c r="B2021" s="1">
        <v>45345</v>
      </c>
      <c r="C2021" t="s">
        <v>19</v>
      </c>
      <c r="D2021">
        <v>189</v>
      </c>
      <c r="E2021" t="s">
        <v>20</v>
      </c>
      <c r="F2021">
        <v>16</v>
      </c>
      <c r="G2021" t="s">
        <v>23</v>
      </c>
      <c r="H2021">
        <v>5</v>
      </c>
      <c r="I2021">
        <v>58</v>
      </c>
      <c r="J2021">
        <v>0</v>
      </c>
      <c r="K2021" t="s">
        <v>16</v>
      </c>
      <c r="L2021" t="s">
        <v>17</v>
      </c>
      <c r="M2021">
        <f>IF(Table1[[#This Row],[ألغى الاشتراك]]="نعم",1,0)</f>
        <v>0</v>
      </c>
      <c r="N2021">
        <f>IF(Table1[[#This Row],[وسيلة الدفع]]="بطاقة",1,0)</f>
        <v>0</v>
      </c>
      <c r="O2021">
        <f>IF(Table1[[#This Row],[وسيلة الدفع]]="محفظة",1,0)</f>
        <v>0</v>
      </c>
      <c r="P2021">
        <f>IF(Table1[[#This Row],[وسيلة الدفع]]="تحويل",1,0)</f>
        <v>1</v>
      </c>
      <c r="Q2021">
        <f>IF(Table1[[#This Row],[حضر التهيئة]]="نعم",1,0)</f>
        <v>1</v>
      </c>
      <c r="R2021">
        <f>IF(Table1[[#This Row],[دورة الفوترة]]="شهري",1,0)</f>
        <v>0</v>
      </c>
    </row>
    <row r="2022" spans="1:18" x14ac:dyDescent="0.25">
      <c r="A2022" t="s">
        <v>2042</v>
      </c>
      <c r="B2022" s="1">
        <v>45732</v>
      </c>
      <c r="C2022" t="s">
        <v>19</v>
      </c>
      <c r="D2022">
        <v>189</v>
      </c>
      <c r="E2022" t="s">
        <v>14</v>
      </c>
      <c r="F2022">
        <v>11</v>
      </c>
      <c r="G2022" t="s">
        <v>21</v>
      </c>
      <c r="H2022">
        <v>2</v>
      </c>
      <c r="I2022">
        <v>13</v>
      </c>
      <c r="J2022">
        <v>0</v>
      </c>
      <c r="K2022" t="s">
        <v>17</v>
      </c>
      <c r="L2022" t="s">
        <v>17</v>
      </c>
      <c r="M2022">
        <f>IF(Table1[[#This Row],[ألغى الاشتراك]]="نعم",1,0)</f>
        <v>0</v>
      </c>
      <c r="N2022">
        <f>IF(Table1[[#This Row],[وسيلة الدفع]]="بطاقة",1,0)</f>
        <v>0</v>
      </c>
      <c r="O2022">
        <f>IF(Table1[[#This Row],[وسيلة الدفع]]="محفظة",1,0)</f>
        <v>1</v>
      </c>
      <c r="P2022">
        <f>IF(Table1[[#This Row],[وسيلة الدفع]]="تحويل",1,0)</f>
        <v>0</v>
      </c>
      <c r="Q2022">
        <f>IF(Table1[[#This Row],[حضر التهيئة]]="نعم",1,0)</f>
        <v>0</v>
      </c>
      <c r="R2022">
        <f>IF(Table1[[#This Row],[دورة الفوترة]]="شهري",1,0)</f>
        <v>1</v>
      </c>
    </row>
    <row r="2023" spans="1:18" x14ac:dyDescent="0.25">
      <c r="A2023" t="s">
        <v>2043</v>
      </c>
      <c r="B2023" s="1">
        <v>45509</v>
      </c>
      <c r="C2023" t="s">
        <v>13</v>
      </c>
      <c r="D2023">
        <v>89</v>
      </c>
      <c r="E2023" t="s">
        <v>14</v>
      </c>
      <c r="F2023">
        <v>30</v>
      </c>
      <c r="G2023" t="s">
        <v>23</v>
      </c>
      <c r="H2023">
        <v>1</v>
      </c>
      <c r="I2023">
        <v>46</v>
      </c>
      <c r="J2023">
        <v>0</v>
      </c>
      <c r="K2023" t="s">
        <v>16</v>
      </c>
      <c r="L2023" t="s">
        <v>17</v>
      </c>
      <c r="M2023">
        <f>IF(Table1[[#This Row],[ألغى الاشتراك]]="نعم",1,0)</f>
        <v>0</v>
      </c>
      <c r="N2023">
        <f>IF(Table1[[#This Row],[وسيلة الدفع]]="بطاقة",1,0)</f>
        <v>0</v>
      </c>
      <c r="O2023">
        <f>IF(Table1[[#This Row],[وسيلة الدفع]]="محفظة",1,0)</f>
        <v>0</v>
      </c>
      <c r="P2023">
        <f>IF(Table1[[#This Row],[وسيلة الدفع]]="تحويل",1,0)</f>
        <v>1</v>
      </c>
      <c r="Q2023">
        <f>IF(Table1[[#This Row],[حضر التهيئة]]="نعم",1,0)</f>
        <v>1</v>
      </c>
      <c r="R2023">
        <f>IF(Table1[[#This Row],[دورة الفوترة]]="شهري",1,0)</f>
        <v>1</v>
      </c>
    </row>
    <row r="2024" spans="1:18" x14ac:dyDescent="0.25">
      <c r="A2024" t="s">
        <v>2044</v>
      </c>
      <c r="B2024" s="1">
        <v>45799</v>
      </c>
      <c r="C2024" t="s">
        <v>19</v>
      </c>
      <c r="D2024">
        <v>189</v>
      </c>
      <c r="E2024" t="s">
        <v>14</v>
      </c>
      <c r="F2024">
        <v>11</v>
      </c>
      <c r="G2024" t="s">
        <v>21</v>
      </c>
      <c r="H2024">
        <v>3</v>
      </c>
      <c r="I2024">
        <v>11</v>
      </c>
      <c r="J2024">
        <v>0</v>
      </c>
      <c r="K2024" t="s">
        <v>16</v>
      </c>
      <c r="L2024" t="s">
        <v>17</v>
      </c>
      <c r="M2024">
        <f>IF(Table1[[#This Row],[ألغى الاشتراك]]="نعم",1,0)</f>
        <v>0</v>
      </c>
      <c r="N2024">
        <f>IF(Table1[[#This Row],[وسيلة الدفع]]="بطاقة",1,0)</f>
        <v>0</v>
      </c>
      <c r="O2024">
        <f>IF(Table1[[#This Row],[وسيلة الدفع]]="محفظة",1,0)</f>
        <v>1</v>
      </c>
      <c r="P2024">
        <f>IF(Table1[[#This Row],[وسيلة الدفع]]="تحويل",1,0)</f>
        <v>0</v>
      </c>
      <c r="Q2024">
        <f>IF(Table1[[#This Row],[حضر التهيئة]]="نعم",1,0)</f>
        <v>1</v>
      </c>
      <c r="R2024">
        <f>IF(Table1[[#This Row],[دورة الفوترة]]="شهري",1,0)</f>
        <v>1</v>
      </c>
    </row>
    <row r="2025" spans="1:18" x14ac:dyDescent="0.25">
      <c r="A2025" t="s">
        <v>2045</v>
      </c>
      <c r="B2025" s="1">
        <v>45325</v>
      </c>
      <c r="C2025" t="s">
        <v>19</v>
      </c>
      <c r="D2025">
        <v>189</v>
      </c>
      <c r="E2025" t="s">
        <v>14</v>
      </c>
      <c r="F2025">
        <v>28</v>
      </c>
      <c r="G2025" t="s">
        <v>21</v>
      </c>
      <c r="H2025">
        <v>2</v>
      </c>
      <c r="I2025">
        <v>28</v>
      </c>
      <c r="J2025">
        <v>0</v>
      </c>
      <c r="K2025" t="s">
        <v>16</v>
      </c>
      <c r="L2025" t="s">
        <v>17</v>
      </c>
      <c r="M2025">
        <f>IF(Table1[[#This Row],[ألغى الاشتراك]]="نعم",1,0)</f>
        <v>0</v>
      </c>
      <c r="N2025">
        <f>IF(Table1[[#This Row],[وسيلة الدفع]]="بطاقة",1,0)</f>
        <v>0</v>
      </c>
      <c r="O2025">
        <f>IF(Table1[[#This Row],[وسيلة الدفع]]="محفظة",1,0)</f>
        <v>1</v>
      </c>
      <c r="P2025">
        <f>IF(Table1[[#This Row],[وسيلة الدفع]]="تحويل",1,0)</f>
        <v>0</v>
      </c>
      <c r="Q2025">
        <f>IF(Table1[[#This Row],[حضر التهيئة]]="نعم",1,0)</f>
        <v>1</v>
      </c>
      <c r="R2025">
        <f>IF(Table1[[#This Row],[دورة الفوترة]]="شهري",1,0)</f>
        <v>1</v>
      </c>
    </row>
    <row r="2026" spans="1:18" x14ac:dyDescent="0.25">
      <c r="A2026" t="s">
        <v>2046</v>
      </c>
      <c r="B2026" s="1">
        <v>45866</v>
      </c>
      <c r="C2026" t="s">
        <v>28</v>
      </c>
      <c r="D2026">
        <v>39</v>
      </c>
      <c r="E2026" t="s">
        <v>14</v>
      </c>
      <c r="F2026">
        <v>25</v>
      </c>
      <c r="G2026" t="s">
        <v>23</v>
      </c>
      <c r="H2026">
        <v>2</v>
      </c>
      <c r="I2026">
        <v>29</v>
      </c>
      <c r="J2026">
        <v>0</v>
      </c>
      <c r="K2026" t="s">
        <v>17</v>
      </c>
      <c r="L2026" t="s">
        <v>16</v>
      </c>
      <c r="M2026">
        <f>IF(Table1[[#This Row],[ألغى الاشتراك]]="نعم",1,0)</f>
        <v>1</v>
      </c>
      <c r="N2026">
        <f>IF(Table1[[#This Row],[وسيلة الدفع]]="بطاقة",1,0)</f>
        <v>0</v>
      </c>
      <c r="O2026">
        <f>IF(Table1[[#This Row],[وسيلة الدفع]]="محفظة",1,0)</f>
        <v>0</v>
      </c>
      <c r="P2026">
        <f>IF(Table1[[#This Row],[وسيلة الدفع]]="تحويل",1,0)</f>
        <v>1</v>
      </c>
      <c r="Q2026">
        <f>IF(Table1[[#This Row],[حضر التهيئة]]="نعم",1,0)</f>
        <v>0</v>
      </c>
      <c r="R2026">
        <f>IF(Table1[[#This Row],[دورة الفوترة]]="شهري",1,0)</f>
        <v>1</v>
      </c>
    </row>
    <row r="2027" spans="1:18" x14ac:dyDescent="0.25">
      <c r="A2027" t="s">
        <v>2047</v>
      </c>
      <c r="B2027" s="1">
        <v>45635</v>
      </c>
      <c r="C2027" t="s">
        <v>13</v>
      </c>
      <c r="D2027">
        <v>89</v>
      </c>
      <c r="E2027" t="s">
        <v>20</v>
      </c>
      <c r="F2027">
        <v>8</v>
      </c>
      <c r="G2027" t="s">
        <v>15</v>
      </c>
      <c r="H2027">
        <v>0</v>
      </c>
      <c r="I2027">
        <v>32</v>
      </c>
      <c r="J2027">
        <v>0</v>
      </c>
      <c r="K2027" t="s">
        <v>17</v>
      </c>
      <c r="L2027" t="s">
        <v>17</v>
      </c>
      <c r="M2027">
        <f>IF(Table1[[#This Row],[ألغى الاشتراك]]="نعم",1,0)</f>
        <v>0</v>
      </c>
      <c r="N2027">
        <f>IF(Table1[[#This Row],[وسيلة الدفع]]="بطاقة",1,0)</f>
        <v>1</v>
      </c>
      <c r="O2027">
        <f>IF(Table1[[#This Row],[وسيلة الدفع]]="محفظة",1,0)</f>
        <v>0</v>
      </c>
      <c r="P2027">
        <f>IF(Table1[[#This Row],[وسيلة الدفع]]="تحويل",1,0)</f>
        <v>0</v>
      </c>
      <c r="Q2027">
        <f>IF(Table1[[#This Row],[حضر التهيئة]]="نعم",1,0)</f>
        <v>0</v>
      </c>
      <c r="R2027">
        <f>IF(Table1[[#This Row],[دورة الفوترة]]="شهري",1,0)</f>
        <v>0</v>
      </c>
    </row>
    <row r="2028" spans="1:18" x14ac:dyDescent="0.25">
      <c r="A2028" t="s">
        <v>2048</v>
      </c>
      <c r="B2028" s="1">
        <v>45926</v>
      </c>
      <c r="C2028" t="s">
        <v>13</v>
      </c>
      <c r="D2028">
        <v>89</v>
      </c>
      <c r="E2028" t="s">
        <v>14</v>
      </c>
      <c r="F2028">
        <v>7</v>
      </c>
      <c r="G2028" t="s">
        <v>15</v>
      </c>
      <c r="H2028">
        <v>3</v>
      </c>
      <c r="I2028">
        <v>23</v>
      </c>
      <c r="J2028">
        <v>0</v>
      </c>
      <c r="K2028" t="s">
        <v>16</v>
      </c>
      <c r="L2028" t="s">
        <v>16</v>
      </c>
      <c r="M2028">
        <f>IF(Table1[[#This Row],[ألغى الاشتراك]]="نعم",1,0)</f>
        <v>1</v>
      </c>
      <c r="N2028">
        <f>IF(Table1[[#This Row],[وسيلة الدفع]]="بطاقة",1,0)</f>
        <v>1</v>
      </c>
      <c r="O2028">
        <f>IF(Table1[[#This Row],[وسيلة الدفع]]="محفظة",1,0)</f>
        <v>0</v>
      </c>
      <c r="P2028">
        <f>IF(Table1[[#This Row],[وسيلة الدفع]]="تحويل",1,0)</f>
        <v>0</v>
      </c>
      <c r="Q2028">
        <f>IF(Table1[[#This Row],[حضر التهيئة]]="نعم",1,0)</f>
        <v>1</v>
      </c>
      <c r="R2028">
        <f>IF(Table1[[#This Row],[دورة الفوترة]]="شهري",1,0)</f>
        <v>1</v>
      </c>
    </row>
    <row r="2029" spans="1:18" x14ac:dyDescent="0.25">
      <c r="A2029" t="s">
        <v>2049</v>
      </c>
      <c r="B2029" s="1">
        <v>45592</v>
      </c>
      <c r="C2029" t="s">
        <v>28</v>
      </c>
      <c r="D2029">
        <v>39</v>
      </c>
      <c r="E2029" t="s">
        <v>14</v>
      </c>
      <c r="F2029">
        <v>28</v>
      </c>
      <c r="G2029" t="s">
        <v>15</v>
      </c>
      <c r="H2029">
        <v>1</v>
      </c>
      <c r="I2029">
        <v>16</v>
      </c>
      <c r="J2029">
        <v>0</v>
      </c>
      <c r="K2029" t="s">
        <v>17</v>
      </c>
      <c r="L2029" t="s">
        <v>17</v>
      </c>
      <c r="M2029">
        <f>IF(Table1[[#This Row],[ألغى الاشتراك]]="نعم",1,0)</f>
        <v>0</v>
      </c>
      <c r="N2029">
        <f>IF(Table1[[#This Row],[وسيلة الدفع]]="بطاقة",1,0)</f>
        <v>1</v>
      </c>
      <c r="O2029">
        <f>IF(Table1[[#This Row],[وسيلة الدفع]]="محفظة",1,0)</f>
        <v>0</v>
      </c>
      <c r="P2029">
        <f>IF(Table1[[#This Row],[وسيلة الدفع]]="تحويل",1,0)</f>
        <v>0</v>
      </c>
      <c r="Q2029">
        <f>IF(Table1[[#This Row],[حضر التهيئة]]="نعم",1,0)</f>
        <v>0</v>
      </c>
      <c r="R2029">
        <f>IF(Table1[[#This Row],[دورة الفوترة]]="شهري",1,0)</f>
        <v>1</v>
      </c>
    </row>
    <row r="2030" spans="1:18" x14ac:dyDescent="0.25">
      <c r="A2030" t="s">
        <v>2050</v>
      </c>
      <c r="B2030" s="1">
        <v>45981</v>
      </c>
      <c r="C2030" t="s">
        <v>13</v>
      </c>
      <c r="D2030">
        <v>89</v>
      </c>
      <c r="E2030" t="s">
        <v>14</v>
      </c>
      <c r="F2030">
        <v>9</v>
      </c>
      <c r="G2030" t="s">
        <v>21</v>
      </c>
      <c r="H2030">
        <v>1</v>
      </c>
      <c r="I2030">
        <v>15</v>
      </c>
      <c r="J2030">
        <v>0</v>
      </c>
      <c r="K2030" t="s">
        <v>16</v>
      </c>
      <c r="L2030" t="s">
        <v>17</v>
      </c>
      <c r="M2030">
        <f>IF(Table1[[#This Row],[ألغى الاشتراك]]="نعم",1,0)</f>
        <v>0</v>
      </c>
      <c r="N2030">
        <f>IF(Table1[[#This Row],[وسيلة الدفع]]="بطاقة",1,0)</f>
        <v>0</v>
      </c>
      <c r="O2030">
        <f>IF(Table1[[#This Row],[وسيلة الدفع]]="محفظة",1,0)</f>
        <v>1</v>
      </c>
      <c r="P2030">
        <f>IF(Table1[[#This Row],[وسيلة الدفع]]="تحويل",1,0)</f>
        <v>0</v>
      </c>
      <c r="Q2030">
        <f>IF(Table1[[#This Row],[حضر التهيئة]]="نعم",1,0)</f>
        <v>1</v>
      </c>
      <c r="R2030">
        <f>IF(Table1[[#This Row],[دورة الفوترة]]="شهري",1,0)</f>
        <v>1</v>
      </c>
    </row>
    <row r="2031" spans="1:18" x14ac:dyDescent="0.25">
      <c r="A2031" t="s">
        <v>2051</v>
      </c>
      <c r="B2031" s="1">
        <v>45651</v>
      </c>
      <c r="C2031" t="s">
        <v>28</v>
      </c>
      <c r="D2031">
        <v>39</v>
      </c>
      <c r="E2031" t="s">
        <v>14</v>
      </c>
      <c r="F2031">
        <v>14</v>
      </c>
      <c r="G2031" t="s">
        <v>21</v>
      </c>
      <c r="H2031">
        <v>10</v>
      </c>
      <c r="I2031">
        <v>32</v>
      </c>
      <c r="J2031">
        <v>0</v>
      </c>
      <c r="K2031" t="s">
        <v>16</v>
      </c>
      <c r="L2031" t="s">
        <v>17</v>
      </c>
      <c r="M2031">
        <f>IF(Table1[[#This Row],[ألغى الاشتراك]]="نعم",1,0)</f>
        <v>0</v>
      </c>
      <c r="N2031">
        <f>IF(Table1[[#This Row],[وسيلة الدفع]]="بطاقة",1,0)</f>
        <v>0</v>
      </c>
      <c r="O2031">
        <f>IF(Table1[[#This Row],[وسيلة الدفع]]="محفظة",1,0)</f>
        <v>1</v>
      </c>
      <c r="P2031">
        <f>IF(Table1[[#This Row],[وسيلة الدفع]]="تحويل",1,0)</f>
        <v>0</v>
      </c>
      <c r="Q2031">
        <f>IF(Table1[[#This Row],[حضر التهيئة]]="نعم",1,0)</f>
        <v>1</v>
      </c>
      <c r="R2031">
        <f>IF(Table1[[#This Row],[دورة الفوترة]]="شهري",1,0)</f>
        <v>1</v>
      </c>
    </row>
    <row r="2032" spans="1:18" x14ac:dyDescent="0.25">
      <c r="A2032" t="s">
        <v>2052</v>
      </c>
      <c r="B2032" s="1">
        <v>45799</v>
      </c>
      <c r="C2032" t="s">
        <v>28</v>
      </c>
      <c r="D2032">
        <v>39</v>
      </c>
      <c r="E2032" t="s">
        <v>14</v>
      </c>
      <c r="F2032">
        <v>19</v>
      </c>
      <c r="G2032" t="s">
        <v>23</v>
      </c>
      <c r="H2032">
        <v>9</v>
      </c>
      <c r="I2032">
        <v>51</v>
      </c>
      <c r="J2032">
        <v>0</v>
      </c>
      <c r="K2032" t="s">
        <v>16</v>
      </c>
      <c r="L2032" t="s">
        <v>16</v>
      </c>
      <c r="M2032">
        <f>IF(Table1[[#This Row],[ألغى الاشتراك]]="نعم",1,0)</f>
        <v>1</v>
      </c>
      <c r="N2032">
        <f>IF(Table1[[#This Row],[وسيلة الدفع]]="بطاقة",1,0)</f>
        <v>0</v>
      </c>
      <c r="O2032">
        <f>IF(Table1[[#This Row],[وسيلة الدفع]]="محفظة",1,0)</f>
        <v>0</v>
      </c>
      <c r="P2032">
        <f>IF(Table1[[#This Row],[وسيلة الدفع]]="تحويل",1,0)</f>
        <v>1</v>
      </c>
      <c r="Q2032">
        <f>IF(Table1[[#This Row],[حضر التهيئة]]="نعم",1,0)</f>
        <v>1</v>
      </c>
      <c r="R2032">
        <f>IF(Table1[[#This Row],[دورة الفوترة]]="شهري",1,0)</f>
        <v>1</v>
      </c>
    </row>
    <row r="2033" spans="1:18" x14ac:dyDescent="0.25">
      <c r="A2033" t="s">
        <v>2053</v>
      </c>
      <c r="B2033" s="1">
        <v>45329</v>
      </c>
      <c r="C2033" t="s">
        <v>13</v>
      </c>
      <c r="D2033">
        <v>89</v>
      </c>
      <c r="E2033" t="s">
        <v>14</v>
      </c>
      <c r="F2033">
        <v>24</v>
      </c>
      <c r="G2033" t="s">
        <v>21</v>
      </c>
      <c r="H2033">
        <v>0</v>
      </c>
      <c r="I2033">
        <v>16</v>
      </c>
      <c r="J2033">
        <v>0</v>
      </c>
      <c r="K2033" t="s">
        <v>16</v>
      </c>
      <c r="L2033" t="s">
        <v>17</v>
      </c>
      <c r="M2033">
        <f>IF(Table1[[#This Row],[ألغى الاشتراك]]="نعم",1,0)</f>
        <v>0</v>
      </c>
      <c r="N2033">
        <f>IF(Table1[[#This Row],[وسيلة الدفع]]="بطاقة",1,0)</f>
        <v>0</v>
      </c>
      <c r="O2033">
        <f>IF(Table1[[#This Row],[وسيلة الدفع]]="محفظة",1,0)</f>
        <v>1</v>
      </c>
      <c r="P2033">
        <f>IF(Table1[[#This Row],[وسيلة الدفع]]="تحويل",1,0)</f>
        <v>0</v>
      </c>
      <c r="Q2033">
        <f>IF(Table1[[#This Row],[حضر التهيئة]]="نعم",1,0)</f>
        <v>1</v>
      </c>
      <c r="R2033">
        <f>IF(Table1[[#This Row],[دورة الفوترة]]="شهري",1,0)</f>
        <v>1</v>
      </c>
    </row>
    <row r="2034" spans="1:18" x14ac:dyDescent="0.25">
      <c r="A2034" t="s">
        <v>2054</v>
      </c>
      <c r="B2034" s="1">
        <v>45981</v>
      </c>
      <c r="C2034" t="s">
        <v>28</v>
      </c>
      <c r="D2034">
        <v>39</v>
      </c>
      <c r="E2034" t="s">
        <v>14</v>
      </c>
      <c r="F2034">
        <v>1</v>
      </c>
      <c r="G2034" t="s">
        <v>21</v>
      </c>
      <c r="H2034">
        <v>4</v>
      </c>
      <c r="I2034">
        <v>39</v>
      </c>
      <c r="J2034">
        <v>0</v>
      </c>
      <c r="K2034" t="s">
        <v>17</v>
      </c>
      <c r="L2034" t="s">
        <v>17</v>
      </c>
      <c r="M2034">
        <f>IF(Table1[[#This Row],[ألغى الاشتراك]]="نعم",1,0)</f>
        <v>0</v>
      </c>
      <c r="N2034">
        <f>IF(Table1[[#This Row],[وسيلة الدفع]]="بطاقة",1,0)</f>
        <v>0</v>
      </c>
      <c r="O2034">
        <f>IF(Table1[[#This Row],[وسيلة الدفع]]="محفظة",1,0)</f>
        <v>1</v>
      </c>
      <c r="P2034">
        <f>IF(Table1[[#This Row],[وسيلة الدفع]]="تحويل",1,0)</f>
        <v>0</v>
      </c>
      <c r="Q2034">
        <f>IF(Table1[[#This Row],[حضر التهيئة]]="نعم",1,0)</f>
        <v>0</v>
      </c>
      <c r="R2034">
        <f>IF(Table1[[#This Row],[دورة الفوترة]]="شهري",1,0)</f>
        <v>1</v>
      </c>
    </row>
    <row r="2035" spans="1:18" x14ac:dyDescent="0.25">
      <c r="A2035" t="s">
        <v>2055</v>
      </c>
      <c r="B2035" s="1">
        <v>45643</v>
      </c>
      <c r="C2035" t="s">
        <v>13</v>
      </c>
      <c r="D2035">
        <v>89</v>
      </c>
      <c r="E2035" t="s">
        <v>14</v>
      </c>
      <c r="F2035">
        <v>24</v>
      </c>
      <c r="G2035" t="s">
        <v>15</v>
      </c>
      <c r="H2035">
        <v>2</v>
      </c>
      <c r="I2035">
        <v>48</v>
      </c>
      <c r="J2035">
        <v>0</v>
      </c>
      <c r="K2035" t="s">
        <v>16</v>
      </c>
      <c r="L2035" t="s">
        <v>17</v>
      </c>
      <c r="M2035">
        <f>IF(Table1[[#This Row],[ألغى الاشتراك]]="نعم",1,0)</f>
        <v>0</v>
      </c>
      <c r="N2035">
        <f>IF(Table1[[#This Row],[وسيلة الدفع]]="بطاقة",1,0)</f>
        <v>1</v>
      </c>
      <c r="O2035">
        <f>IF(Table1[[#This Row],[وسيلة الدفع]]="محفظة",1,0)</f>
        <v>0</v>
      </c>
      <c r="P2035">
        <f>IF(Table1[[#This Row],[وسيلة الدفع]]="تحويل",1,0)</f>
        <v>0</v>
      </c>
      <c r="Q2035">
        <f>IF(Table1[[#This Row],[حضر التهيئة]]="نعم",1,0)</f>
        <v>1</v>
      </c>
      <c r="R2035">
        <f>IF(Table1[[#This Row],[دورة الفوترة]]="شهري",1,0)</f>
        <v>1</v>
      </c>
    </row>
    <row r="2036" spans="1:18" x14ac:dyDescent="0.25">
      <c r="A2036" t="s">
        <v>2056</v>
      </c>
      <c r="B2036" s="1">
        <v>45799</v>
      </c>
      <c r="C2036" t="s">
        <v>13</v>
      </c>
      <c r="D2036">
        <v>89</v>
      </c>
      <c r="E2036" t="s">
        <v>14</v>
      </c>
      <c r="F2036">
        <v>29</v>
      </c>
      <c r="G2036" t="s">
        <v>23</v>
      </c>
      <c r="H2036">
        <v>7</v>
      </c>
      <c r="I2036">
        <v>39</v>
      </c>
      <c r="J2036">
        <v>0</v>
      </c>
      <c r="K2036" t="s">
        <v>17</v>
      </c>
      <c r="L2036" t="s">
        <v>17</v>
      </c>
      <c r="M2036">
        <f>IF(Table1[[#This Row],[ألغى الاشتراك]]="نعم",1,0)</f>
        <v>0</v>
      </c>
      <c r="N2036">
        <f>IF(Table1[[#This Row],[وسيلة الدفع]]="بطاقة",1,0)</f>
        <v>0</v>
      </c>
      <c r="O2036">
        <f>IF(Table1[[#This Row],[وسيلة الدفع]]="محفظة",1,0)</f>
        <v>0</v>
      </c>
      <c r="P2036">
        <f>IF(Table1[[#This Row],[وسيلة الدفع]]="تحويل",1,0)</f>
        <v>1</v>
      </c>
      <c r="Q2036">
        <f>IF(Table1[[#This Row],[حضر التهيئة]]="نعم",1,0)</f>
        <v>0</v>
      </c>
      <c r="R2036">
        <f>IF(Table1[[#This Row],[دورة الفوترة]]="شهري",1,0)</f>
        <v>1</v>
      </c>
    </row>
    <row r="2037" spans="1:18" x14ac:dyDescent="0.25">
      <c r="A2037" t="s">
        <v>2057</v>
      </c>
      <c r="B2037" s="1">
        <v>45349</v>
      </c>
      <c r="C2037" t="s">
        <v>28</v>
      </c>
      <c r="D2037">
        <v>39</v>
      </c>
      <c r="E2037" t="s">
        <v>14</v>
      </c>
      <c r="F2037">
        <v>14</v>
      </c>
      <c r="G2037" t="s">
        <v>15</v>
      </c>
      <c r="H2037">
        <v>8</v>
      </c>
      <c r="I2037">
        <v>46</v>
      </c>
      <c r="J2037">
        <v>0</v>
      </c>
      <c r="K2037" t="s">
        <v>17</v>
      </c>
      <c r="L2037" t="s">
        <v>16</v>
      </c>
      <c r="M2037">
        <f>IF(Table1[[#This Row],[ألغى الاشتراك]]="نعم",1,0)</f>
        <v>1</v>
      </c>
      <c r="N2037">
        <f>IF(Table1[[#This Row],[وسيلة الدفع]]="بطاقة",1,0)</f>
        <v>1</v>
      </c>
      <c r="O2037">
        <f>IF(Table1[[#This Row],[وسيلة الدفع]]="محفظة",1,0)</f>
        <v>0</v>
      </c>
      <c r="P2037">
        <f>IF(Table1[[#This Row],[وسيلة الدفع]]="تحويل",1,0)</f>
        <v>0</v>
      </c>
      <c r="Q2037">
        <f>IF(Table1[[#This Row],[حضر التهيئة]]="نعم",1,0)</f>
        <v>0</v>
      </c>
      <c r="R2037">
        <f>IF(Table1[[#This Row],[دورة الفوترة]]="شهري",1,0)</f>
        <v>1</v>
      </c>
    </row>
    <row r="2038" spans="1:18" x14ac:dyDescent="0.25">
      <c r="A2038" t="s">
        <v>2058</v>
      </c>
      <c r="B2038" s="1">
        <v>45862</v>
      </c>
      <c r="C2038" t="s">
        <v>13</v>
      </c>
      <c r="D2038">
        <v>89</v>
      </c>
      <c r="E2038" t="s">
        <v>20</v>
      </c>
      <c r="F2038">
        <v>19</v>
      </c>
      <c r="G2038" t="s">
        <v>21</v>
      </c>
      <c r="H2038">
        <v>0</v>
      </c>
      <c r="I2038">
        <v>43</v>
      </c>
      <c r="J2038">
        <v>0</v>
      </c>
      <c r="K2038" t="s">
        <v>17</v>
      </c>
      <c r="L2038" t="s">
        <v>17</v>
      </c>
      <c r="M2038">
        <f>IF(Table1[[#This Row],[ألغى الاشتراك]]="نعم",1,0)</f>
        <v>0</v>
      </c>
      <c r="N2038">
        <f>IF(Table1[[#This Row],[وسيلة الدفع]]="بطاقة",1,0)</f>
        <v>0</v>
      </c>
      <c r="O2038">
        <f>IF(Table1[[#This Row],[وسيلة الدفع]]="محفظة",1,0)</f>
        <v>1</v>
      </c>
      <c r="P2038">
        <f>IF(Table1[[#This Row],[وسيلة الدفع]]="تحويل",1,0)</f>
        <v>0</v>
      </c>
      <c r="Q2038">
        <f>IF(Table1[[#This Row],[حضر التهيئة]]="نعم",1,0)</f>
        <v>0</v>
      </c>
      <c r="R2038">
        <f>IF(Table1[[#This Row],[دورة الفوترة]]="شهري",1,0)</f>
        <v>0</v>
      </c>
    </row>
    <row r="2039" spans="1:18" x14ac:dyDescent="0.25">
      <c r="A2039" t="s">
        <v>2059</v>
      </c>
      <c r="B2039" s="1">
        <v>45395</v>
      </c>
      <c r="C2039" t="s">
        <v>28</v>
      </c>
      <c r="D2039">
        <v>39</v>
      </c>
      <c r="E2039" t="s">
        <v>20</v>
      </c>
      <c r="F2039">
        <v>8</v>
      </c>
      <c r="G2039" t="s">
        <v>23</v>
      </c>
      <c r="H2039">
        <v>0</v>
      </c>
      <c r="I2039">
        <v>46</v>
      </c>
      <c r="J2039">
        <v>0</v>
      </c>
      <c r="K2039" t="s">
        <v>16</v>
      </c>
      <c r="L2039" t="s">
        <v>17</v>
      </c>
      <c r="M2039">
        <f>IF(Table1[[#This Row],[ألغى الاشتراك]]="نعم",1,0)</f>
        <v>0</v>
      </c>
      <c r="N2039">
        <f>IF(Table1[[#This Row],[وسيلة الدفع]]="بطاقة",1,0)</f>
        <v>0</v>
      </c>
      <c r="O2039">
        <f>IF(Table1[[#This Row],[وسيلة الدفع]]="محفظة",1,0)</f>
        <v>0</v>
      </c>
      <c r="P2039">
        <f>IF(Table1[[#This Row],[وسيلة الدفع]]="تحويل",1,0)</f>
        <v>1</v>
      </c>
      <c r="Q2039">
        <f>IF(Table1[[#This Row],[حضر التهيئة]]="نعم",1,0)</f>
        <v>1</v>
      </c>
      <c r="R2039">
        <f>IF(Table1[[#This Row],[دورة الفوترة]]="شهري",1,0)</f>
        <v>0</v>
      </c>
    </row>
    <row r="2040" spans="1:18" x14ac:dyDescent="0.25">
      <c r="A2040" t="s">
        <v>2060</v>
      </c>
      <c r="B2040" s="1">
        <v>45333</v>
      </c>
      <c r="C2040" t="s">
        <v>28</v>
      </c>
      <c r="D2040">
        <v>39</v>
      </c>
      <c r="E2040" t="s">
        <v>20</v>
      </c>
      <c r="F2040">
        <v>7</v>
      </c>
      <c r="G2040" t="s">
        <v>23</v>
      </c>
      <c r="H2040">
        <v>2</v>
      </c>
      <c r="I2040">
        <v>47</v>
      </c>
      <c r="J2040">
        <v>10</v>
      </c>
      <c r="K2040" t="s">
        <v>16</v>
      </c>
      <c r="L2040" t="s">
        <v>17</v>
      </c>
      <c r="M2040">
        <f>IF(Table1[[#This Row],[ألغى الاشتراك]]="نعم",1,0)</f>
        <v>0</v>
      </c>
      <c r="N2040">
        <f>IF(Table1[[#This Row],[وسيلة الدفع]]="بطاقة",1,0)</f>
        <v>0</v>
      </c>
      <c r="O2040">
        <f>IF(Table1[[#This Row],[وسيلة الدفع]]="محفظة",1,0)</f>
        <v>0</v>
      </c>
      <c r="P2040">
        <f>IF(Table1[[#This Row],[وسيلة الدفع]]="تحويل",1,0)</f>
        <v>1</v>
      </c>
      <c r="Q2040">
        <f>IF(Table1[[#This Row],[حضر التهيئة]]="نعم",1,0)</f>
        <v>1</v>
      </c>
      <c r="R2040">
        <f>IF(Table1[[#This Row],[دورة الفوترة]]="شهري",1,0)</f>
        <v>0</v>
      </c>
    </row>
    <row r="2041" spans="1:18" x14ac:dyDescent="0.25">
      <c r="A2041" t="s">
        <v>2061</v>
      </c>
      <c r="B2041" s="1">
        <v>45728</v>
      </c>
      <c r="C2041" t="s">
        <v>19</v>
      </c>
      <c r="D2041">
        <v>189</v>
      </c>
      <c r="E2041" t="s">
        <v>20</v>
      </c>
      <c r="F2041">
        <v>11</v>
      </c>
      <c r="G2041" t="s">
        <v>21</v>
      </c>
      <c r="H2041">
        <v>1</v>
      </c>
      <c r="I2041">
        <v>21</v>
      </c>
      <c r="J2041">
        <v>0</v>
      </c>
      <c r="K2041" t="s">
        <v>16</v>
      </c>
      <c r="L2041" t="s">
        <v>17</v>
      </c>
      <c r="M2041">
        <f>IF(Table1[[#This Row],[ألغى الاشتراك]]="نعم",1,0)</f>
        <v>0</v>
      </c>
      <c r="N2041">
        <f>IF(Table1[[#This Row],[وسيلة الدفع]]="بطاقة",1,0)</f>
        <v>0</v>
      </c>
      <c r="O2041">
        <f>IF(Table1[[#This Row],[وسيلة الدفع]]="محفظة",1,0)</f>
        <v>1</v>
      </c>
      <c r="P2041">
        <f>IF(Table1[[#This Row],[وسيلة الدفع]]="تحويل",1,0)</f>
        <v>0</v>
      </c>
      <c r="Q2041">
        <f>IF(Table1[[#This Row],[حضر التهيئة]]="نعم",1,0)</f>
        <v>1</v>
      </c>
      <c r="R2041">
        <f>IF(Table1[[#This Row],[دورة الفوترة]]="شهري",1,0)</f>
        <v>0</v>
      </c>
    </row>
    <row r="2042" spans="1:18" x14ac:dyDescent="0.25">
      <c r="A2042" t="s">
        <v>2062</v>
      </c>
      <c r="B2042" s="1">
        <v>45403</v>
      </c>
      <c r="C2042" t="s">
        <v>13</v>
      </c>
      <c r="D2042">
        <v>89</v>
      </c>
      <c r="E2042" t="s">
        <v>14</v>
      </c>
      <c r="F2042">
        <v>16</v>
      </c>
      <c r="G2042" t="s">
        <v>23</v>
      </c>
      <c r="H2042">
        <v>1</v>
      </c>
      <c r="I2042">
        <v>14</v>
      </c>
      <c r="J2042">
        <v>0</v>
      </c>
      <c r="K2042" t="s">
        <v>16</v>
      </c>
      <c r="L2042" t="s">
        <v>17</v>
      </c>
      <c r="M2042">
        <f>IF(Table1[[#This Row],[ألغى الاشتراك]]="نعم",1,0)</f>
        <v>0</v>
      </c>
      <c r="N2042">
        <f>IF(Table1[[#This Row],[وسيلة الدفع]]="بطاقة",1,0)</f>
        <v>0</v>
      </c>
      <c r="O2042">
        <f>IF(Table1[[#This Row],[وسيلة الدفع]]="محفظة",1,0)</f>
        <v>0</v>
      </c>
      <c r="P2042">
        <f>IF(Table1[[#This Row],[وسيلة الدفع]]="تحويل",1,0)</f>
        <v>1</v>
      </c>
      <c r="Q2042">
        <f>IF(Table1[[#This Row],[حضر التهيئة]]="نعم",1,0)</f>
        <v>1</v>
      </c>
      <c r="R2042">
        <f>IF(Table1[[#This Row],[دورة الفوترة]]="شهري",1,0)</f>
        <v>1</v>
      </c>
    </row>
    <row r="2043" spans="1:18" x14ac:dyDescent="0.25">
      <c r="A2043" t="s">
        <v>2063</v>
      </c>
      <c r="B2043" s="1">
        <v>45341</v>
      </c>
      <c r="C2043" t="s">
        <v>28</v>
      </c>
      <c r="D2043">
        <v>39</v>
      </c>
      <c r="E2043" t="s">
        <v>20</v>
      </c>
      <c r="F2043">
        <v>13</v>
      </c>
      <c r="G2043" t="s">
        <v>21</v>
      </c>
      <c r="H2043">
        <v>8</v>
      </c>
      <c r="I2043">
        <v>9</v>
      </c>
      <c r="J2043">
        <v>10</v>
      </c>
      <c r="K2043" t="s">
        <v>16</v>
      </c>
      <c r="L2043" t="s">
        <v>17</v>
      </c>
      <c r="M2043">
        <f>IF(Table1[[#This Row],[ألغى الاشتراك]]="نعم",1,0)</f>
        <v>0</v>
      </c>
      <c r="N2043">
        <f>IF(Table1[[#This Row],[وسيلة الدفع]]="بطاقة",1,0)</f>
        <v>0</v>
      </c>
      <c r="O2043">
        <f>IF(Table1[[#This Row],[وسيلة الدفع]]="محفظة",1,0)</f>
        <v>1</v>
      </c>
      <c r="P2043">
        <f>IF(Table1[[#This Row],[وسيلة الدفع]]="تحويل",1,0)</f>
        <v>0</v>
      </c>
      <c r="Q2043">
        <f>IF(Table1[[#This Row],[حضر التهيئة]]="نعم",1,0)</f>
        <v>1</v>
      </c>
      <c r="R2043">
        <f>IF(Table1[[#This Row],[دورة الفوترة]]="شهري",1,0)</f>
        <v>0</v>
      </c>
    </row>
    <row r="2044" spans="1:18" x14ac:dyDescent="0.25">
      <c r="A2044" t="s">
        <v>2064</v>
      </c>
      <c r="B2044" s="1">
        <v>45744</v>
      </c>
      <c r="C2044" t="s">
        <v>28</v>
      </c>
      <c r="D2044">
        <v>39</v>
      </c>
      <c r="E2044" t="s">
        <v>20</v>
      </c>
      <c r="F2044">
        <v>23</v>
      </c>
      <c r="G2044" t="s">
        <v>23</v>
      </c>
      <c r="H2044">
        <v>10</v>
      </c>
      <c r="I2044">
        <v>55</v>
      </c>
      <c r="J2044">
        <v>0</v>
      </c>
      <c r="K2044" t="s">
        <v>17</v>
      </c>
      <c r="L2044" t="s">
        <v>17</v>
      </c>
      <c r="M2044">
        <f>IF(Table1[[#This Row],[ألغى الاشتراك]]="نعم",1,0)</f>
        <v>0</v>
      </c>
      <c r="N2044">
        <f>IF(Table1[[#This Row],[وسيلة الدفع]]="بطاقة",1,0)</f>
        <v>0</v>
      </c>
      <c r="O2044">
        <f>IF(Table1[[#This Row],[وسيلة الدفع]]="محفظة",1,0)</f>
        <v>0</v>
      </c>
      <c r="P2044">
        <f>IF(Table1[[#This Row],[وسيلة الدفع]]="تحويل",1,0)</f>
        <v>1</v>
      </c>
      <c r="Q2044">
        <f>IF(Table1[[#This Row],[حضر التهيئة]]="نعم",1,0)</f>
        <v>0</v>
      </c>
      <c r="R2044">
        <f>IF(Table1[[#This Row],[دورة الفوترة]]="شهري",1,0)</f>
        <v>0</v>
      </c>
    </row>
    <row r="2045" spans="1:18" x14ac:dyDescent="0.25">
      <c r="A2045" t="s">
        <v>2065</v>
      </c>
      <c r="B2045" s="1">
        <v>45639</v>
      </c>
      <c r="C2045" t="s">
        <v>28</v>
      </c>
      <c r="D2045">
        <v>39</v>
      </c>
      <c r="E2045" t="s">
        <v>14</v>
      </c>
      <c r="F2045">
        <v>24</v>
      </c>
      <c r="G2045" t="s">
        <v>15</v>
      </c>
      <c r="H2045">
        <v>0</v>
      </c>
      <c r="I2045">
        <v>32</v>
      </c>
      <c r="J2045">
        <v>0</v>
      </c>
      <c r="K2045" t="s">
        <v>16</v>
      </c>
      <c r="L2045" t="s">
        <v>17</v>
      </c>
      <c r="M2045">
        <f>IF(Table1[[#This Row],[ألغى الاشتراك]]="نعم",1,0)</f>
        <v>0</v>
      </c>
      <c r="N2045">
        <f>IF(Table1[[#This Row],[وسيلة الدفع]]="بطاقة",1,0)</f>
        <v>1</v>
      </c>
      <c r="O2045">
        <f>IF(Table1[[#This Row],[وسيلة الدفع]]="محفظة",1,0)</f>
        <v>0</v>
      </c>
      <c r="P2045">
        <f>IF(Table1[[#This Row],[وسيلة الدفع]]="تحويل",1,0)</f>
        <v>0</v>
      </c>
      <c r="Q2045">
        <f>IF(Table1[[#This Row],[حضر التهيئة]]="نعم",1,0)</f>
        <v>1</v>
      </c>
      <c r="R2045">
        <f>IF(Table1[[#This Row],[دورة الفوترة]]="شهري",1,0)</f>
        <v>1</v>
      </c>
    </row>
    <row r="2046" spans="1:18" x14ac:dyDescent="0.25">
      <c r="A2046" t="s">
        <v>2066</v>
      </c>
      <c r="B2046" s="1">
        <v>45458</v>
      </c>
      <c r="C2046" t="s">
        <v>19</v>
      </c>
      <c r="D2046">
        <v>189</v>
      </c>
      <c r="E2046" t="s">
        <v>20</v>
      </c>
      <c r="F2046">
        <v>19</v>
      </c>
      <c r="G2046" t="s">
        <v>23</v>
      </c>
      <c r="H2046">
        <v>1</v>
      </c>
      <c r="I2046">
        <v>27</v>
      </c>
      <c r="J2046">
        <v>10</v>
      </c>
      <c r="K2046" t="s">
        <v>16</v>
      </c>
      <c r="L2046" t="s">
        <v>17</v>
      </c>
      <c r="M2046">
        <f>IF(Table1[[#This Row],[ألغى الاشتراك]]="نعم",1,0)</f>
        <v>0</v>
      </c>
      <c r="N2046">
        <f>IF(Table1[[#This Row],[وسيلة الدفع]]="بطاقة",1,0)</f>
        <v>0</v>
      </c>
      <c r="O2046">
        <f>IF(Table1[[#This Row],[وسيلة الدفع]]="محفظة",1,0)</f>
        <v>0</v>
      </c>
      <c r="P2046">
        <f>IF(Table1[[#This Row],[وسيلة الدفع]]="تحويل",1,0)</f>
        <v>1</v>
      </c>
      <c r="Q2046">
        <f>IF(Table1[[#This Row],[حضر التهيئة]]="نعم",1,0)</f>
        <v>1</v>
      </c>
      <c r="R2046">
        <f>IF(Table1[[#This Row],[دورة الفوترة]]="شهري",1,0)</f>
        <v>0</v>
      </c>
    </row>
    <row r="2047" spans="1:18" x14ac:dyDescent="0.25">
      <c r="A2047" t="s">
        <v>2067</v>
      </c>
      <c r="B2047" s="1">
        <v>45989</v>
      </c>
      <c r="C2047" t="s">
        <v>28</v>
      </c>
      <c r="D2047">
        <v>39</v>
      </c>
      <c r="E2047" t="s">
        <v>20</v>
      </c>
      <c r="F2047">
        <v>17</v>
      </c>
      <c r="G2047" t="s">
        <v>23</v>
      </c>
      <c r="H2047">
        <v>1</v>
      </c>
      <c r="I2047">
        <v>27</v>
      </c>
      <c r="J2047">
        <v>0</v>
      </c>
      <c r="K2047" t="s">
        <v>17</v>
      </c>
      <c r="L2047" t="s">
        <v>17</v>
      </c>
      <c r="M2047">
        <f>IF(Table1[[#This Row],[ألغى الاشتراك]]="نعم",1,0)</f>
        <v>0</v>
      </c>
      <c r="N2047">
        <f>IF(Table1[[#This Row],[وسيلة الدفع]]="بطاقة",1,0)</f>
        <v>0</v>
      </c>
      <c r="O2047">
        <f>IF(Table1[[#This Row],[وسيلة الدفع]]="محفظة",1,0)</f>
        <v>0</v>
      </c>
      <c r="P2047">
        <f>IF(Table1[[#This Row],[وسيلة الدفع]]="تحويل",1,0)</f>
        <v>1</v>
      </c>
      <c r="Q2047">
        <f>IF(Table1[[#This Row],[حضر التهيئة]]="نعم",1,0)</f>
        <v>0</v>
      </c>
      <c r="R2047">
        <f>IF(Table1[[#This Row],[دورة الفوترة]]="شهري",1,0)</f>
        <v>0</v>
      </c>
    </row>
    <row r="2048" spans="1:18" x14ac:dyDescent="0.25">
      <c r="A2048" t="s">
        <v>2068</v>
      </c>
      <c r="B2048" s="1">
        <v>45505</v>
      </c>
      <c r="C2048" t="s">
        <v>28</v>
      </c>
      <c r="D2048">
        <v>39</v>
      </c>
      <c r="E2048" t="s">
        <v>14</v>
      </c>
      <c r="F2048">
        <v>18</v>
      </c>
      <c r="G2048" t="s">
        <v>15</v>
      </c>
      <c r="H2048">
        <v>0</v>
      </c>
      <c r="I2048">
        <v>34</v>
      </c>
      <c r="J2048">
        <v>0</v>
      </c>
      <c r="K2048" t="s">
        <v>16</v>
      </c>
      <c r="L2048" t="s">
        <v>17</v>
      </c>
      <c r="M2048">
        <f>IF(Table1[[#This Row],[ألغى الاشتراك]]="نعم",1,0)</f>
        <v>0</v>
      </c>
      <c r="N2048">
        <f>IF(Table1[[#This Row],[وسيلة الدفع]]="بطاقة",1,0)</f>
        <v>1</v>
      </c>
      <c r="O2048">
        <f>IF(Table1[[#This Row],[وسيلة الدفع]]="محفظة",1,0)</f>
        <v>0</v>
      </c>
      <c r="P2048">
        <f>IF(Table1[[#This Row],[وسيلة الدفع]]="تحويل",1,0)</f>
        <v>0</v>
      </c>
      <c r="Q2048">
        <f>IF(Table1[[#This Row],[حضر التهيئة]]="نعم",1,0)</f>
        <v>1</v>
      </c>
      <c r="R2048">
        <f>IF(Table1[[#This Row],[دورة الفوترة]]="شهري",1,0)</f>
        <v>1</v>
      </c>
    </row>
    <row r="2049" spans="1:18" x14ac:dyDescent="0.25">
      <c r="A2049" t="s">
        <v>2069</v>
      </c>
      <c r="B2049" s="1">
        <v>45787</v>
      </c>
      <c r="C2049" t="s">
        <v>28</v>
      </c>
      <c r="D2049">
        <v>39</v>
      </c>
      <c r="E2049" t="s">
        <v>20</v>
      </c>
      <c r="F2049">
        <v>1</v>
      </c>
      <c r="G2049" t="s">
        <v>21</v>
      </c>
      <c r="H2049">
        <v>7</v>
      </c>
      <c r="I2049">
        <v>17</v>
      </c>
      <c r="J2049">
        <v>0</v>
      </c>
      <c r="K2049" t="s">
        <v>16</v>
      </c>
      <c r="L2049" t="s">
        <v>17</v>
      </c>
      <c r="M2049">
        <f>IF(Table1[[#This Row],[ألغى الاشتراك]]="نعم",1,0)</f>
        <v>0</v>
      </c>
      <c r="N2049">
        <f>IF(Table1[[#This Row],[وسيلة الدفع]]="بطاقة",1,0)</f>
        <v>0</v>
      </c>
      <c r="O2049">
        <f>IF(Table1[[#This Row],[وسيلة الدفع]]="محفظة",1,0)</f>
        <v>1</v>
      </c>
      <c r="P2049">
        <f>IF(Table1[[#This Row],[وسيلة الدفع]]="تحويل",1,0)</f>
        <v>0</v>
      </c>
      <c r="Q2049">
        <f>IF(Table1[[#This Row],[حضر التهيئة]]="نعم",1,0)</f>
        <v>1</v>
      </c>
      <c r="R2049">
        <f>IF(Table1[[#This Row],[دورة الفوترة]]="شهري",1,0)</f>
        <v>0</v>
      </c>
    </row>
    <row r="2050" spans="1:18" x14ac:dyDescent="0.25">
      <c r="A2050" t="s">
        <v>2070</v>
      </c>
      <c r="B2050" s="1">
        <v>45325</v>
      </c>
      <c r="C2050" t="s">
        <v>28</v>
      </c>
      <c r="D2050">
        <v>39</v>
      </c>
      <c r="E2050" t="s">
        <v>14</v>
      </c>
      <c r="F2050">
        <v>26</v>
      </c>
      <c r="G2050" t="s">
        <v>15</v>
      </c>
      <c r="H2050">
        <v>9</v>
      </c>
      <c r="I2050">
        <v>12</v>
      </c>
      <c r="J2050">
        <v>0</v>
      </c>
      <c r="K2050" t="s">
        <v>17</v>
      </c>
      <c r="L2050" t="s">
        <v>16</v>
      </c>
      <c r="M2050">
        <f>IF(Table1[[#This Row],[ألغى الاشتراك]]="نعم",1,0)</f>
        <v>1</v>
      </c>
      <c r="N2050">
        <f>IF(Table1[[#This Row],[وسيلة الدفع]]="بطاقة",1,0)</f>
        <v>1</v>
      </c>
      <c r="O2050">
        <f>IF(Table1[[#This Row],[وسيلة الدفع]]="محفظة",1,0)</f>
        <v>0</v>
      </c>
      <c r="P2050">
        <f>IF(Table1[[#This Row],[وسيلة الدفع]]="تحويل",1,0)</f>
        <v>0</v>
      </c>
      <c r="Q2050">
        <f>IF(Table1[[#This Row],[حضر التهيئة]]="نعم",1,0)</f>
        <v>0</v>
      </c>
      <c r="R2050">
        <f>IF(Table1[[#This Row],[دورة الفوترة]]="شهري",1,0)</f>
        <v>1</v>
      </c>
    </row>
    <row r="2051" spans="1:18" x14ac:dyDescent="0.25">
      <c r="A2051" t="s">
        <v>2071</v>
      </c>
      <c r="B2051" s="1">
        <v>45973</v>
      </c>
      <c r="C2051" t="s">
        <v>28</v>
      </c>
      <c r="D2051">
        <v>39</v>
      </c>
      <c r="E2051" t="s">
        <v>14</v>
      </c>
      <c r="F2051">
        <v>9</v>
      </c>
      <c r="G2051" t="s">
        <v>15</v>
      </c>
      <c r="H2051">
        <v>3</v>
      </c>
      <c r="I2051">
        <v>39</v>
      </c>
      <c r="J2051">
        <v>0</v>
      </c>
      <c r="K2051" t="s">
        <v>17</v>
      </c>
      <c r="L2051" t="s">
        <v>17</v>
      </c>
      <c r="M2051">
        <f>IF(Table1[[#This Row],[ألغى الاشتراك]]="نعم",1,0)</f>
        <v>0</v>
      </c>
      <c r="N2051">
        <f>IF(Table1[[#This Row],[وسيلة الدفع]]="بطاقة",1,0)</f>
        <v>1</v>
      </c>
      <c r="O2051">
        <f>IF(Table1[[#This Row],[وسيلة الدفع]]="محفظة",1,0)</f>
        <v>0</v>
      </c>
      <c r="P2051">
        <f>IF(Table1[[#This Row],[وسيلة الدفع]]="تحويل",1,0)</f>
        <v>0</v>
      </c>
      <c r="Q2051">
        <f>IF(Table1[[#This Row],[حضر التهيئة]]="نعم",1,0)</f>
        <v>0</v>
      </c>
      <c r="R2051">
        <f>IF(Table1[[#This Row],[دورة الفوترة]]="شهري",1,0)</f>
        <v>1</v>
      </c>
    </row>
    <row r="2052" spans="1:18" x14ac:dyDescent="0.25">
      <c r="A2052" t="s">
        <v>2072</v>
      </c>
      <c r="B2052" s="1">
        <v>45651</v>
      </c>
      <c r="C2052" t="s">
        <v>13</v>
      </c>
      <c r="D2052">
        <v>89</v>
      </c>
      <c r="E2052" t="s">
        <v>14</v>
      </c>
      <c r="F2052">
        <v>2</v>
      </c>
      <c r="G2052" t="s">
        <v>23</v>
      </c>
      <c r="H2052">
        <v>0</v>
      </c>
      <c r="I2052">
        <v>48</v>
      </c>
      <c r="J2052">
        <v>0</v>
      </c>
      <c r="K2052" t="s">
        <v>17</v>
      </c>
      <c r="L2052" t="s">
        <v>16</v>
      </c>
      <c r="M2052">
        <f>IF(Table1[[#This Row],[ألغى الاشتراك]]="نعم",1,0)</f>
        <v>1</v>
      </c>
      <c r="N2052">
        <f>IF(Table1[[#This Row],[وسيلة الدفع]]="بطاقة",1,0)</f>
        <v>0</v>
      </c>
      <c r="O2052">
        <f>IF(Table1[[#This Row],[وسيلة الدفع]]="محفظة",1,0)</f>
        <v>0</v>
      </c>
      <c r="P2052">
        <f>IF(Table1[[#This Row],[وسيلة الدفع]]="تحويل",1,0)</f>
        <v>1</v>
      </c>
      <c r="Q2052">
        <f>IF(Table1[[#This Row],[حضر التهيئة]]="نعم",1,0)</f>
        <v>0</v>
      </c>
      <c r="R2052">
        <f>IF(Table1[[#This Row],[دورة الفوترة]]="شهري",1,0)</f>
        <v>1</v>
      </c>
    </row>
    <row r="2053" spans="1:18" x14ac:dyDescent="0.25">
      <c r="A2053" t="s">
        <v>2073</v>
      </c>
      <c r="B2053" s="1">
        <v>45906</v>
      </c>
      <c r="C2053" t="s">
        <v>19</v>
      </c>
      <c r="D2053">
        <v>189</v>
      </c>
      <c r="E2053" t="s">
        <v>20</v>
      </c>
      <c r="F2053">
        <v>23</v>
      </c>
      <c r="G2053" t="s">
        <v>15</v>
      </c>
      <c r="H2053">
        <v>3</v>
      </c>
      <c r="I2053">
        <v>59</v>
      </c>
      <c r="J2053">
        <v>0</v>
      </c>
      <c r="K2053" t="s">
        <v>16</v>
      </c>
      <c r="L2053" t="s">
        <v>17</v>
      </c>
      <c r="M2053">
        <f>IF(Table1[[#This Row],[ألغى الاشتراك]]="نعم",1,0)</f>
        <v>0</v>
      </c>
      <c r="N2053">
        <f>IF(Table1[[#This Row],[وسيلة الدفع]]="بطاقة",1,0)</f>
        <v>1</v>
      </c>
      <c r="O2053">
        <f>IF(Table1[[#This Row],[وسيلة الدفع]]="محفظة",1,0)</f>
        <v>0</v>
      </c>
      <c r="P2053">
        <f>IF(Table1[[#This Row],[وسيلة الدفع]]="تحويل",1,0)</f>
        <v>0</v>
      </c>
      <c r="Q2053">
        <f>IF(Table1[[#This Row],[حضر التهيئة]]="نعم",1,0)</f>
        <v>1</v>
      </c>
      <c r="R2053">
        <f>IF(Table1[[#This Row],[دورة الفوترة]]="شهري",1,0)</f>
        <v>0</v>
      </c>
    </row>
    <row r="2054" spans="1:18" x14ac:dyDescent="0.25">
      <c r="A2054" t="s">
        <v>2074</v>
      </c>
      <c r="B2054" s="1">
        <v>45345</v>
      </c>
      <c r="C2054" t="s">
        <v>28</v>
      </c>
      <c r="D2054">
        <v>39</v>
      </c>
      <c r="E2054" t="s">
        <v>14</v>
      </c>
      <c r="F2054">
        <v>10</v>
      </c>
      <c r="G2054" t="s">
        <v>23</v>
      </c>
      <c r="H2054">
        <v>6</v>
      </c>
      <c r="I2054">
        <v>20</v>
      </c>
      <c r="J2054">
        <v>0</v>
      </c>
      <c r="K2054" t="s">
        <v>16</v>
      </c>
      <c r="L2054" t="s">
        <v>17</v>
      </c>
      <c r="M2054">
        <f>IF(Table1[[#This Row],[ألغى الاشتراك]]="نعم",1,0)</f>
        <v>0</v>
      </c>
      <c r="N2054">
        <f>IF(Table1[[#This Row],[وسيلة الدفع]]="بطاقة",1,0)</f>
        <v>0</v>
      </c>
      <c r="O2054">
        <f>IF(Table1[[#This Row],[وسيلة الدفع]]="محفظة",1,0)</f>
        <v>0</v>
      </c>
      <c r="P2054">
        <f>IF(Table1[[#This Row],[وسيلة الدفع]]="تحويل",1,0)</f>
        <v>1</v>
      </c>
      <c r="Q2054">
        <f>IF(Table1[[#This Row],[حضر التهيئة]]="نعم",1,0)</f>
        <v>1</v>
      </c>
      <c r="R2054">
        <f>IF(Table1[[#This Row],[دورة الفوترة]]="شهري",1,0)</f>
        <v>1</v>
      </c>
    </row>
    <row r="2055" spans="1:18" x14ac:dyDescent="0.25">
      <c r="A2055" t="s">
        <v>2075</v>
      </c>
      <c r="B2055" s="1">
        <v>45740</v>
      </c>
      <c r="C2055" t="s">
        <v>28</v>
      </c>
      <c r="D2055">
        <v>39</v>
      </c>
      <c r="E2055" t="s">
        <v>14</v>
      </c>
      <c r="F2055">
        <v>25</v>
      </c>
      <c r="G2055" t="s">
        <v>23</v>
      </c>
      <c r="H2055">
        <v>1</v>
      </c>
      <c r="I2055">
        <v>3</v>
      </c>
      <c r="J2055">
        <v>0</v>
      </c>
      <c r="K2055" t="s">
        <v>16</v>
      </c>
      <c r="L2055" t="s">
        <v>17</v>
      </c>
      <c r="M2055">
        <f>IF(Table1[[#This Row],[ألغى الاشتراك]]="نعم",1,0)</f>
        <v>0</v>
      </c>
      <c r="N2055">
        <f>IF(Table1[[#This Row],[وسيلة الدفع]]="بطاقة",1,0)</f>
        <v>0</v>
      </c>
      <c r="O2055">
        <f>IF(Table1[[#This Row],[وسيلة الدفع]]="محفظة",1,0)</f>
        <v>0</v>
      </c>
      <c r="P2055">
        <f>IF(Table1[[#This Row],[وسيلة الدفع]]="تحويل",1,0)</f>
        <v>1</v>
      </c>
      <c r="Q2055">
        <f>IF(Table1[[#This Row],[حضر التهيئة]]="نعم",1,0)</f>
        <v>1</v>
      </c>
      <c r="R2055">
        <f>IF(Table1[[#This Row],[دورة الفوترة]]="شهري",1,0)</f>
        <v>1</v>
      </c>
    </row>
    <row r="2056" spans="1:18" x14ac:dyDescent="0.25">
      <c r="A2056" t="s">
        <v>2076</v>
      </c>
      <c r="B2056" s="1">
        <v>45399</v>
      </c>
      <c r="C2056" t="s">
        <v>28</v>
      </c>
      <c r="D2056">
        <v>39</v>
      </c>
      <c r="E2056" t="s">
        <v>14</v>
      </c>
      <c r="F2056">
        <v>30</v>
      </c>
      <c r="G2056" t="s">
        <v>21</v>
      </c>
      <c r="H2056">
        <v>2</v>
      </c>
      <c r="I2056">
        <v>14</v>
      </c>
      <c r="J2056">
        <v>0</v>
      </c>
      <c r="K2056" t="s">
        <v>16</v>
      </c>
      <c r="L2056" t="s">
        <v>17</v>
      </c>
      <c r="M2056">
        <f>IF(Table1[[#This Row],[ألغى الاشتراك]]="نعم",1,0)</f>
        <v>0</v>
      </c>
      <c r="N2056">
        <f>IF(Table1[[#This Row],[وسيلة الدفع]]="بطاقة",1,0)</f>
        <v>0</v>
      </c>
      <c r="O2056">
        <f>IF(Table1[[#This Row],[وسيلة الدفع]]="محفظة",1,0)</f>
        <v>1</v>
      </c>
      <c r="P2056">
        <f>IF(Table1[[#This Row],[وسيلة الدفع]]="تحويل",1,0)</f>
        <v>0</v>
      </c>
      <c r="Q2056">
        <f>IF(Table1[[#This Row],[حضر التهيئة]]="نعم",1,0)</f>
        <v>1</v>
      </c>
      <c r="R2056">
        <f>IF(Table1[[#This Row],[دورة الفوترة]]="شهري",1,0)</f>
        <v>1</v>
      </c>
    </row>
    <row r="2057" spans="1:18" x14ac:dyDescent="0.25">
      <c r="A2057" t="s">
        <v>2077</v>
      </c>
      <c r="B2057" s="1">
        <v>45679</v>
      </c>
      <c r="C2057" t="s">
        <v>19</v>
      </c>
      <c r="D2057">
        <v>189</v>
      </c>
      <c r="E2057" t="s">
        <v>20</v>
      </c>
      <c r="F2057">
        <v>3</v>
      </c>
      <c r="G2057" t="s">
        <v>15</v>
      </c>
      <c r="H2057">
        <v>0</v>
      </c>
      <c r="I2057">
        <v>9</v>
      </c>
      <c r="J2057">
        <v>0</v>
      </c>
      <c r="K2057" t="s">
        <v>16</v>
      </c>
      <c r="L2057" t="s">
        <v>17</v>
      </c>
      <c r="M2057">
        <f>IF(Table1[[#This Row],[ألغى الاشتراك]]="نعم",1,0)</f>
        <v>0</v>
      </c>
      <c r="N2057">
        <f>IF(Table1[[#This Row],[وسيلة الدفع]]="بطاقة",1,0)</f>
        <v>1</v>
      </c>
      <c r="O2057">
        <f>IF(Table1[[#This Row],[وسيلة الدفع]]="محفظة",1,0)</f>
        <v>0</v>
      </c>
      <c r="P2057">
        <f>IF(Table1[[#This Row],[وسيلة الدفع]]="تحويل",1,0)</f>
        <v>0</v>
      </c>
      <c r="Q2057">
        <f>IF(Table1[[#This Row],[حضر التهيئة]]="نعم",1,0)</f>
        <v>1</v>
      </c>
      <c r="R2057">
        <f>IF(Table1[[#This Row],[دورة الفوترة]]="شهري",1,0)</f>
        <v>0</v>
      </c>
    </row>
    <row r="2058" spans="1:18" x14ac:dyDescent="0.25">
      <c r="A2058" t="s">
        <v>2078</v>
      </c>
      <c r="B2058" s="1">
        <v>45458</v>
      </c>
      <c r="C2058" t="s">
        <v>13</v>
      </c>
      <c r="D2058">
        <v>89</v>
      </c>
      <c r="E2058" t="s">
        <v>14</v>
      </c>
      <c r="F2058">
        <v>4</v>
      </c>
      <c r="G2058" t="s">
        <v>21</v>
      </c>
      <c r="H2058">
        <v>10</v>
      </c>
      <c r="I2058">
        <v>36</v>
      </c>
      <c r="J2058">
        <v>0</v>
      </c>
      <c r="K2058" t="s">
        <v>16</v>
      </c>
      <c r="L2058" t="s">
        <v>17</v>
      </c>
      <c r="M2058">
        <f>IF(Table1[[#This Row],[ألغى الاشتراك]]="نعم",1,0)</f>
        <v>0</v>
      </c>
      <c r="N2058">
        <f>IF(Table1[[#This Row],[وسيلة الدفع]]="بطاقة",1,0)</f>
        <v>0</v>
      </c>
      <c r="O2058">
        <f>IF(Table1[[#This Row],[وسيلة الدفع]]="محفظة",1,0)</f>
        <v>1</v>
      </c>
      <c r="P2058">
        <f>IF(Table1[[#This Row],[وسيلة الدفع]]="تحويل",1,0)</f>
        <v>0</v>
      </c>
      <c r="Q2058">
        <f>IF(Table1[[#This Row],[حضر التهيئة]]="نعم",1,0)</f>
        <v>1</v>
      </c>
      <c r="R2058">
        <f>IF(Table1[[#This Row],[دورة الفوترة]]="شهري",1,0)</f>
        <v>1</v>
      </c>
    </row>
    <row r="2059" spans="1:18" x14ac:dyDescent="0.25">
      <c r="A2059" t="s">
        <v>2079</v>
      </c>
      <c r="B2059" s="1">
        <v>45862</v>
      </c>
      <c r="C2059" t="s">
        <v>13</v>
      </c>
      <c r="D2059">
        <v>89</v>
      </c>
      <c r="E2059" t="s">
        <v>20</v>
      </c>
      <c r="F2059">
        <v>9</v>
      </c>
      <c r="G2059" t="s">
        <v>23</v>
      </c>
      <c r="H2059">
        <v>11</v>
      </c>
      <c r="I2059">
        <v>15</v>
      </c>
      <c r="J2059">
        <v>0</v>
      </c>
      <c r="K2059" t="s">
        <v>16</v>
      </c>
      <c r="L2059" t="s">
        <v>17</v>
      </c>
      <c r="M2059">
        <f>IF(Table1[[#This Row],[ألغى الاشتراك]]="نعم",1,0)</f>
        <v>0</v>
      </c>
      <c r="N2059">
        <f>IF(Table1[[#This Row],[وسيلة الدفع]]="بطاقة",1,0)</f>
        <v>0</v>
      </c>
      <c r="O2059">
        <f>IF(Table1[[#This Row],[وسيلة الدفع]]="محفظة",1,0)</f>
        <v>0</v>
      </c>
      <c r="P2059">
        <f>IF(Table1[[#This Row],[وسيلة الدفع]]="تحويل",1,0)</f>
        <v>1</v>
      </c>
      <c r="Q2059">
        <f>IF(Table1[[#This Row],[حضر التهيئة]]="نعم",1,0)</f>
        <v>1</v>
      </c>
      <c r="R2059">
        <f>IF(Table1[[#This Row],[دورة الفوترة]]="شهري",1,0)</f>
        <v>0</v>
      </c>
    </row>
    <row r="2060" spans="1:18" x14ac:dyDescent="0.25">
      <c r="A2060" t="s">
        <v>2080</v>
      </c>
      <c r="B2060" s="1">
        <v>45791</v>
      </c>
      <c r="C2060" t="s">
        <v>13</v>
      </c>
      <c r="D2060">
        <v>89</v>
      </c>
      <c r="E2060" t="s">
        <v>20</v>
      </c>
      <c r="F2060">
        <v>6</v>
      </c>
      <c r="G2060" t="s">
        <v>23</v>
      </c>
      <c r="H2060">
        <v>1</v>
      </c>
      <c r="I2060">
        <v>4</v>
      </c>
      <c r="J2060">
        <v>5</v>
      </c>
      <c r="K2060" t="s">
        <v>17</v>
      </c>
      <c r="L2060" t="s">
        <v>17</v>
      </c>
      <c r="M2060">
        <f>IF(Table1[[#This Row],[ألغى الاشتراك]]="نعم",1,0)</f>
        <v>0</v>
      </c>
      <c r="N2060">
        <f>IF(Table1[[#This Row],[وسيلة الدفع]]="بطاقة",1,0)</f>
        <v>0</v>
      </c>
      <c r="O2060">
        <f>IF(Table1[[#This Row],[وسيلة الدفع]]="محفظة",1,0)</f>
        <v>0</v>
      </c>
      <c r="P2060">
        <f>IF(Table1[[#This Row],[وسيلة الدفع]]="تحويل",1,0)</f>
        <v>1</v>
      </c>
      <c r="Q2060">
        <f>IF(Table1[[#This Row],[حضر التهيئة]]="نعم",1,0)</f>
        <v>0</v>
      </c>
      <c r="R2060">
        <f>IF(Table1[[#This Row],[دورة الفوترة]]="شهري",1,0)</f>
        <v>0</v>
      </c>
    </row>
    <row r="2061" spans="1:18" x14ac:dyDescent="0.25">
      <c r="A2061" t="s">
        <v>2081</v>
      </c>
      <c r="B2061" s="1">
        <v>45572</v>
      </c>
      <c r="C2061" t="s">
        <v>13</v>
      </c>
      <c r="D2061">
        <v>89</v>
      </c>
      <c r="E2061" t="s">
        <v>20</v>
      </c>
      <c r="F2061">
        <v>12</v>
      </c>
      <c r="G2061" t="s">
        <v>15</v>
      </c>
      <c r="H2061">
        <v>1</v>
      </c>
      <c r="I2061">
        <v>18</v>
      </c>
      <c r="J2061">
        <v>0</v>
      </c>
      <c r="K2061" t="s">
        <v>17</v>
      </c>
      <c r="L2061" t="s">
        <v>17</v>
      </c>
      <c r="M2061">
        <f>IF(Table1[[#This Row],[ألغى الاشتراك]]="نعم",1,0)</f>
        <v>0</v>
      </c>
      <c r="N2061">
        <f>IF(Table1[[#This Row],[وسيلة الدفع]]="بطاقة",1,0)</f>
        <v>1</v>
      </c>
      <c r="O2061">
        <f>IF(Table1[[#This Row],[وسيلة الدفع]]="محفظة",1,0)</f>
        <v>0</v>
      </c>
      <c r="P2061">
        <f>IF(Table1[[#This Row],[وسيلة الدفع]]="تحويل",1,0)</f>
        <v>0</v>
      </c>
      <c r="Q2061">
        <f>IF(Table1[[#This Row],[حضر التهيئة]]="نعم",1,0)</f>
        <v>0</v>
      </c>
      <c r="R2061">
        <f>IF(Table1[[#This Row],[دورة الفوترة]]="شهري",1,0)</f>
        <v>0</v>
      </c>
    </row>
    <row r="2062" spans="1:18" x14ac:dyDescent="0.25">
      <c r="A2062" t="s">
        <v>2082</v>
      </c>
      <c r="B2062" s="1">
        <v>45403</v>
      </c>
      <c r="C2062" t="s">
        <v>19</v>
      </c>
      <c r="D2062">
        <v>189</v>
      </c>
      <c r="E2062" t="s">
        <v>20</v>
      </c>
      <c r="F2062">
        <v>7</v>
      </c>
      <c r="G2062" t="s">
        <v>21</v>
      </c>
      <c r="H2062">
        <v>0</v>
      </c>
      <c r="I2062">
        <v>43</v>
      </c>
      <c r="J2062">
        <v>25</v>
      </c>
      <c r="K2062" t="s">
        <v>16</v>
      </c>
      <c r="L2062" t="s">
        <v>17</v>
      </c>
      <c r="M2062">
        <f>IF(Table1[[#This Row],[ألغى الاشتراك]]="نعم",1,0)</f>
        <v>0</v>
      </c>
      <c r="N2062">
        <f>IF(Table1[[#This Row],[وسيلة الدفع]]="بطاقة",1,0)</f>
        <v>0</v>
      </c>
      <c r="O2062">
        <f>IF(Table1[[#This Row],[وسيلة الدفع]]="محفظة",1,0)</f>
        <v>1</v>
      </c>
      <c r="P2062">
        <f>IF(Table1[[#This Row],[وسيلة الدفع]]="تحويل",1,0)</f>
        <v>0</v>
      </c>
      <c r="Q2062">
        <f>IF(Table1[[#This Row],[حضر التهيئة]]="نعم",1,0)</f>
        <v>1</v>
      </c>
      <c r="R2062">
        <f>IF(Table1[[#This Row],[دورة الفوترة]]="شهري",1,0)</f>
        <v>0</v>
      </c>
    </row>
    <row r="2063" spans="1:18" x14ac:dyDescent="0.25">
      <c r="A2063" t="s">
        <v>2083</v>
      </c>
      <c r="B2063" s="1">
        <v>45799</v>
      </c>
      <c r="C2063" t="s">
        <v>19</v>
      </c>
      <c r="D2063">
        <v>189</v>
      </c>
      <c r="E2063" t="s">
        <v>14</v>
      </c>
      <c r="F2063">
        <v>27</v>
      </c>
      <c r="G2063" t="s">
        <v>21</v>
      </c>
      <c r="H2063">
        <v>0</v>
      </c>
      <c r="I2063">
        <v>19</v>
      </c>
      <c r="J2063">
        <v>0</v>
      </c>
      <c r="K2063" t="s">
        <v>16</v>
      </c>
      <c r="L2063" t="s">
        <v>17</v>
      </c>
      <c r="M2063">
        <f>IF(Table1[[#This Row],[ألغى الاشتراك]]="نعم",1,0)</f>
        <v>0</v>
      </c>
      <c r="N2063">
        <f>IF(Table1[[#This Row],[وسيلة الدفع]]="بطاقة",1,0)</f>
        <v>0</v>
      </c>
      <c r="O2063">
        <f>IF(Table1[[#This Row],[وسيلة الدفع]]="محفظة",1,0)</f>
        <v>1</v>
      </c>
      <c r="P2063">
        <f>IF(Table1[[#This Row],[وسيلة الدفع]]="تحويل",1,0)</f>
        <v>0</v>
      </c>
      <c r="Q2063">
        <f>IF(Table1[[#This Row],[حضر التهيئة]]="نعم",1,0)</f>
        <v>1</v>
      </c>
      <c r="R2063">
        <f>IF(Table1[[#This Row],[دورة الفوترة]]="شهري",1,0)</f>
        <v>1</v>
      </c>
    </row>
    <row r="2064" spans="1:18" x14ac:dyDescent="0.25">
      <c r="A2064" t="s">
        <v>2084</v>
      </c>
      <c r="B2064" s="1">
        <v>45588</v>
      </c>
      <c r="C2064" t="s">
        <v>19</v>
      </c>
      <c r="D2064">
        <v>189</v>
      </c>
      <c r="E2064" t="s">
        <v>14</v>
      </c>
      <c r="F2064">
        <v>30</v>
      </c>
      <c r="G2064" t="s">
        <v>21</v>
      </c>
      <c r="H2064">
        <v>2</v>
      </c>
      <c r="I2064">
        <v>32</v>
      </c>
      <c r="J2064">
        <v>0</v>
      </c>
      <c r="K2064" t="s">
        <v>16</v>
      </c>
      <c r="L2064" t="s">
        <v>17</v>
      </c>
      <c r="M2064">
        <f>IF(Table1[[#This Row],[ألغى الاشتراك]]="نعم",1,0)</f>
        <v>0</v>
      </c>
      <c r="N2064">
        <f>IF(Table1[[#This Row],[وسيلة الدفع]]="بطاقة",1,0)</f>
        <v>0</v>
      </c>
      <c r="O2064">
        <f>IF(Table1[[#This Row],[وسيلة الدفع]]="محفظة",1,0)</f>
        <v>1</v>
      </c>
      <c r="P2064">
        <f>IF(Table1[[#This Row],[وسيلة الدفع]]="تحويل",1,0)</f>
        <v>0</v>
      </c>
      <c r="Q2064">
        <f>IF(Table1[[#This Row],[حضر التهيئة]]="نعم",1,0)</f>
        <v>1</v>
      </c>
      <c r="R2064">
        <f>IF(Table1[[#This Row],[دورة الفوترة]]="شهري",1,0)</f>
        <v>1</v>
      </c>
    </row>
    <row r="2065" spans="1:18" x14ac:dyDescent="0.25">
      <c r="A2065" t="s">
        <v>2085</v>
      </c>
      <c r="B2065" s="1">
        <v>45391</v>
      </c>
      <c r="C2065" t="s">
        <v>19</v>
      </c>
      <c r="D2065">
        <v>189</v>
      </c>
      <c r="E2065" t="s">
        <v>14</v>
      </c>
      <c r="F2065">
        <v>1</v>
      </c>
      <c r="G2065" t="s">
        <v>15</v>
      </c>
      <c r="H2065">
        <v>10</v>
      </c>
      <c r="I2065">
        <v>57</v>
      </c>
      <c r="J2065">
        <v>25</v>
      </c>
      <c r="K2065" t="s">
        <v>16</v>
      </c>
      <c r="L2065" t="s">
        <v>17</v>
      </c>
      <c r="M2065">
        <f>IF(Table1[[#This Row],[ألغى الاشتراك]]="نعم",1,0)</f>
        <v>0</v>
      </c>
      <c r="N2065">
        <f>IF(Table1[[#This Row],[وسيلة الدفع]]="بطاقة",1,0)</f>
        <v>1</v>
      </c>
      <c r="O2065">
        <f>IF(Table1[[#This Row],[وسيلة الدفع]]="محفظة",1,0)</f>
        <v>0</v>
      </c>
      <c r="P2065">
        <f>IF(Table1[[#This Row],[وسيلة الدفع]]="تحويل",1,0)</f>
        <v>0</v>
      </c>
      <c r="Q2065">
        <f>IF(Table1[[#This Row],[حضر التهيئة]]="نعم",1,0)</f>
        <v>1</v>
      </c>
      <c r="R2065">
        <f>IF(Table1[[#This Row],[دورة الفوترة]]="شهري",1,0)</f>
        <v>1</v>
      </c>
    </row>
    <row r="2066" spans="1:18" x14ac:dyDescent="0.25">
      <c r="A2066" t="s">
        <v>2086</v>
      </c>
      <c r="B2066" s="1">
        <v>45779</v>
      </c>
      <c r="C2066" t="s">
        <v>28</v>
      </c>
      <c r="D2066">
        <v>39</v>
      </c>
      <c r="E2066" t="s">
        <v>14</v>
      </c>
      <c r="F2066">
        <v>13</v>
      </c>
      <c r="G2066" t="s">
        <v>15</v>
      </c>
      <c r="H2066">
        <v>8</v>
      </c>
      <c r="I2066">
        <v>59</v>
      </c>
      <c r="J2066">
        <v>0</v>
      </c>
      <c r="K2066" t="s">
        <v>16</v>
      </c>
      <c r="L2066" t="s">
        <v>17</v>
      </c>
      <c r="M2066">
        <f>IF(Table1[[#This Row],[ألغى الاشتراك]]="نعم",1,0)</f>
        <v>0</v>
      </c>
      <c r="N2066">
        <f>IF(Table1[[#This Row],[وسيلة الدفع]]="بطاقة",1,0)</f>
        <v>1</v>
      </c>
      <c r="O2066">
        <f>IF(Table1[[#This Row],[وسيلة الدفع]]="محفظة",1,0)</f>
        <v>0</v>
      </c>
      <c r="P2066">
        <f>IF(Table1[[#This Row],[وسيلة الدفع]]="تحويل",1,0)</f>
        <v>0</v>
      </c>
      <c r="Q2066">
        <f>IF(Table1[[#This Row],[حضر التهيئة]]="نعم",1,0)</f>
        <v>1</v>
      </c>
      <c r="R2066">
        <f>IF(Table1[[#This Row],[دورة الفوترة]]="شهري",1,0)</f>
        <v>1</v>
      </c>
    </row>
    <row r="2067" spans="1:18" x14ac:dyDescent="0.25">
      <c r="A2067" t="s">
        <v>2087</v>
      </c>
      <c r="B2067" s="1">
        <v>45333</v>
      </c>
      <c r="C2067" t="s">
        <v>13</v>
      </c>
      <c r="D2067">
        <v>89</v>
      </c>
      <c r="E2067" t="s">
        <v>20</v>
      </c>
      <c r="F2067">
        <v>26</v>
      </c>
      <c r="G2067" t="s">
        <v>21</v>
      </c>
      <c r="H2067">
        <v>2</v>
      </c>
      <c r="I2067">
        <v>14</v>
      </c>
      <c r="J2067">
        <v>0</v>
      </c>
      <c r="K2067" t="s">
        <v>17</v>
      </c>
      <c r="L2067" t="s">
        <v>17</v>
      </c>
      <c r="M2067">
        <f>IF(Table1[[#This Row],[ألغى الاشتراك]]="نعم",1,0)</f>
        <v>0</v>
      </c>
      <c r="N2067">
        <f>IF(Table1[[#This Row],[وسيلة الدفع]]="بطاقة",1,0)</f>
        <v>0</v>
      </c>
      <c r="O2067">
        <f>IF(Table1[[#This Row],[وسيلة الدفع]]="محفظة",1,0)</f>
        <v>1</v>
      </c>
      <c r="P2067">
        <f>IF(Table1[[#This Row],[وسيلة الدفع]]="تحويل",1,0)</f>
        <v>0</v>
      </c>
      <c r="Q2067">
        <f>IF(Table1[[#This Row],[حضر التهيئة]]="نعم",1,0)</f>
        <v>0</v>
      </c>
      <c r="R2067">
        <f>IF(Table1[[#This Row],[دورة الفوترة]]="شهري",1,0)</f>
        <v>0</v>
      </c>
    </row>
    <row r="2068" spans="1:18" x14ac:dyDescent="0.25">
      <c r="A2068" t="s">
        <v>2088</v>
      </c>
      <c r="B2068" s="1">
        <v>45858</v>
      </c>
      <c r="C2068" t="s">
        <v>19</v>
      </c>
      <c r="D2068">
        <v>189</v>
      </c>
      <c r="E2068" t="s">
        <v>20</v>
      </c>
      <c r="F2068">
        <v>23</v>
      </c>
      <c r="G2068" t="s">
        <v>23</v>
      </c>
      <c r="H2068">
        <v>0</v>
      </c>
      <c r="I2068">
        <v>57</v>
      </c>
      <c r="J2068">
        <v>0</v>
      </c>
      <c r="K2068" t="s">
        <v>16</v>
      </c>
      <c r="L2068" t="s">
        <v>17</v>
      </c>
      <c r="M2068">
        <f>IF(Table1[[#This Row],[ألغى الاشتراك]]="نعم",1,0)</f>
        <v>0</v>
      </c>
      <c r="N2068">
        <f>IF(Table1[[#This Row],[وسيلة الدفع]]="بطاقة",1,0)</f>
        <v>0</v>
      </c>
      <c r="O2068">
        <f>IF(Table1[[#This Row],[وسيلة الدفع]]="محفظة",1,0)</f>
        <v>0</v>
      </c>
      <c r="P2068">
        <f>IF(Table1[[#This Row],[وسيلة الدفع]]="تحويل",1,0)</f>
        <v>1</v>
      </c>
      <c r="Q2068">
        <f>IF(Table1[[#This Row],[حضر التهيئة]]="نعم",1,0)</f>
        <v>1</v>
      </c>
      <c r="R2068">
        <f>IF(Table1[[#This Row],[دورة الفوترة]]="شهري",1,0)</f>
        <v>0</v>
      </c>
    </row>
    <row r="2069" spans="1:18" x14ac:dyDescent="0.25">
      <c r="A2069" t="s">
        <v>2089</v>
      </c>
      <c r="B2069" s="1">
        <v>45643</v>
      </c>
      <c r="C2069" t="s">
        <v>13</v>
      </c>
      <c r="D2069">
        <v>89</v>
      </c>
      <c r="E2069" t="s">
        <v>20</v>
      </c>
      <c r="F2069">
        <v>10</v>
      </c>
      <c r="G2069" t="s">
        <v>21</v>
      </c>
      <c r="H2069">
        <v>7</v>
      </c>
      <c r="I2069">
        <v>8</v>
      </c>
      <c r="J2069">
        <v>0</v>
      </c>
      <c r="K2069" t="s">
        <v>16</v>
      </c>
      <c r="L2069" t="s">
        <v>17</v>
      </c>
      <c r="M2069">
        <f>IF(Table1[[#This Row],[ألغى الاشتراك]]="نعم",1,0)</f>
        <v>0</v>
      </c>
      <c r="N2069">
        <f>IF(Table1[[#This Row],[وسيلة الدفع]]="بطاقة",1,0)</f>
        <v>0</v>
      </c>
      <c r="O2069">
        <f>IF(Table1[[#This Row],[وسيلة الدفع]]="محفظة",1,0)</f>
        <v>1</v>
      </c>
      <c r="P2069">
        <f>IF(Table1[[#This Row],[وسيلة الدفع]]="تحويل",1,0)</f>
        <v>0</v>
      </c>
      <c r="Q2069">
        <f>IF(Table1[[#This Row],[حضر التهيئة]]="نعم",1,0)</f>
        <v>1</v>
      </c>
      <c r="R2069">
        <f>IF(Table1[[#This Row],[دورة الفوترة]]="شهري",1,0)</f>
        <v>0</v>
      </c>
    </row>
    <row r="2070" spans="1:18" x14ac:dyDescent="0.25">
      <c r="A2070" t="s">
        <v>2090</v>
      </c>
      <c r="B2070" s="1">
        <v>45671</v>
      </c>
      <c r="C2070" t="s">
        <v>19</v>
      </c>
      <c r="D2070">
        <v>189</v>
      </c>
      <c r="E2070" t="s">
        <v>14</v>
      </c>
      <c r="F2070">
        <v>15</v>
      </c>
      <c r="G2070" t="s">
        <v>21</v>
      </c>
      <c r="H2070">
        <v>0</v>
      </c>
      <c r="I2070">
        <v>21</v>
      </c>
      <c r="J2070">
        <v>0</v>
      </c>
      <c r="K2070" t="s">
        <v>17</v>
      </c>
      <c r="L2070" t="s">
        <v>17</v>
      </c>
      <c r="M2070">
        <f>IF(Table1[[#This Row],[ألغى الاشتراك]]="نعم",1,0)</f>
        <v>0</v>
      </c>
      <c r="N2070">
        <f>IF(Table1[[#This Row],[وسيلة الدفع]]="بطاقة",1,0)</f>
        <v>0</v>
      </c>
      <c r="O2070">
        <f>IF(Table1[[#This Row],[وسيلة الدفع]]="محفظة",1,0)</f>
        <v>1</v>
      </c>
      <c r="P2070">
        <f>IF(Table1[[#This Row],[وسيلة الدفع]]="تحويل",1,0)</f>
        <v>0</v>
      </c>
      <c r="Q2070">
        <f>IF(Table1[[#This Row],[حضر التهيئة]]="نعم",1,0)</f>
        <v>0</v>
      </c>
      <c r="R2070">
        <f>IF(Table1[[#This Row],[دورة الفوترة]]="شهري",1,0)</f>
        <v>1</v>
      </c>
    </row>
    <row r="2071" spans="1:18" x14ac:dyDescent="0.25">
      <c r="A2071" t="s">
        <v>2091</v>
      </c>
      <c r="B2071" s="1">
        <v>45466</v>
      </c>
      <c r="C2071" t="s">
        <v>13</v>
      </c>
      <c r="D2071">
        <v>89</v>
      </c>
      <c r="E2071" t="s">
        <v>14</v>
      </c>
      <c r="F2071">
        <v>10</v>
      </c>
      <c r="G2071" t="s">
        <v>23</v>
      </c>
      <c r="H2071">
        <v>2</v>
      </c>
      <c r="I2071">
        <v>30</v>
      </c>
      <c r="J2071">
        <v>0</v>
      </c>
      <c r="K2071" t="s">
        <v>16</v>
      </c>
      <c r="L2071" t="s">
        <v>17</v>
      </c>
      <c r="M2071">
        <f>IF(Table1[[#This Row],[ألغى الاشتراك]]="نعم",1,0)</f>
        <v>0</v>
      </c>
      <c r="N2071">
        <f>IF(Table1[[#This Row],[وسيلة الدفع]]="بطاقة",1,0)</f>
        <v>0</v>
      </c>
      <c r="O2071">
        <f>IF(Table1[[#This Row],[وسيلة الدفع]]="محفظة",1,0)</f>
        <v>0</v>
      </c>
      <c r="P2071">
        <f>IF(Table1[[#This Row],[وسيلة الدفع]]="تحويل",1,0)</f>
        <v>1</v>
      </c>
      <c r="Q2071">
        <f>IF(Table1[[#This Row],[حضر التهيئة]]="نعم",1,0)</f>
        <v>1</v>
      </c>
      <c r="R2071">
        <f>IF(Table1[[#This Row],[دورة الفوترة]]="شهري",1,0)</f>
        <v>1</v>
      </c>
    </row>
    <row r="2072" spans="1:18" x14ac:dyDescent="0.25">
      <c r="A2072" t="s">
        <v>2092</v>
      </c>
      <c r="B2072" s="1">
        <v>45744</v>
      </c>
      <c r="C2072" t="s">
        <v>19</v>
      </c>
      <c r="D2072">
        <v>189</v>
      </c>
      <c r="E2072" t="s">
        <v>20</v>
      </c>
      <c r="F2072">
        <v>7</v>
      </c>
      <c r="G2072" t="s">
        <v>21</v>
      </c>
      <c r="H2072">
        <v>1</v>
      </c>
      <c r="I2072">
        <v>39</v>
      </c>
      <c r="J2072">
        <v>0</v>
      </c>
      <c r="K2072" t="s">
        <v>16</v>
      </c>
      <c r="L2072" t="s">
        <v>17</v>
      </c>
      <c r="M2072">
        <f>IF(Table1[[#This Row],[ألغى الاشتراك]]="نعم",1,0)</f>
        <v>0</v>
      </c>
      <c r="N2072">
        <f>IF(Table1[[#This Row],[وسيلة الدفع]]="بطاقة",1,0)</f>
        <v>0</v>
      </c>
      <c r="O2072">
        <f>IF(Table1[[#This Row],[وسيلة الدفع]]="محفظة",1,0)</f>
        <v>1</v>
      </c>
      <c r="P2072">
        <f>IF(Table1[[#This Row],[وسيلة الدفع]]="تحويل",1,0)</f>
        <v>0</v>
      </c>
      <c r="Q2072">
        <f>IF(Table1[[#This Row],[حضر التهيئة]]="نعم",1,0)</f>
        <v>1</v>
      </c>
      <c r="R2072">
        <f>IF(Table1[[#This Row],[دورة الفوترة]]="شهري",1,0)</f>
        <v>0</v>
      </c>
    </row>
    <row r="2073" spans="1:18" x14ac:dyDescent="0.25">
      <c r="A2073" t="s">
        <v>2093</v>
      </c>
      <c r="B2073" s="1">
        <v>45395</v>
      </c>
      <c r="C2073" t="s">
        <v>13</v>
      </c>
      <c r="D2073">
        <v>89</v>
      </c>
      <c r="E2073" t="s">
        <v>14</v>
      </c>
      <c r="F2073">
        <v>18</v>
      </c>
      <c r="G2073" t="s">
        <v>23</v>
      </c>
      <c r="H2073">
        <v>4</v>
      </c>
      <c r="I2073">
        <v>52</v>
      </c>
      <c r="J2073">
        <v>0</v>
      </c>
      <c r="K2073" t="s">
        <v>17</v>
      </c>
      <c r="L2073" t="s">
        <v>17</v>
      </c>
      <c r="M2073">
        <f>IF(Table1[[#This Row],[ألغى الاشتراك]]="نعم",1,0)</f>
        <v>0</v>
      </c>
      <c r="N2073">
        <f>IF(Table1[[#This Row],[وسيلة الدفع]]="بطاقة",1,0)</f>
        <v>0</v>
      </c>
      <c r="O2073">
        <f>IF(Table1[[#This Row],[وسيلة الدفع]]="محفظة",1,0)</f>
        <v>0</v>
      </c>
      <c r="P2073">
        <f>IF(Table1[[#This Row],[وسيلة الدفع]]="تحويل",1,0)</f>
        <v>1</v>
      </c>
      <c r="Q2073">
        <f>IF(Table1[[#This Row],[حضر التهيئة]]="نعم",1,0)</f>
        <v>0</v>
      </c>
      <c r="R2073">
        <f>IF(Table1[[#This Row],[دورة الفوترة]]="شهري",1,0)</f>
        <v>1</v>
      </c>
    </row>
    <row r="2074" spans="1:18" x14ac:dyDescent="0.25">
      <c r="A2074" t="s">
        <v>2094</v>
      </c>
      <c r="B2074" s="1">
        <v>45576</v>
      </c>
      <c r="C2074" t="s">
        <v>19</v>
      </c>
      <c r="D2074">
        <v>189</v>
      </c>
      <c r="E2074" t="s">
        <v>14</v>
      </c>
      <c r="F2074">
        <v>3</v>
      </c>
      <c r="G2074" t="s">
        <v>15</v>
      </c>
      <c r="H2074">
        <v>0</v>
      </c>
      <c r="I2074">
        <v>57</v>
      </c>
      <c r="J2074">
        <v>10</v>
      </c>
      <c r="K2074" t="s">
        <v>17</v>
      </c>
      <c r="L2074" t="s">
        <v>17</v>
      </c>
      <c r="M2074">
        <f>IF(Table1[[#This Row],[ألغى الاشتراك]]="نعم",1,0)</f>
        <v>0</v>
      </c>
      <c r="N2074">
        <f>IF(Table1[[#This Row],[وسيلة الدفع]]="بطاقة",1,0)</f>
        <v>1</v>
      </c>
      <c r="O2074">
        <f>IF(Table1[[#This Row],[وسيلة الدفع]]="محفظة",1,0)</f>
        <v>0</v>
      </c>
      <c r="P2074">
        <f>IF(Table1[[#This Row],[وسيلة الدفع]]="تحويل",1,0)</f>
        <v>0</v>
      </c>
      <c r="Q2074">
        <f>IF(Table1[[#This Row],[حضر التهيئة]]="نعم",1,0)</f>
        <v>0</v>
      </c>
      <c r="R2074">
        <f>IF(Table1[[#This Row],[دورة الفوترة]]="شهري",1,0)</f>
        <v>1</v>
      </c>
    </row>
    <row r="2075" spans="1:18" x14ac:dyDescent="0.25">
      <c r="A2075" t="s">
        <v>2095</v>
      </c>
      <c r="B2075" s="1">
        <v>45969</v>
      </c>
      <c r="C2075" t="s">
        <v>19</v>
      </c>
      <c r="D2075">
        <v>189</v>
      </c>
      <c r="E2075" t="s">
        <v>14</v>
      </c>
      <c r="F2075">
        <v>17</v>
      </c>
      <c r="G2075" t="s">
        <v>23</v>
      </c>
      <c r="H2075">
        <v>3</v>
      </c>
      <c r="I2075">
        <v>17</v>
      </c>
      <c r="J2075">
        <v>0</v>
      </c>
      <c r="K2075" t="s">
        <v>17</v>
      </c>
      <c r="L2075" t="s">
        <v>17</v>
      </c>
      <c r="M2075">
        <f>IF(Table1[[#This Row],[ألغى الاشتراك]]="نعم",1,0)</f>
        <v>0</v>
      </c>
      <c r="N2075">
        <f>IF(Table1[[#This Row],[وسيلة الدفع]]="بطاقة",1,0)</f>
        <v>0</v>
      </c>
      <c r="O2075">
        <f>IF(Table1[[#This Row],[وسيلة الدفع]]="محفظة",1,0)</f>
        <v>0</v>
      </c>
      <c r="P2075">
        <f>IF(Table1[[#This Row],[وسيلة الدفع]]="تحويل",1,0)</f>
        <v>1</v>
      </c>
      <c r="Q2075">
        <f>IF(Table1[[#This Row],[حضر التهيئة]]="نعم",1,0)</f>
        <v>0</v>
      </c>
      <c r="R2075">
        <f>IF(Table1[[#This Row],[دورة الفوترة]]="شهري",1,0)</f>
        <v>1</v>
      </c>
    </row>
    <row r="2076" spans="1:18" x14ac:dyDescent="0.25">
      <c r="A2076" t="s">
        <v>2096</v>
      </c>
      <c r="B2076" s="1">
        <v>45639</v>
      </c>
      <c r="C2076" t="s">
        <v>19</v>
      </c>
      <c r="D2076">
        <v>189</v>
      </c>
      <c r="E2076" t="s">
        <v>20</v>
      </c>
      <c r="F2076">
        <v>28</v>
      </c>
      <c r="G2076" t="s">
        <v>15</v>
      </c>
      <c r="H2076">
        <v>8</v>
      </c>
      <c r="I2076">
        <v>56</v>
      </c>
      <c r="J2076">
        <v>0</v>
      </c>
      <c r="K2076" t="s">
        <v>16</v>
      </c>
      <c r="L2076" t="s">
        <v>17</v>
      </c>
      <c r="M2076">
        <f>IF(Table1[[#This Row],[ألغى الاشتراك]]="نعم",1,0)</f>
        <v>0</v>
      </c>
      <c r="N2076">
        <f>IF(Table1[[#This Row],[وسيلة الدفع]]="بطاقة",1,0)</f>
        <v>1</v>
      </c>
      <c r="O2076">
        <f>IF(Table1[[#This Row],[وسيلة الدفع]]="محفظة",1,0)</f>
        <v>0</v>
      </c>
      <c r="P2076">
        <f>IF(Table1[[#This Row],[وسيلة الدفع]]="تحويل",1,0)</f>
        <v>0</v>
      </c>
      <c r="Q2076">
        <f>IF(Table1[[#This Row],[حضر التهيئة]]="نعم",1,0)</f>
        <v>1</v>
      </c>
      <c r="R2076">
        <f>IF(Table1[[#This Row],[دورة الفوترة]]="شهري",1,0)</f>
        <v>0</v>
      </c>
    </row>
    <row r="2077" spans="1:18" x14ac:dyDescent="0.25">
      <c r="A2077" t="s">
        <v>2097</v>
      </c>
      <c r="B2077" s="1">
        <v>45803</v>
      </c>
      <c r="C2077" t="s">
        <v>19</v>
      </c>
      <c r="D2077">
        <v>189</v>
      </c>
      <c r="E2077" t="s">
        <v>14</v>
      </c>
      <c r="F2077">
        <v>13</v>
      </c>
      <c r="G2077" t="s">
        <v>21</v>
      </c>
      <c r="H2077">
        <v>2</v>
      </c>
      <c r="I2077">
        <v>29</v>
      </c>
      <c r="J2077">
        <v>0</v>
      </c>
      <c r="K2077" t="s">
        <v>17</v>
      </c>
      <c r="L2077" t="s">
        <v>17</v>
      </c>
      <c r="M2077">
        <f>IF(Table1[[#This Row],[ألغى الاشتراك]]="نعم",1,0)</f>
        <v>0</v>
      </c>
      <c r="N2077">
        <f>IF(Table1[[#This Row],[وسيلة الدفع]]="بطاقة",1,0)</f>
        <v>0</v>
      </c>
      <c r="O2077">
        <f>IF(Table1[[#This Row],[وسيلة الدفع]]="محفظة",1,0)</f>
        <v>1</v>
      </c>
      <c r="P2077">
        <f>IF(Table1[[#This Row],[وسيلة الدفع]]="تحويل",1,0)</f>
        <v>0</v>
      </c>
      <c r="Q2077">
        <f>IF(Table1[[#This Row],[حضر التهيئة]]="نعم",1,0)</f>
        <v>0</v>
      </c>
      <c r="R2077">
        <f>IF(Table1[[#This Row],[دورة الفوترة]]="شهري",1,0)</f>
        <v>1</v>
      </c>
    </row>
    <row r="2078" spans="1:18" x14ac:dyDescent="0.25">
      <c r="A2078" t="s">
        <v>2098</v>
      </c>
      <c r="B2078" s="1">
        <v>45858</v>
      </c>
      <c r="C2078" t="s">
        <v>13</v>
      </c>
      <c r="D2078">
        <v>89</v>
      </c>
      <c r="E2078" t="s">
        <v>20</v>
      </c>
      <c r="F2078">
        <v>6</v>
      </c>
      <c r="G2078" t="s">
        <v>21</v>
      </c>
      <c r="H2078">
        <v>4</v>
      </c>
      <c r="I2078">
        <v>20</v>
      </c>
      <c r="J2078">
        <v>15</v>
      </c>
      <c r="K2078" t="s">
        <v>16</v>
      </c>
      <c r="L2078" t="s">
        <v>17</v>
      </c>
      <c r="M2078">
        <f>IF(Table1[[#This Row],[ألغى الاشتراك]]="نعم",1,0)</f>
        <v>0</v>
      </c>
      <c r="N2078">
        <f>IF(Table1[[#This Row],[وسيلة الدفع]]="بطاقة",1,0)</f>
        <v>0</v>
      </c>
      <c r="O2078">
        <f>IF(Table1[[#This Row],[وسيلة الدفع]]="محفظة",1,0)</f>
        <v>1</v>
      </c>
      <c r="P2078">
        <f>IF(Table1[[#This Row],[وسيلة الدفع]]="تحويل",1,0)</f>
        <v>0</v>
      </c>
      <c r="Q2078">
        <f>IF(Table1[[#This Row],[حضر التهيئة]]="نعم",1,0)</f>
        <v>1</v>
      </c>
      <c r="R2078">
        <f>IF(Table1[[#This Row],[دورة الفوترة]]="شهري",1,0)</f>
        <v>0</v>
      </c>
    </row>
    <row r="2079" spans="1:18" x14ac:dyDescent="0.25">
      <c r="A2079" t="s">
        <v>2099</v>
      </c>
      <c r="B2079" s="1">
        <v>45787</v>
      </c>
      <c r="C2079" t="s">
        <v>19</v>
      </c>
      <c r="D2079">
        <v>189</v>
      </c>
      <c r="E2079" t="s">
        <v>20</v>
      </c>
      <c r="F2079">
        <v>26</v>
      </c>
      <c r="G2079" t="s">
        <v>23</v>
      </c>
      <c r="H2079">
        <v>2</v>
      </c>
      <c r="I2079">
        <v>24</v>
      </c>
      <c r="J2079">
        <v>5</v>
      </c>
      <c r="K2079" t="s">
        <v>16</v>
      </c>
      <c r="L2079" t="s">
        <v>17</v>
      </c>
      <c r="M2079">
        <f>IF(Table1[[#This Row],[ألغى الاشتراك]]="نعم",1,0)</f>
        <v>0</v>
      </c>
      <c r="N2079">
        <f>IF(Table1[[#This Row],[وسيلة الدفع]]="بطاقة",1,0)</f>
        <v>0</v>
      </c>
      <c r="O2079">
        <f>IF(Table1[[#This Row],[وسيلة الدفع]]="محفظة",1,0)</f>
        <v>0</v>
      </c>
      <c r="P2079">
        <f>IF(Table1[[#This Row],[وسيلة الدفع]]="تحويل",1,0)</f>
        <v>1</v>
      </c>
      <c r="Q2079">
        <f>IF(Table1[[#This Row],[حضر التهيئة]]="نعم",1,0)</f>
        <v>1</v>
      </c>
      <c r="R2079">
        <f>IF(Table1[[#This Row],[دورة الفوترة]]="شهري",1,0)</f>
        <v>0</v>
      </c>
    </row>
    <row r="2080" spans="1:18" x14ac:dyDescent="0.25">
      <c r="A2080" t="s">
        <v>2100</v>
      </c>
      <c r="B2080" s="1">
        <v>45850</v>
      </c>
      <c r="C2080" t="s">
        <v>28</v>
      </c>
      <c r="D2080">
        <v>39</v>
      </c>
      <c r="E2080" t="s">
        <v>14</v>
      </c>
      <c r="F2080">
        <v>16</v>
      </c>
      <c r="G2080" t="s">
        <v>23</v>
      </c>
      <c r="H2080">
        <v>0</v>
      </c>
      <c r="I2080">
        <v>6</v>
      </c>
      <c r="J2080">
        <v>15</v>
      </c>
      <c r="K2080" t="s">
        <v>17</v>
      </c>
      <c r="L2080" t="s">
        <v>17</v>
      </c>
      <c r="M2080">
        <f>IF(Table1[[#This Row],[ألغى الاشتراك]]="نعم",1,0)</f>
        <v>0</v>
      </c>
      <c r="N2080">
        <f>IF(Table1[[#This Row],[وسيلة الدفع]]="بطاقة",1,0)</f>
        <v>0</v>
      </c>
      <c r="O2080">
        <f>IF(Table1[[#This Row],[وسيلة الدفع]]="محفظة",1,0)</f>
        <v>0</v>
      </c>
      <c r="P2080">
        <f>IF(Table1[[#This Row],[وسيلة الدفع]]="تحويل",1,0)</f>
        <v>1</v>
      </c>
      <c r="Q2080">
        <f>IF(Table1[[#This Row],[حضر التهيئة]]="نعم",1,0)</f>
        <v>0</v>
      </c>
      <c r="R2080">
        <f>IF(Table1[[#This Row],[دورة الفوترة]]="شهري",1,0)</f>
        <v>1</v>
      </c>
    </row>
    <row r="2081" spans="1:18" x14ac:dyDescent="0.25">
      <c r="A2081" t="s">
        <v>2101</v>
      </c>
      <c r="B2081" s="1">
        <v>45395</v>
      </c>
      <c r="C2081" t="s">
        <v>13</v>
      </c>
      <c r="D2081">
        <v>89</v>
      </c>
      <c r="E2081" t="s">
        <v>14</v>
      </c>
      <c r="F2081">
        <v>2</v>
      </c>
      <c r="G2081" t="s">
        <v>21</v>
      </c>
      <c r="H2081">
        <v>0</v>
      </c>
      <c r="I2081">
        <v>16</v>
      </c>
      <c r="J2081">
        <v>0</v>
      </c>
      <c r="K2081" t="s">
        <v>17</v>
      </c>
      <c r="L2081" t="s">
        <v>17</v>
      </c>
      <c r="M2081">
        <f>IF(Table1[[#This Row],[ألغى الاشتراك]]="نعم",1,0)</f>
        <v>0</v>
      </c>
      <c r="N2081">
        <f>IF(Table1[[#This Row],[وسيلة الدفع]]="بطاقة",1,0)</f>
        <v>0</v>
      </c>
      <c r="O2081">
        <f>IF(Table1[[#This Row],[وسيلة الدفع]]="محفظة",1,0)</f>
        <v>1</v>
      </c>
      <c r="P2081">
        <f>IF(Table1[[#This Row],[وسيلة الدفع]]="تحويل",1,0)</f>
        <v>0</v>
      </c>
      <c r="Q2081">
        <f>IF(Table1[[#This Row],[حضر التهيئة]]="نعم",1,0)</f>
        <v>0</v>
      </c>
      <c r="R2081">
        <f>IF(Table1[[#This Row],[دورة الفوترة]]="شهري",1,0)</f>
        <v>1</v>
      </c>
    </row>
    <row r="2082" spans="1:18" x14ac:dyDescent="0.25">
      <c r="A2082" t="s">
        <v>2102</v>
      </c>
      <c r="B2082" s="1">
        <v>45663</v>
      </c>
      <c r="C2082" t="s">
        <v>13</v>
      </c>
      <c r="D2082">
        <v>89</v>
      </c>
      <c r="E2082" t="s">
        <v>20</v>
      </c>
      <c r="F2082">
        <v>25</v>
      </c>
      <c r="G2082" t="s">
        <v>23</v>
      </c>
      <c r="H2082">
        <v>3</v>
      </c>
      <c r="I2082">
        <v>23</v>
      </c>
      <c r="J2082">
        <v>0</v>
      </c>
      <c r="K2082" t="s">
        <v>16</v>
      </c>
      <c r="L2082" t="s">
        <v>17</v>
      </c>
      <c r="M2082">
        <f>IF(Table1[[#This Row],[ألغى الاشتراك]]="نعم",1,0)</f>
        <v>0</v>
      </c>
      <c r="N2082">
        <f>IF(Table1[[#This Row],[وسيلة الدفع]]="بطاقة",1,0)</f>
        <v>0</v>
      </c>
      <c r="O2082">
        <f>IF(Table1[[#This Row],[وسيلة الدفع]]="محفظة",1,0)</f>
        <v>0</v>
      </c>
      <c r="P2082">
        <f>IF(Table1[[#This Row],[وسيلة الدفع]]="تحويل",1,0)</f>
        <v>1</v>
      </c>
      <c r="Q2082">
        <f>IF(Table1[[#This Row],[حضر التهيئة]]="نعم",1,0)</f>
        <v>1</v>
      </c>
      <c r="R2082">
        <f>IF(Table1[[#This Row],[دورة الفوترة]]="شهري",1,0)</f>
        <v>0</v>
      </c>
    </row>
    <row r="2083" spans="1:18" x14ac:dyDescent="0.25">
      <c r="A2083" t="s">
        <v>2103</v>
      </c>
      <c r="B2083" s="1">
        <v>45977</v>
      </c>
      <c r="C2083" t="s">
        <v>19</v>
      </c>
      <c r="D2083">
        <v>189</v>
      </c>
      <c r="E2083" t="s">
        <v>20</v>
      </c>
      <c r="F2083">
        <v>16</v>
      </c>
      <c r="G2083" t="s">
        <v>15</v>
      </c>
      <c r="H2083">
        <v>2</v>
      </c>
      <c r="I2083">
        <v>20</v>
      </c>
      <c r="J2083">
        <v>15</v>
      </c>
      <c r="K2083" t="s">
        <v>17</v>
      </c>
      <c r="L2083" t="s">
        <v>17</v>
      </c>
      <c r="M2083">
        <f>IF(Table1[[#This Row],[ألغى الاشتراك]]="نعم",1,0)</f>
        <v>0</v>
      </c>
      <c r="N2083">
        <f>IF(Table1[[#This Row],[وسيلة الدفع]]="بطاقة",1,0)</f>
        <v>1</v>
      </c>
      <c r="O2083">
        <f>IF(Table1[[#This Row],[وسيلة الدفع]]="محفظة",1,0)</f>
        <v>0</v>
      </c>
      <c r="P2083">
        <f>IF(Table1[[#This Row],[وسيلة الدفع]]="تحويل",1,0)</f>
        <v>0</v>
      </c>
      <c r="Q2083">
        <f>IF(Table1[[#This Row],[حضر التهيئة]]="نعم",1,0)</f>
        <v>0</v>
      </c>
      <c r="R2083">
        <f>IF(Table1[[#This Row],[دورة الفوترة]]="شهري",1,0)</f>
        <v>0</v>
      </c>
    </row>
    <row r="2084" spans="1:18" x14ac:dyDescent="0.25">
      <c r="A2084" t="s">
        <v>2104</v>
      </c>
      <c r="B2084" s="1">
        <v>45639</v>
      </c>
      <c r="C2084" t="s">
        <v>13</v>
      </c>
      <c r="D2084">
        <v>89</v>
      </c>
      <c r="E2084" t="s">
        <v>14</v>
      </c>
      <c r="F2084">
        <v>28</v>
      </c>
      <c r="G2084" t="s">
        <v>21</v>
      </c>
      <c r="H2084">
        <v>9</v>
      </c>
      <c r="I2084">
        <v>26</v>
      </c>
      <c r="J2084">
        <v>0</v>
      </c>
      <c r="K2084" t="s">
        <v>16</v>
      </c>
      <c r="L2084" t="s">
        <v>17</v>
      </c>
      <c r="M2084">
        <f>IF(Table1[[#This Row],[ألغى الاشتراك]]="نعم",1,0)</f>
        <v>0</v>
      </c>
      <c r="N2084">
        <f>IF(Table1[[#This Row],[وسيلة الدفع]]="بطاقة",1,0)</f>
        <v>0</v>
      </c>
      <c r="O2084">
        <f>IF(Table1[[#This Row],[وسيلة الدفع]]="محفظة",1,0)</f>
        <v>1</v>
      </c>
      <c r="P2084">
        <f>IF(Table1[[#This Row],[وسيلة الدفع]]="تحويل",1,0)</f>
        <v>0</v>
      </c>
      <c r="Q2084">
        <f>IF(Table1[[#This Row],[حضر التهيئة]]="نعم",1,0)</f>
        <v>1</v>
      </c>
      <c r="R2084">
        <f>IF(Table1[[#This Row],[دورة الفوترة]]="شهري",1,0)</f>
        <v>1</v>
      </c>
    </row>
    <row r="2085" spans="1:18" x14ac:dyDescent="0.25">
      <c r="A2085" t="s">
        <v>2105</v>
      </c>
      <c r="B2085" s="1">
        <v>45450</v>
      </c>
      <c r="C2085" t="s">
        <v>28</v>
      </c>
      <c r="D2085">
        <v>39</v>
      </c>
      <c r="E2085" t="s">
        <v>14</v>
      </c>
      <c r="F2085">
        <v>11</v>
      </c>
      <c r="G2085" t="s">
        <v>21</v>
      </c>
      <c r="H2085">
        <v>0</v>
      </c>
      <c r="I2085">
        <v>3</v>
      </c>
      <c r="J2085">
        <v>10</v>
      </c>
      <c r="K2085" t="s">
        <v>16</v>
      </c>
      <c r="L2085" t="s">
        <v>17</v>
      </c>
      <c r="M2085">
        <f>IF(Table1[[#This Row],[ألغى الاشتراك]]="نعم",1,0)</f>
        <v>0</v>
      </c>
      <c r="N2085">
        <f>IF(Table1[[#This Row],[وسيلة الدفع]]="بطاقة",1,0)</f>
        <v>0</v>
      </c>
      <c r="O2085">
        <f>IF(Table1[[#This Row],[وسيلة الدفع]]="محفظة",1,0)</f>
        <v>1</v>
      </c>
      <c r="P2085">
        <f>IF(Table1[[#This Row],[وسيلة الدفع]]="تحويل",1,0)</f>
        <v>0</v>
      </c>
      <c r="Q2085">
        <f>IF(Table1[[#This Row],[حضر التهيئة]]="نعم",1,0)</f>
        <v>1</v>
      </c>
      <c r="R2085">
        <f>IF(Table1[[#This Row],[دورة الفوترة]]="شهري",1,0)</f>
        <v>1</v>
      </c>
    </row>
    <row r="2086" spans="1:18" x14ac:dyDescent="0.25">
      <c r="A2086" t="s">
        <v>2106</v>
      </c>
      <c r="B2086" s="1">
        <v>45854</v>
      </c>
      <c r="C2086" t="s">
        <v>28</v>
      </c>
      <c r="D2086">
        <v>39</v>
      </c>
      <c r="E2086" t="s">
        <v>14</v>
      </c>
      <c r="F2086">
        <v>23</v>
      </c>
      <c r="G2086" t="s">
        <v>23</v>
      </c>
      <c r="H2086">
        <v>3</v>
      </c>
      <c r="I2086">
        <v>29</v>
      </c>
      <c r="J2086">
        <v>0</v>
      </c>
      <c r="K2086" t="s">
        <v>16</v>
      </c>
      <c r="L2086" t="s">
        <v>17</v>
      </c>
      <c r="M2086">
        <f>IF(Table1[[#This Row],[ألغى الاشتراك]]="نعم",1,0)</f>
        <v>0</v>
      </c>
      <c r="N2086">
        <f>IF(Table1[[#This Row],[وسيلة الدفع]]="بطاقة",1,0)</f>
        <v>0</v>
      </c>
      <c r="O2086">
        <f>IF(Table1[[#This Row],[وسيلة الدفع]]="محفظة",1,0)</f>
        <v>0</v>
      </c>
      <c r="P2086">
        <f>IF(Table1[[#This Row],[وسيلة الدفع]]="تحويل",1,0)</f>
        <v>1</v>
      </c>
      <c r="Q2086">
        <f>IF(Table1[[#This Row],[حضر التهيئة]]="نعم",1,0)</f>
        <v>1</v>
      </c>
      <c r="R2086">
        <f>IF(Table1[[#This Row],[دورة الفوترة]]="شهري",1,0)</f>
        <v>1</v>
      </c>
    </row>
    <row r="2087" spans="1:18" x14ac:dyDescent="0.25">
      <c r="A2087" t="s">
        <v>2107</v>
      </c>
      <c r="B2087" s="1">
        <v>45525</v>
      </c>
      <c r="C2087" t="s">
        <v>28</v>
      </c>
      <c r="D2087">
        <v>39</v>
      </c>
      <c r="E2087" t="s">
        <v>14</v>
      </c>
      <c r="F2087">
        <v>14</v>
      </c>
      <c r="G2087" t="s">
        <v>21</v>
      </c>
      <c r="H2087">
        <v>0</v>
      </c>
      <c r="I2087">
        <v>42</v>
      </c>
      <c r="J2087">
        <v>0</v>
      </c>
      <c r="K2087" t="s">
        <v>16</v>
      </c>
      <c r="L2087" t="s">
        <v>16</v>
      </c>
      <c r="M2087">
        <f>IF(Table1[[#This Row],[ألغى الاشتراك]]="نعم",1,0)</f>
        <v>1</v>
      </c>
      <c r="N2087">
        <f>IF(Table1[[#This Row],[وسيلة الدفع]]="بطاقة",1,0)</f>
        <v>0</v>
      </c>
      <c r="O2087">
        <f>IF(Table1[[#This Row],[وسيلة الدفع]]="محفظة",1,0)</f>
        <v>1</v>
      </c>
      <c r="P2087">
        <f>IF(Table1[[#This Row],[وسيلة الدفع]]="تحويل",1,0)</f>
        <v>0</v>
      </c>
      <c r="Q2087">
        <f>IF(Table1[[#This Row],[حضر التهيئة]]="نعم",1,0)</f>
        <v>1</v>
      </c>
      <c r="R2087">
        <f>IF(Table1[[#This Row],[دورة الفوترة]]="شهري",1,0)</f>
        <v>1</v>
      </c>
    </row>
    <row r="2088" spans="1:18" x14ac:dyDescent="0.25">
      <c r="A2088" t="s">
        <v>2108</v>
      </c>
      <c r="B2088" s="1">
        <v>45580</v>
      </c>
      <c r="C2088" t="s">
        <v>13</v>
      </c>
      <c r="D2088">
        <v>89</v>
      </c>
      <c r="E2088" t="s">
        <v>20</v>
      </c>
      <c r="F2088">
        <v>27</v>
      </c>
      <c r="G2088" t="s">
        <v>15</v>
      </c>
      <c r="H2088">
        <v>1</v>
      </c>
      <c r="I2088">
        <v>13</v>
      </c>
      <c r="J2088">
        <v>10</v>
      </c>
      <c r="K2088" t="s">
        <v>17</v>
      </c>
      <c r="L2088" t="s">
        <v>17</v>
      </c>
      <c r="M2088">
        <f>IF(Table1[[#This Row],[ألغى الاشتراك]]="نعم",1,0)</f>
        <v>0</v>
      </c>
      <c r="N2088">
        <f>IF(Table1[[#This Row],[وسيلة الدفع]]="بطاقة",1,0)</f>
        <v>1</v>
      </c>
      <c r="O2088">
        <f>IF(Table1[[#This Row],[وسيلة الدفع]]="محفظة",1,0)</f>
        <v>0</v>
      </c>
      <c r="P2088">
        <f>IF(Table1[[#This Row],[وسيلة الدفع]]="تحويل",1,0)</f>
        <v>0</v>
      </c>
      <c r="Q2088">
        <f>IF(Table1[[#This Row],[حضر التهيئة]]="نعم",1,0)</f>
        <v>0</v>
      </c>
      <c r="R2088">
        <f>IF(Table1[[#This Row],[دورة الفوترة]]="شهري",1,0)</f>
        <v>0</v>
      </c>
    </row>
    <row r="2089" spans="1:18" x14ac:dyDescent="0.25">
      <c r="A2089" t="s">
        <v>2109</v>
      </c>
      <c r="B2089" s="1">
        <v>45732</v>
      </c>
      <c r="C2089" t="s">
        <v>13</v>
      </c>
      <c r="D2089">
        <v>89</v>
      </c>
      <c r="E2089" t="s">
        <v>14</v>
      </c>
      <c r="F2089">
        <v>7</v>
      </c>
      <c r="G2089" t="s">
        <v>15</v>
      </c>
      <c r="H2089">
        <v>1</v>
      </c>
      <c r="I2089">
        <v>55</v>
      </c>
      <c r="J2089">
        <v>0</v>
      </c>
      <c r="K2089" t="s">
        <v>17</v>
      </c>
      <c r="L2089" t="s">
        <v>17</v>
      </c>
      <c r="M2089">
        <f>IF(Table1[[#This Row],[ألغى الاشتراك]]="نعم",1,0)</f>
        <v>0</v>
      </c>
      <c r="N2089">
        <f>IF(Table1[[#This Row],[وسيلة الدفع]]="بطاقة",1,0)</f>
        <v>1</v>
      </c>
      <c r="O2089">
        <f>IF(Table1[[#This Row],[وسيلة الدفع]]="محفظة",1,0)</f>
        <v>0</v>
      </c>
      <c r="P2089">
        <f>IF(Table1[[#This Row],[وسيلة الدفع]]="تحويل",1,0)</f>
        <v>0</v>
      </c>
      <c r="Q2089">
        <f>IF(Table1[[#This Row],[حضر التهيئة]]="نعم",1,0)</f>
        <v>0</v>
      </c>
      <c r="R2089">
        <f>IF(Table1[[#This Row],[دورة الفوترة]]="شهري",1,0)</f>
        <v>1</v>
      </c>
    </row>
    <row r="2090" spans="1:18" x14ac:dyDescent="0.25">
      <c r="A2090" t="s">
        <v>2110</v>
      </c>
      <c r="B2090" s="1">
        <v>45631</v>
      </c>
      <c r="C2090" t="s">
        <v>28</v>
      </c>
      <c r="D2090">
        <v>39</v>
      </c>
      <c r="E2090" t="s">
        <v>14</v>
      </c>
      <c r="F2090">
        <v>8</v>
      </c>
      <c r="G2090" t="s">
        <v>15</v>
      </c>
      <c r="H2090">
        <v>7</v>
      </c>
      <c r="I2090">
        <v>16</v>
      </c>
      <c r="J2090">
        <v>0</v>
      </c>
      <c r="K2090" t="s">
        <v>16</v>
      </c>
      <c r="L2090" t="s">
        <v>17</v>
      </c>
      <c r="M2090">
        <f>IF(Table1[[#This Row],[ألغى الاشتراك]]="نعم",1,0)</f>
        <v>0</v>
      </c>
      <c r="N2090">
        <f>IF(Table1[[#This Row],[وسيلة الدفع]]="بطاقة",1,0)</f>
        <v>1</v>
      </c>
      <c r="O2090">
        <f>IF(Table1[[#This Row],[وسيلة الدفع]]="محفظة",1,0)</f>
        <v>0</v>
      </c>
      <c r="P2090">
        <f>IF(Table1[[#This Row],[وسيلة الدفع]]="تحويل",1,0)</f>
        <v>0</v>
      </c>
      <c r="Q2090">
        <f>IF(Table1[[#This Row],[حضر التهيئة]]="نعم",1,0)</f>
        <v>1</v>
      </c>
      <c r="R2090">
        <f>IF(Table1[[#This Row],[دورة الفوترة]]="شهري",1,0)</f>
        <v>1</v>
      </c>
    </row>
    <row r="2091" spans="1:18" x14ac:dyDescent="0.25">
      <c r="A2091" t="s">
        <v>2111</v>
      </c>
      <c r="B2091" s="1">
        <v>45333</v>
      </c>
      <c r="C2091" t="s">
        <v>13</v>
      </c>
      <c r="D2091">
        <v>89</v>
      </c>
      <c r="E2091" t="s">
        <v>14</v>
      </c>
      <c r="F2091">
        <v>3</v>
      </c>
      <c r="G2091" t="s">
        <v>23</v>
      </c>
      <c r="H2091">
        <v>5</v>
      </c>
      <c r="I2091">
        <v>45</v>
      </c>
      <c r="J2091">
        <v>10</v>
      </c>
      <c r="K2091" t="s">
        <v>16</v>
      </c>
      <c r="L2091" t="s">
        <v>17</v>
      </c>
      <c r="M2091">
        <f>IF(Table1[[#This Row],[ألغى الاشتراك]]="نعم",1,0)</f>
        <v>0</v>
      </c>
      <c r="N2091">
        <f>IF(Table1[[#This Row],[وسيلة الدفع]]="بطاقة",1,0)</f>
        <v>0</v>
      </c>
      <c r="O2091">
        <f>IF(Table1[[#This Row],[وسيلة الدفع]]="محفظة",1,0)</f>
        <v>0</v>
      </c>
      <c r="P2091">
        <f>IF(Table1[[#This Row],[وسيلة الدفع]]="تحويل",1,0)</f>
        <v>1</v>
      </c>
      <c r="Q2091">
        <f>IF(Table1[[#This Row],[حضر التهيئة]]="نعم",1,0)</f>
        <v>1</v>
      </c>
      <c r="R2091">
        <f>IF(Table1[[#This Row],[دورة الفوترة]]="شهري",1,0)</f>
        <v>1</v>
      </c>
    </row>
    <row r="2092" spans="1:18" x14ac:dyDescent="0.25">
      <c r="A2092" t="s">
        <v>2112</v>
      </c>
      <c r="B2092" s="1">
        <v>45854</v>
      </c>
      <c r="C2092" t="s">
        <v>13</v>
      </c>
      <c r="D2092">
        <v>89</v>
      </c>
      <c r="E2092" t="s">
        <v>20</v>
      </c>
      <c r="F2092">
        <v>29</v>
      </c>
      <c r="G2092" t="s">
        <v>23</v>
      </c>
      <c r="H2092">
        <v>0</v>
      </c>
      <c r="I2092">
        <v>27</v>
      </c>
      <c r="J2092">
        <v>0</v>
      </c>
      <c r="K2092" t="s">
        <v>16</v>
      </c>
      <c r="L2092" t="s">
        <v>17</v>
      </c>
      <c r="M2092">
        <f>IF(Table1[[#This Row],[ألغى الاشتراك]]="نعم",1,0)</f>
        <v>0</v>
      </c>
      <c r="N2092">
        <f>IF(Table1[[#This Row],[وسيلة الدفع]]="بطاقة",1,0)</f>
        <v>0</v>
      </c>
      <c r="O2092">
        <f>IF(Table1[[#This Row],[وسيلة الدفع]]="محفظة",1,0)</f>
        <v>0</v>
      </c>
      <c r="P2092">
        <f>IF(Table1[[#This Row],[وسيلة الدفع]]="تحويل",1,0)</f>
        <v>1</v>
      </c>
      <c r="Q2092">
        <f>IF(Table1[[#This Row],[حضر التهيئة]]="نعم",1,0)</f>
        <v>1</v>
      </c>
      <c r="R2092">
        <f>IF(Table1[[#This Row],[دورة الفوترة]]="شهري",1,0)</f>
        <v>0</v>
      </c>
    </row>
    <row r="2093" spans="1:18" x14ac:dyDescent="0.25">
      <c r="A2093" t="s">
        <v>2113</v>
      </c>
      <c r="B2093" s="1">
        <v>45391</v>
      </c>
      <c r="C2093" t="s">
        <v>28</v>
      </c>
      <c r="D2093">
        <v>39</v>
      </c>
      <c r="E2093" t="s">
        <v>14</v>
      </c>
      <c r="F2093">
        <v>22</v>
      </c>
      <c r="G2093" t="s">
        <v>23</v>
      </c>
      <c r="H2093">
        <v>6</v>
      </c>
      <c r="I2093">
        <v>48</v>
      </c>
      <c r="J2093">
        <v>0</v>
      </c>
      <c r="K2093" t="s">
        <v>17</v>
      </c>
      <c r="L2093" t="s">
        <v>17</v>
      </c>
      <c r="M2093">
        <f>IF(Table1[[#This Row],[ألغى الاشتراك]]="نعم",1,0)</f>
        <v>0</v>
      </c>
      <c r="N2093">
        <f>IF(Table1[[#This Row],[وسيلة الدفع]]="بطاقة",1,0)</f>
        <v>0</v>
      </c>
      <c r="O2093">
        <f>IF(Table1[[#This Row],[وسيلة الدفع]]="محفظة",1,0)</f>
        <v>0</v>
      </c>
      <c r="P2093">
        <f>IF(Table1[[#This Row],[وسيلة الدفع]]="تحويل",1,0)</f>
        <v>1</v>
      </c>
      <c r="Q2093">
        <f>IF(Table1[[#This Row],[حضر التهيئة]]="نعم",1,0)</f>
        <v>0</v>
      </c>
      <c r="R2093">
        <f>IF(Table1[[#This Row],[دورة الفوترة]]="شهري",1,0)</f>
        <v>1</v>
      </c>
    </row>
    <row r="2094" spans="1:18" x14ac:dyDescent="0.25">
      <c r="A2094" t="s">
        <v>2114</v>
      </c>
      <c r="B2094" s="1">
        <v>45803</v>
      </c>
      <c r="C2094" t="s">
        <v>19</v>
      </c>
      <c r="D2094">
        <v>189</v>
      </c>
      <c r="E2094" t="s">
        <v>14</v>
      </c>
      <c r="F2094">
        <v>1</v>
      </c>
      <c r="G2094" t="s">
        <v>23</v>
      </c>
      <c r="H2094">
        <v>9</v>
      </c>
      <c r="I2094">
        <v>19</v>
      </c>
      <c r="J2094">
        <v>0</v>
      </c>
      <c r="K2094" t="s">
        <v>17</v>
      </c>
      <c r="L2094" t="s">
        <v>16</v>
      </c>
      <c r="M2094">
        <f>IF(Table1[[#This Row],[ألغى الاشتراك]]="نعم",1,0)</f>
        <v>1</v>
      </c>
      <c r="N2094">
        <f>IF(Table1[[#This Row],[وسيلة الدفع]]="بطاقة",1,0)</f>
        <v>0</v>
      </c>
      <c r="O2094">
        <f>IF(Table1[[#This Row],[وسيلة الدفع]]="محفظة",1,0)</f>
        <v>0</v>
      </c>
      <c r="P2094">
        <f>IF(Table1[[#This Row],[وسيلة الدفع]]="تحويل",1,0)</f>
        <v>1</v>
      </c>
      <c r="Q2094">
        <f>IF(Table1[[#This Row],[حضر التهيئة]]="نعم",1,0)</f>
        <v>0</v>
      </c>
      <c r="R2094">
        <f>IF(Table1[[#This Row],[دورة الفوترة]]="شهري",1,0)</f>
        <v>1</v>
      </c>
    </row>
    <row r="2095" spans="1:18" x14ac:dyDescent="0.25">
      <c r="A2095" t="s">
        <v>2115</v>
      </c>
      <c r="B2095" s="1">
        <v>45568</v>
      </c>
      <c r="C2095" t="s">
        <v>19</v>
      </c>
      <c r="D2095">
        <v>189</v>
      </c>
      <c r="E2095" t="s">
        <v>20</v>
      </c>
      <c r="F2095">
        <v>18</v>
      </c>
      <c r="G2095" t="s">
        <v>21</v>
      </c>
      <c r="H2095">
        <v>2</v>
      </c>
      <c r="I2095">
        <v>22</v>
      </c>
      <c r="J2095">
        <v>0</v>
      </c>
      <c r="K2095" t="s">
        <v>16</v>
      </c>
      <c r="L2095" t="s">
        <v>17</v>
      </c>
      <c r="M2095">
        <f>IF(Table1[[#This Row],[ألغى الاشتراك]]="نعم",1,0)</f>
        <v>0</v>
      </c>
      <c r="N2095">
        <f>IF(Table1[[#This Row],[وسيلة الدفع]]="بطاقة",1,0)</f>
        <v>0</v>
      </c>
      <c r="O2095">
        <f>IF(Table1[[#This Row],[وسيلة الدفع]]="محفظة",1,0)</f>
        <v>1</v>
      </c>
      <c r="P2095">
        <f>IF(Table1[[#This Row],[وسيلة الدفع]]="تحويل",1,0)</f>
        <v>0</v>
      </c>
      <c r="Q2095">
        <f>IF(Table1[[#This Row],[حضر التهيئة]]="نعم",1,0)</f>
        <v>1</v>
      </c>
      <c r="R2095">
        <f>IF(Table1[[#This Row],[دورة الفوترة]]="شهري",1,0)</f>
        <v>0</v>
      </c>
    </row>
    <row r="2096" spans="1:18" x14ac:dyDescent="0.25">
      <c r="A2096" t="s">
        <v>2116</v>
      </c>
      <c r="B2096" s="1">
        <v>45728</v>
      </c>
      <c r="C2096" t="s">
        <v>28</v>
      </c>
      <c r="D2096">
        <v>39</v>
      </c>
      <c r="E2096" t="s">
        <v>14</v>
      </c>
      <c r="F2096">
        <v>29</v>
      </c>
      <c r="G2096" t="s">
        <v>23</v>
      </c>
      <c r="H2096">
        <v>10</v>
      </c>
      <c r="I2096">
        <v>57</v>
      </c>
      <c r="J2096">
        <v>0</v>
      </c>
      <c r="K2096" t="s">
        <v>16</v>
      </c>
      <c r="L2096" t="s">
        <v>17</v>
      </c>
      <c r="M2096">
        <f>IF(Table1[[#This Row],[ألغى الاشتراك]]="نعم",1,0)</f>
        <v>0</v>
      </c>
      <c r="N2096">
        <f>IF(Table1[[#This Row],[وسيلة الدفع]]="بطاقة",1,0)</f>
        <v>0</v>
      </c>
      <c r="O2096">
        <f>IF(Table1[[#This Row],[وسيلة الدفع]]="محفظة",1,0)</f>
        <v>0</v>
      </c>
      <c r="P2096">
        <f>IF(Table1[[#This Row],[وسيلة الدفع]]="تحويل",1,0)</f>
        <v>1</v>
      </c>
      <c r="Q2096">
        <f>IF(Table1[[#This Row],[حضر التهيئة]]="نعم",1,0)</f>
        <v>1</v>
      </c>
      <c r="R2096">
        <f>IF(Table1[[#This Row],[دورة الفوترة]]="شهري",1,0)</f>
        <v>1</v>
      </c>
    </row>
    <row r="2097" spans="1:18" x14ac:dyDescent="0.25">
      <c r="A2097" t="s">
        <v>2117</v>
      </c>
      <c r="B2097" s="1">
        <v>45525</v>
      </c>
      <c r="C2097" t="s">
        <v>13</v>
      </c>
      <c r="D2097">
        <v>89</v>
      </c>
      <c r="E2097" t="s">
        <v>14</v>
      </c>
      <c r="F2097">
        <v>14</v>
      </c>
      <c r="G2097" t="s">
        <v>21</v>
      </c>
      <c r="H2097">
        <v>3</v>
      </c>
      <c r="I2097">
        <v>28</v>
      </c>
      <c r="J2097">
        <v>0</v>
      </c>
      <c r="K2097" t="s">
        <v>16</v>
      </c>
      <c r="L2097" t="s">
        <v>17</v>
      </c>
      <c r="M2097">
        <f>IF(Table1[[#This Row],[ألغى الاشتراك]]="نعم",1,0)</f>
        <v>0</v>
      </c>
      <c r="N2097">
        <f>IF(Table1[[#This Row],[وسيلة الدفع]]="بطاقة",1,0)</f>
        <v>0</v>
      </c>
      <c r="O2097">
        <f>IF(Table1[[#This Row],[وسيلة الدفع]]="محفظة",1,0)</f>
        <v>1</v>
      </c>
      <c r="P2097">
        <f>IF(Table1[[#This Row],[وسيلة الدفع]]="تحويل",1,0)</f>
        <v>0</v>
      </c>
      <c r="Q2097">
        <f>IF(Table1[[#This Row],[حضر التهيئة]]="نعم",1,0)</f>
        <v>1</v>
      </c>
      <c r="R2097">
        <f>IF(Table1[[#This Row],[دورة الفوترة]]="شهري",1,0)</f>
        <v>1</v>
      </c>
    </row>
    <row r="2098" spans="1:18" x14ac:dyDescent="0.25">
      <c r="A2098" t="s">
        <v>2118</v>
      </c>
      <c r="B2098" s="1">
        <v>45902</v>
      </c>
      <c r="C2098" t="s">
        <v>13</v>
      </c>
      <c r="D2098">
        <v>89</v>
      </c>
      <c r="E2098" t="s">
        <v>14</v>
      </c>
      <c r="F2098">
        <v>5</v>
      </c>
      <c r="G2098" t="s">
        <v>21</v>
      </c>
      <c r="H2098">
        <v>8</v>
      </c>
      <c r="I2098">
        <v>31</v>
      </c>
      <c r="J2098">
        <v>0</v>
      </c>
      <c r="K2098" t="s">
        <v>16</v>
      </c>
      <c r="L2098" t="s">
        <v>17</v>
      </c>
      <c r="M2098">
        <f>IF(Table1[[#This Row],[ألغى الاشتراك]]="نعم",1,0)</f>
        <v>0</v>
      </c>
      <c r="N2098">
        <f>IF(Table1[[#This Row],[وسيلة الدفع]]="بطاقة",1,0)</f>
        <v>0</v>
      </c>
      <c r="O2098">
        <f>IF(Table1[[#This Row],[وسيلة الدفع]]="محفظة",1,0)</f>
        <v>1</v>
      </c>
      <c r="P2098">
        <f>IF(Table1[[#This Row],[وسيلة الدفع]]="تحويل",1,0)</f>
        <v>0</v>
      </c>
      <c r="Q2098">
        <f>IF(Table1[[#This Row],[حضر التهيئة]]="نعم",1,0)</f>
        <v>1</v>
      </c>
      <c r="R2098">
        <f>IF(Table1[[#This Row],[دورة الفوترة]]="شهري",1,0)</f>
        <v>1</v>
      </c>
    </row>
    <row r="2099" spans="1:18" x14ac:dyDescent="0.25">
      <c r="A2099" t="s">
        <v>2119</v>
      </c>
      <c r="B2099" s="1">
        <v>45989</v>
      </c>
      <c r="C2099" t="s">
        <v>28</v>
      </c>
      <c r="D2099">
        <v>39</v>
      </c>
      <c r="E2099" t="s">
        <v>14</v>
      </c>
      <c r="F2099">
        <v>12</v>
      </c>
      <c r="G2099" t="s">
        <v>15</v>
      </c>
      <c r="H2099">
        <v>0</v>
      </c>
      <c r="I2099">
        <v>28</v>
      </c>
      <c r="J2099">
        <v>15</v>
      </c>
      <c r="K2099" t="s">
        <v>16</v>
      </c>
      <c r="L2099" t="s">
        <v>17</v>
      </c>
      <c r="M2099">
        <f>IF(Table1[[#This Row],[ألغى الاشتراك]]="نعم",1,0)</f>
        <v>0</v>
      </c>
      <c r="N2099">
        <f>IF(Table1[[#This Row],[وسيلة الدفع]]="بطاقة",1,0)</f>
        <v>1</v>
      </c>
      <c r="O2099">
        <f>IF(Table1[[#This Row],[وسيلة الدفع]]="محفظة",1,0)</f>
        <v>0</v>
      </c>
      <c r="P2099">
        <f>IF(Table1[[#This Row],[وسيلة الدفع]]="تحويل",1,0)</f>
        <v>0</v>
      </c>
      <c r="Q2099">
        <f>IF(Table1[[#This Row],[حضر التهيئة]]="نعم",1,0)</f>
        <v>1</v>
      </c>
      <c r="R2099">
        <f>IF(Table1[[#This Row],[دورة الفوترة]]="شهري",1,0)</f>
        <v>1</v>
      </c>
    </row>
    <row r="2100" spans="1:18" x14ac:dyDescent="0.25">
      <c r="A2100" t="s">
        <v>2120</v>
      </c>
      <c r="B2100" s="1">
        <v>45505</v>
      </c>
      <c r="C2100" t="s">
        <v>13</v>
      </c>
      <c r="D2100">
        <v>89</v>
      </c>
      <c r="E2100" t="s">
        <v>14</v>
      </c>
      <c r="F2100">
        <v>8</v>
      </c>
      <c r="G2100" t="s">
        <v>21</v>
      </c>
      <c r="H2100">
        <v>5</v>
      </c>
      <c r="I2100">
        <v>50</v>
      </c>
      <c r="J2100">
        <v>0</v>
      </c>
      <c r="K2100" t="s">
        <v>17</v>
      </c>
      <c r="L2100" t="s">
        <v>16</v>
      </c>
      <c r="M2100">
        <f>IF(Table1[[#This Row],[ألغى الاشتراك]]="نعم",1,0)</f>
        <v>1</v>
      </c>
      <c r="N2100">
        <f>IF(Table1[[#This Row],[وسيلة الدفع]]="بطاقة",1,0)</f>
        <v>0</v>
      </c>
      <c r="O2100">
        <f>IF(Table1[[#This Row],[وسيلة الدفع]]="محفظة",1,0)</f>
        <v>1</v>
      </c>
      <c r="P2100">
        <f>IF(Table1[[#This Row],[وسيلة الدفع]]="تحويل",1,0)</f>
        <v>0</v>
      </c>
      <c r="Q2100">
        <f>IF(Table1[[#This Row],[حضر التهيئة]]="نعم",1,0)</f>
        <v>0</v>
      </c>
      <c r="R2100">
        <f>IF(Table1[[#This Row],[دورة الفوترة]]="شهري",1,0)</f>
        <v>1</v>
      </c>
    </row>
    <row r="2101" spans="1:18" x14ac:dyDescent="0.25">
      <c r="A2101" t="s">
        <v>2121</v>
      </c>
      <c r="B2101" s="1">
        <v>45659</v>
      </c>
      <c r="C2101" t="s">
        <v>19</v>
      </c>
      <c r="D2101">
        <v>189</v>
      </c>
      <c r="E2101" t="s">
        <v>20</v>
      </c>
      <c r="F2101">
        <v>15</v>
      </c>
      <c r="G2101" t="s">
        <v>21</v>
      </c>
      <c r="H2101">
        <v>2</v>
      </c>
      <c r="I2101">
        <v>21</v>
      </c>
      <c r="J2101">
        <v>0</v>
      </c>
      <c r="K2101" t="s">
        <v>16</v>
      </c>
      <c r="L2101" t="s">
        <v>17</v>
      </c>
      <c r="M2101">
        <f>IF(Table1[[#This Row],[ألغى الاشتراك]]="نعم",1,0)</f>
        <v>0</v>
      </c>
      <c r="N2101">
        <f>IF(Table1[[#This Row],[وسيلة الدفع]]="بطاقة",1,0)</f>
        <v>0</v>
      </c>
      <c r="O2101">
        <f>IF(Table1[[#This Row],[وسيلة الدفع]]="محفظة",1,0)</f>
        <v>1</v>
      </c>
      <c r="P2101">
        <f>IF(Table1[[#This Row],[وسيلة الدفع]]="تحويل",1,0)</f>
        <v>0</v>
      </c>
      <c r="Q2101">
        <f>IF(Table1[[#This Row],[حضر التهيئة]]="نعم",1,0)</f>
        <v>1</v>
      </c>
      <c r="R2101">
        <f>IF(Table1[[#This Row],[دورة الفوترة]]="شهري",1,0)</f>
        <v>0</v>
      </c>
    </row>
    <row r="2102" spans="1:18" x14ac:dyDescent="0.25">
      <c r="A2102" t="s">
        <v>2122</v>
      </c>
      <c r="B2102" s="1">
        <v>45349</v>
      </c>
      <c r="C2102" t="s">
        <v>19</v>
      </c>
      <c r="D2102">
        <v>189</v>
      </c>
      <c r="E2102" t="s">
        <v>14</v>
      </c>
      <c r="F2102">
        <v>12</v>
      </c>
      <c r="G2102" t="s">
        <v>21</v>
      </c>
      <c r="H2102">
        <v>1</v>
      </c>
      <c r="I2102">
        <v>34</v>
      </c>
      <c r="J2102">
        <v>0</v>
      </c>
      <c r="K2102" t="s">
        <v>16</v>
      </c>
      <c r="L2102" t="s">
        <v>17</v>
      </c>
      <c r="M2102">
        <f>IF(Table1[[#This Row],[ألغى الاشتراك]]="نعم",1,0)</f>
        <v>0</v>
      </c>
      <c r="N2102">
        <f>IF(Table1[[#This Row],[وسيلة الدفع]]="بطاقة",1,0)</f>
        <v>0</v>
      </c>
      <c r="O2102">
        <f>IF(Table1[[#This Row],[وسيلة الدفع]]="محفظة",1,0)</f>
        <v>1</v>
      </c>
      <c r="P2102">
        <f>IF(Table1[[#This Row],[وسيلة الدفع]]="تحويل",1,0)</f>
        <v>0</v>
      </c>
      <c r="Q2102">
        <f>IF(Table1[[#This Row],[حضر التهيئة]]="نعم",1,0)</f>
        <v>1</v>
      </c>
      <c r="R2102">
        <f>IF(Table1[[#This Row],[دورة الفوترة]]="شهري",1,0)</f>
        <v>1</v>
      </c>
    </row>
    <row r="2103" spans="1:18" x14ac:dyDescent="0.25">
      <c r="A2103" t="s">
        <v>2123</v>
      </c>
      <c r="B2103" s="1">
        <v>45850</v>
      </c>
      <c r="C2103" t="s">
        <v>19</v>
      </c>
      <c r="D2103">
        <v>189</v>
      </c>
      <c r="E2103" t="s">
        <v>20</v>
      </c>
      <c r="F2103">
        <v>29</v>
      </c>
      <c r="G2103" t="s">
        <v>21</v>
      </c>
      <c r="H2103">
        <v>7</v>
      </c>
      <c r="I2103">
        <v>33</v>
      </c>
      <c r="J2103">
        <v>0</v>
      </c>
      <c r="K2103" t="s">
        <v>16</v>
      </c>
      <c r="L2103" t="s">
        <v>16</v>
      </c>
      <c r="M2103">
        <f>IF(Table1[[#This Row],[ألغى الاشتراك]]="نعم",1,0)</f>
        <v>1</v>
      </c>
      <c r="N2103">
        <f>IF(Table1[[#This Row],[وسيلة الدفع]]="بطاقة",1,0)</f>
        <v>0</v>
      </c>
      <c r="O2103">
        <f>IF(Table1[[#This Row],[وسيلة الدفع]]="محفظة",1,0)</f>
        <v>1</v>
      </c>
      <c r="P2103">
        <f>IF(Table1[[#This Row],[وسيلة الدفع]]="تحويل",1,0)</f>
        <v>0</v>
      </c>
      <c r="Q2103">
        <f>IF(Table1[[#This Row],[حضر التهيئة]]="نعم",1,0)</f>
        <v>1</v>
      </c>
      <c r="R2103">
        <f>IF(Table1[[#This Row],[دورة الفوترة]]="شهري",1,0)</f>
        <v>0</v>
      </c>
    </row>
    <row r="2104" spans="1:18" x14ac:dyDescent="0.25">
      <c r="A2104" t="s">
        <v>2124</v>
      </c>
      <c r="B2104" s="1">
        <v>45509</v>
      </c>
      <c r="C2104" t="s">
        <v>13</v>
      </c>
      <c r="D2104">
        <v>89</v>
      </c>
      <c r="E2104" t="s">
        <v>14</v>
      </c>
      <c r="F2104">
        <v>4</v>
      </c>
      <c r="G2104" t="s">
        <v>23</v>
      </c>
      <c r="H2104">
        <v>0</v>
      </c>
      <c r="I2104">
        <v>12</v>
      </c>
      <c r="J2104">
        <v>0</v>
      </c>
      <c r="K2104" t="s">
        <v>17</v>
      </c>
      <c r="L2104" t="s">
        <v>17</v>
      </c>
      <c r="M2104">
        <f>IF(Table1[[#This Row],[ألغى الاشتراك]]="نعم",1,0)</f>
        <v>0</v>
      </c>
      <c r="N2104">
        <f>IF(Table1[[#This Row],[وسيلة الدفع]]="بطاقة",1,0)</f>
        <v>0</v>
      </c>
      <c r="O2104">
        <f>IF(Table1[[#This Row],[وسيلة الدفع]]="محفظة",1,0)</f>
        <v>0</v>
      </c>
      <c r="P2104">
        <f>IF(Table1[[#This Row],[وسيلة الدفع]]="تحويل",1,0)</f>
        <v>1</v>
      </c>
      <c r="Q2104">
        <f>IF(Table1[[#This Row],[حضر التهيئة]]="نعم",1,0)</f>
        <v>0</v>
      </c>
      <c r="R2104">
        <f>IF(Table1[[#This Row],[دورة الفوترة]]="شهري",1,0)</f>
        <v>1</v>
      </c>
    </row>
    <row r="2105" spans="1:18" x14ac:dyDescent="0.25">
      <c r="A2105" t="s">
        <v>2125</v>
      </c>
      <c r="B2105" s="1">
        <v>45446</v>
      </c>
      <c r="C2105" t="s">
        <v>19</v>
      </c>
      <c r="D2105">
        <v>189</v>
      </c>
      <c r="E2105" t="s">
        <v>20</v>
      </c>
      <c r="F2105">
        <v>7</v>
      </c>
      <c r="G2105" t="s">
        <v>23</v>
      </c>
      <c r="H2105">
        <v>2</v>
      </c>
      <c r="I2105">
        <v>21</v>
      </c>
      <c r="J2105">
        <v>10</v>
      </c>
      <c r="K2105" t="s">
        <v>16</v>
      </c>
      <c r="L2105" t="s">
        <v>17</v>
      </c>
      <c r="M2105">
        <f>IF(Table1[[#This Row],[ألغى الاشتراك]]="نعم",1,0)</f>
        <v>0</v>
      </c>
      <c r="N2105">
        <f>IF(Table1[[#This Row],[وسيلة الدفع]]="بطاقة",1,0)</f>
        <v>0</v>
      </c>
      <c r="O2105">
        <f>IF(Table1[[#This Row],[وسيلة الدفع]]="محفظة",1,0)</f>
        <v>0</v>
      </c>
      <c r="P2105">
        <f>IF(Table1[[#This Row],[وسيلة الدفع]]="تحويل",1,0)</f>
        <v>1</v>
      </c>
      <c r="Q2105">
        <f>IF(Table1[[#This Row],[حضر التهيئة]]="نعم",1,0)</f>
        <v>1</v>
      </c>
      <c r="R2105">
        <f>IF(Table1[[#This Row],[دورة الفوترة]]="شهري",1,0)</f>
        <v>0</v>
      </c>
    </row>
    <row r="2106" spans="1:18" x14ac:dyDescent="0.25">
      <c r="A2106" t="s">
        <v>2126</v>
      </c>
      <c r="B2106" s="1">
        <v>45643</v>
      </c>
      <c r="C2106" t="s">
        <v>19</v>
      </c>
      <c r="D2106">
        <v>189</v>
      </c>
      <c r="E2106" t="s">
        <v>14</v>
      </c>
      <c r="F2106">
        <v>7</v>
      </c>
      <c r="G2106" t="s">
        <v>21</v>
      </c>
      <c r="H2106">
        <v>2</v>
      </c>
      <c r="I2106">
        <v>57</v>
      </c>
      <c r="J2106">
        <v>25</v>
      </c>
      <c r="K2106" t="s">
        <v>17</v>
      </c>
      <c r="L2106" t="s">
        <v>17</v>
      </c>
      <c r="M2106">
        <f>IF(Table1[[#This Row],[ألغى الاشتراك]]="نعم",1,0)</f>
        <v>0</v>
      </c>
      <c r="N2106">
        <f>IF(Table1[[#This Row],[وسيلة الدفع]]="بطاقة",1,0)</f>
        <v>0</v>
      </c>
      <c r="O2106">
        <f>IF(Table1[[#This Row],[وسيلة الدفع]]="محفظة",1,0)</f>
        <v>1</v>
      </c>
      <c r="P2106">
        <f>IF(Table1[[#This Row],[وسيلة الدفع]]="تحويل",1,0)</f>
        <v>0</v>
      </c>
      <c r="Q2106">
        <f>IF(Table1[[#This Row],[حضر التهيئة]]="نعم",1,0)</f>
        <v>0</v>
      </c>
      <c r="R2106">
        <f>IF(Table1[[#This Row],[دورة الفوترة]]="شهري",1,0)</f>
        <v>1</v>
      </c>
    </row>
    <row r="2107" spans="1:18" x14ac:dyDescent="0.25">
      <c r="A2107" t="s">
        <v>2127</v>
      </c>
      <c r="B2107" s="1">
        <v>45783</v>
      </c>
      <c r="C2107" t="s">
        <v>13</v>
      </c>
      <c r="D2107">
        <v>89</v>
      </c>
      <c r="E2107" t="s">
        <v>14</v>
      </c>
      <c r="F2107">
        <v>5</v>
      </c>
      <c r="G2107" t="s">
        <v>23</v>
      </c>
      <c r="H2107">
        <v>11</v>
      </c>
      <c r="I2107">
        <v>43</v>
      </c>
      <c r="J2107">
        <v>0</v>
      </c>
      <c r="K2107" t="s">
        <v>16</v>
      </c>
      <c r="L2107" t="s">
        <v>16</v>
      </c>
      <c r="M2107">
        <f>IF(Table1[[#This Row],[ألغى الاشتراك]]="نعم",1,0)</f>
        <v>1</v>
      </c>
      <c r="N2107">
        <f>IF(Table1[[#This Row],[وسيلة الدفع]]="بطاقة",1,0)</f>
        <v>0</v>
      </c>
      <c r="O2107">
        <f>IF(Table1[[#This Row],[وسيلة الدفع]]="محفظة",1,0)</f>
        <v>0</v>
      </c>
      <c r="P2107">
        <f>IF(Table1[[#This Row],[وسيلة الدفع]]="تحويل",1,0)</f>
        <v>1</v>
      </c>
      <c r="Q2107">
        <f>IF(Table1[[#This Row],[حضر التهيئة]]="نعم",1,0)</f>
        <v>1</v>
      </c>
      <c r="R2107">
        <f>IF(Table1[[#This Row],[دورة الفوترة]]="شهري",1,0)</f>
        <v>1</v>
      </c>
    </row>
    <row r="2108" spans="1:18" x14ac:dyDescent="0.25">
      <c r="A2108" t="s">
        <v>2128</v>
      </c>
      <c r="B2108" s="1">
        <v>45592</v>
      </c>
      <c r="C2108" t="s">
        <v>13</v>
      </c>
      <c r="D2108">
        <v>89</v>
      </c>
      <c r="E2108" t="s">
        <v>14</v>
      </c>
      <c r="F2108">
        <v>28</v>
      </c>
      <c r="G2108" t="s">
        <v>15</v>
      </c>
      <c r="H2108">
        <v>0</v>
      </c>
      <c r="I2108">
        <v>24</v>
      </c>
      <c r="J2108">
        <v>0</v>
      </c>
      <c r="K2108" t="s">
        <v>17</v>
      </c>
      <c r="L2108" t="s">
        <v>17</v>
      </c>
      <c r="M2108">
        <f>IF(Table1[[#This Row],[ألغى الاشتراك]]="نعم",1,0)</f>
        <v>0</v>
      </c>
      <c r="N2108">
        <f>IF(Table1[[#This Row],[وسيلة الدفع]]="بطاقة",1,0)</f>
        <v>1</v>
      </c>
      <c r="O2108">
        <f>IF(Table1[[#This Row],[وسيلة الدفع]]="محفظة",1,0)</f>
        <v>0</v>
      </c>
      <c r="P2108">
        <f>IF(Table1[[#This Row],[وسيلة الدفع]]="تحويل",1,0)</f>
        <v>0</v>
      </c>
      <c r="Q2108">
        <f>IF(Table1[[#This Row],[حضر التهيئة]]="نعم",1,0)</f>
        <v>0</v>
      </c>
      <c r="R2108">
        <f>IF(Table1[[#This Row],[دورة الفوترة]]="شهري",1,0)</f>
        <v>1</v>
      </c>
    </row>
    <row r="2109" spans="1:18" x14ac:dyDescent="0.25">
      <c r="A2109" t="s">
        <v>2129</v>
      </c>
      <c r="B2109" s="1">
        <v>45740</v>
      </c>
      <c r="C2109" t="s">
        <v>13</v>
      </c>
      <c r="D2109">
        <v>89</v>
      </c>
      <c r="E2109" t="s">
        <v>14</v>
      </c>
      <c r="F2109">
        <v>23</v>
      </c>
      <c r="G2109" t="s">
        <v>15</v>
      </c>
      <c r="H2109">
        <v>6</v>
      </c>
      <c r="I2109">
        <v>15</v>
      </c>
      <c r="J2109">
        <v>0</v>
      </c>
      <c r="K2109" t="s">
        <v>16</v>
      </c>
      <c r="L2109" t="s">
        <v>17</v>
      </c>
      <c r="M2109">
        <f>IF(Table1[[#This Row],[ألغى الاشتراك]]="نعم",1,0)</f>
        <v>0</v>
      </c>
      <c r="N2109">
        <f>IF(Table1[[#This Row],[وسيلة الدفع]]="بطاقة",1,0)</f>
        <v>1</v>
      </c>
      <c r="O2109">
        <f>IF(Table1[[#This Row],[وسيلة الدفع]]="محفظة",1,0)</f>
        <v>0</v>
      </c>
      <c r="P2109">
        <f>IF(Table1[[#This Row],[وسيلة الدفع]]="تحويل",1,0)</f>
        <v>0</v>
      </c>
      <c r="Q2109">
        <f>IF(Table1[[#This Row],[حضر التهيئة]]="نعم",1,0)</f>
        <v>1</v>
      </c>
      <c r="R2109">
        <f>IF(Table1[[#This Row],[دورة الفوترة]]="شهري",1,0)</f>
        <v>1</v>
      </c>
    </row>
    <row r="2110" spans="1:18" x14ac:dyDescent="0.25">
      <c r="A2110" t="s">
        <v>2130</v>
      </c>
      <c r="B2110" s="1">
        <v>45407</v>
      </c>
      <c r="C2110" t="s">
        <v>19</v>
      </c>
      <c r="D2110">
        <v>189</v>
      </c>
      <c r="E2110" t="s">
        <v>14</v>
      </c>
      <c r="F2110">
        <v>28</v>
      </c>
      <c r="G2110" t="s">
        <v>15</v>
      </c>
      <c r="H2110">
        <v>0</v>
      </c>
      <c r="I2110">
        <v>16</v>
      </c>
      <c r="J2110">
        <v>0</v>
      </c>
      <c r="K2110" t="s">
        <v>17</v>
      </c>
      <c r="L2110" t="s">
        <v>17</v>
      </c>
      <c r="M2110">
        <f>IF(Table1[[#This Row],[ألغى الاشتراك]]="نعم",1,0)</f>
        <v>0</v>
      </c>
      <c r="N2110">
        <f>IF(Table1[[#This Row],[وسيلة الدفع]]="بطاقة",1,0)</f>
        <v>1</v>
      </c>
      <c r="O2110">
        <f>IF(Table1[[#This Row],[وسيلة الدفع]]="محفظة",1,0)</f>
        <v>0</v>
      </c>
      <c r="P2110">
        <f>IF(Table1[[#This Row],[وسيلة الدفع]]="تحويل",1,0)</f>
        <v>0</v>
      </c>
      <c r="Q2110">
        <f>IF(Table1[[#This Row],[حضر التهيئة]]="نعم",1,0)</f>
        <v>0</v>
      </c>
      <c r="R2110">
        <f>IF(Table1[[#This Row],[دورة الفوترة]]="شهري",1,0)</f>
        <v>1</v>
      </c>
    </row>
    <row r="2111" spans="1:18" x14ac:dyDescent="0.25">
      <c r="A2111" t="s">
        <v>2131</v>
      </c>
      <c r="B2111" s="1">
        <v>45779</v>
      </c>
      <c r="C2111" t="s">
        <v>13</v>
      </c>
      <c r="D2111">
        <v>89</v>
      </c>
      <c r="E2111" t="s">
        <v>20</v>
      </c>
      <c r="F2111">
        <v>21</v>
      </c>
      <c r="G2111" t="s">
        <v>23</v>
      </c>
      <c r="H2111">
        <v>0</v>
      </c>
      <c r="I2111">
        <v>5</v>
      </c>
      <c r="J2111">
        <v>0</v>
      </c>
      <c r="K2111" t="s">
        <v>16</v>
      </c>
      <c r="L2111" t="s">
        <v>17</v>
      </c>
      <c r="M2111">
        <f>IF(Table1[[#This Row],[ألغى الاشتراك]]="نعم",1,0)</f>
        <v>0</v>
      </c>
      <c r="N2111">
        <f>IF(Table1[[#This Row],[وسيلة الدفع]]="بطاقة",1,0)</f>
        <v>0</v>
      </c>
      <c r="O2111">
        <f>IF(Table1[[#This Row],[وسيلة الدفع]]="محفظة",1,0)</f>
        <v>0</v>
      </c>
      <c r="P2111">
        <f>IF(Table1[[#This Row],[وسيلة الدفع]]="تحويل",1,0)</f>
        <v>1</v>
      </c>
      <c r="Q2111">
        <f>IF(Table1[[#This Row],[حضر التهيئة]]="نعم",1,0)</f>
        <v>1</v>
      </c>
      <c r="R2111">
        <f>IF(Table1[[#This Row],[دورة الفوترة]]="شهري",1,0)</f>
        <v>0</v>
      </c>
    </row>
    <row r="2112" spans="1:18" x14ac:dyDescent="0.25">
      <c r="A2112" t="s">
        <v>2132</v>
      </c>
      <c r="B2112" s="1">
        <v>45325</v>
      </c>
      <c r="C2112" t="s">
        <v>13</v>
      </c>
      <c r="D2112">
        <v>89</v>
      </c>
      <c r="E2112" t="s">
        <v>20</v>
      </c>
      <c r="F2112">
        <v>10</v>
      </c>
      <c r="G2112" t="s">
        <v>23</v>
      </c>
      <c r="H2112">
        <v>11</v>
      </c>
      <c r="I2112">
        <v>30</v>
      </c>
      <c r="J2112">
        <v>0</v>
      </c>
      <c r="K2112" t="s">
        <v>16</v>
      </c>
      <c r="L2112" t="s">
        <v>17</v>
      </c>
      <c r="M2112">
        <f>IF(Table1[[#This Row],[ألغى الاشتراك]]="نعم",1,0)</f>
        <v>0</v>
      </c>
      <c r="N2112">
        <f>IF(Table1[[#This Row],[وسيلة الدفع]]="بطاقة",1,0)</f>
        <v>0</v>
      </c>
      <c r="O2112">
        <f>IF(Table1[[#This Row],[وسيلة الدفع]]="محفظة",1,0)</f>
        <v>0</v>
      </c>
      <c r="P2112">
        <f>IF(Table1[[#This Row],[وسيلة الدفع]]="تحويل",1,0)</f>
        <v>1</v>
      </c>
      <c r="Q2112">
        <f>IF(Table1[[#This Row],[حضر التهيئة]]="نعم",1,0)</f>
        <v>1</v>
      </c>
      <c r="R2112">
        <f>IF(Table1[[#This Row],[دورة الفوترة]]="شهري",1,0)</f>
        <v>0</v>
      </c>
    </row>
    <row r="2113" spans="1:18" x14ac:dyDescent="0.25">
      <c r="A2113" t="s">
        <v>2133</v>
      </c>
      <c r="B2113" s="1">
        <v>45403</v>
      </c>
      <c r="C2113" t="s">
        <v>19</v>
      </c>
      <c r="D2113">
        <v>189</v>
      </c>
      <c r="E2113" t="s">
        <v>14</v>
      </c>
      <c r="F2113">
        <v>1</v>
      </c>
      <c r="G2113" t="s">
        <v>21</v>
      </c>
      <c r="H2113">
        <v>0</v>
      </c>
      <c r="I2113">
        <v>17</v>
      </c>
      <c r="J2113">
        <v>25</v>
      </c>
      <c r="K2113" t="s">
        <v>17</v>
      </c>
      <c r="L2113" t="s">
        <v>17</v>
      </c>
      <c r="M2113">
        <f>IF(Table1[[#This Row],[ألغى الاشتراك]]="نعم",1,0)</f>
        <v>0</v>
      </c>
      <c r="N2113">
        <f>IF(Table1[[#This Row],[وسيلة الدفع]]="بطاقة",1,0)</f>
        <v>0</v>
      </c>
      <c r="O2113">
        <f>IF(Table1[[#This Row],[وسيلة الدفع]]="محفظة",1,0)</f>
        <v>1</v>
      </c>
      <c r="P2113">
        <f>IF(Table1[[#This Row],[وسيلة الدفع]]="تحويل",1,0)</f>
        <v>0</v>
      </c>
      <c r="Q2113">
        <f>IF(Table1[[#This Row],[حضر التهيئة]]="نعم",1,0)</f>
        <v>0</v>
      </c>
      <c r="R2113">
        <f>IF(Table1[[#This Row],[دورة الفوترة]]="شهري",1,0)</f>
        <v>1</v>
      </c>
    </row>
    <row r="2114" spans="1:18" x14ac:dyDescent="0.25">
      <c r="A2114" t="s">
        <v>2134</v>
      </c>
      <c r="B2114" s="1">
        <v>45791</v>
      </c>
      <c r="C2114" t="s">
        <v>13</v>
      </c>
      <c r="D2114">
        <v>89</v>
      </c>
      <c r="E2114" t="s">
        <v>20</v>
      </c>
      <c r="F2114">
        <v>15</v>
      </c>
      <c r="G2114" t="s">
        <v>21</v>
      </c>
      <c r="H2114">
        <v>10</v>
      </c>
      <c r="I2114">
        <v>57</v>
      </c>
      <c r="J2114">
        <v>0</v>
      </c>
      <c r="K2114" t="s">
        <v>17</v>
      </c>
      <c r="L2114" t="s">
        <v>17</v>
      </c>
      <c r="M2114">
        <f>IF(Table1[[#This Row],[ألغى الاشتراك]]="نعم",1,0)</f>
        <v>0</v>
      </c>
      <c r="N2114">
        <f>IF(Table1[[#This Row],[وسيلة الدفع]]="بطاقة",1,0)</f>
        <v>0</v>
      </c>
      <c r="O2114">
        <f>IF(Table1[[#This Row],[وسيلة الدفع]]="محفظة",1,0)</f>
        <v>1</v>
      </c>
      <c r="P2114">
        <f>IF(Table1[[#This Row],[وسيلة الدفع]]="تحويل",1,0)</f>
        <v>0</v>
      </c>
      <c r="Q2114">
        <f>IF(Table1[[#This Row],[حضر التهيئة]]="نعم",1,0)</f>
        <v>0</v>
      </c>
      <c r="R2114">
        <f>IF(Table1[[#This Row],[دورة الفوترة]]="شهري",1,0)</f>
        <v>0</v>
      </c>
    </row>
    <row r="2115" spans="1:18" x14ac:dyDescent="0.25">
      <c r="A2115" t="s">
        <v>2135</v>
      </c>
      <c r="B2115" s="1">
        <v>45454</v>
      </c>
      <c r="C2115" t="s">
        <v>13</v>
      </c>
      <c r="D2115">
        <v>89</v>
      </c>
      <c r="E2115" t="s">
        <v>14</v>
      </c>
      <c r="F2115">
        <v>2</v>
      </c>
      <c r="G2115" t="s">
        <v>21</v>
      </c>
      <c r="H2115">
        <v>2</v>
      </c>
      <c r="I2115">
        <v>10</v>
      </c>
      <c r="J2115">
        <v>0</v>
      </c>
      <c r="K2115" t="s">
        <v>16</v>
      </c>
      <c r="L2115" t="s">
        <v>17</v>
      </c>
      <c r="M2115">
        <f>IF(Table1[[#This Row],[ألغى الاشتراك]]="نعم",1,0)</f>
        <v>0</v>
      </c>
      <c r="N2115">
        <f>IF(Table1[[#This Row],[وسيلة الدفع]]="بطاقة",1,0)</f>
        <v>0</v>
      </c>
      <c r="O2115">
        <f>IF(Table1[[#This Row],[وسيلة الدفع]]="محفظة",1,0)</f>
        <v>1</v>
      </c>
      <c r="P2115">
        <f>IF(Table1[[#This Row],[وسيلة الدفع]]="تحويل",1,0)</f>
        <v>0</v>
      </c>
      <c r="Q2115">
        <f>IF(Table1[[#This Row],[حضر التهيئة]]="نعم",1,0)</f>
        <v>1</v>
      </c>
      <c r="R2115">
        <f>IF(Table1[[#This Row],[دورة الفوترة]]="شهري",1,0)</f>
        <v>1</v>
      </c>
    </row>
    <row r="2116" spans="1:18" x14ac:dyDescent="0.25">
      <c r="A2116" t="s">
        <v>2136</v>
      </c>
      <c r="B2116" s="1">
        <v>45969</v>
      </c>
      <c r="C2116" t="s">
        <v>19</v>
      </c>
      <c r="D2116">
        <v>189</v>
      </c>
      <c r="E2116" t="s">
        <v>14</v>
      </c>
      <c r="F2116">
        <v>5</v>
      </c>
      <c r="G2116" t="s">
        <v>15</v>
      </c>
      <c r="H2116">
        <v>0</v>
      </c>
      <c r="I2116">
        <v>49</v>
      </c>
      <c r="J2116">
        <v>0</v>
      </c>
      <c r="K2116" t="s">
        <v>17</v>
      </c>
      <c r="L2116" t="s">
        <v>17</v>
      </c>
      <c r="M2116">
        <f>IF(Table1[[#This Row],[ألغى الاشتراك]]="نعم",1,0)</f>
        <v>0</v>
      </c>
      <c r="N2116">
        <f>IF(Table1[[#This Row],[وسيلة الدفع]]="بطاقة",1,0)</f>
        <v>1</v>
      </c>
      <c r="O2116">
        <f>IF(Table1[[#This Row],[وسيلة الدفع]]="محفظة",1,0)</f>
        <v>0</v>
      </c>
      <c r="P2116">
        <f>IF(Table1[[#This Row],[وسيلة الدفع]]="تحويل",1,0)</f>
        <v>0</v>
      </c>
      <c r="Q2116">
        <f>IF(Table1[[#This Row],[حضر التهيئة]]="نعم",1,0)</f>
        <v>0</v>
      </c>
      <c r="R2116">
        <f>IF(Table1[[#This Row],[دورة الفوترة]]="شهري",1,0)</f>
        <v>1</v>
      </c>
    </row>
    <row r="2117" spans="1:18" x14ac:dyDescent="0.25">
      <c r="A2117" t="s">
        <v>2137</v>
      </c>
      <c r="B2117" s="1">
        <v>45383</v>
      </c>
      <c r="C2117" t="s">
        <v>28</v>
      </c>
      <c r="D2117">
        <v>39</v>
      </c>
      <c r="E2117" t="s">
        <v>14</v>
      </c>
      <c r="F2117">
        <v>10</v>
      </c>
      <c r="G2117" t="s">
        <v>23</v>
      </c>
      <c r="H2117">
        <v>4</v>
      </c>
      <c r="I2117">
        <v>22</v>
      </c>
      <c r="J2117">
        <v>0</v>
      </c>
      <c r="K2117" t="s">
        <v>17</v>
      </c>
      <c r="L2117" t="s">
        <v>17</v>
      </c>
      <c r="M2117">
        <f>IF(Table1[[#This Row],[ألغى الاشتراك]]="نعم",1,0)</f>
        <v>0</v>
      </c>
      <c r="N2117">
        <f>IF(Table1[[#This Row],[وسيلة الدفع]]="بطاقة",1,0)</f>
        <v>0</v>
      </c>
      <c r="O2117">
        <f>IF(Table1[[#This Row],[وسيلة الدفع]]="محفظة",1,0)</f>
        <v>0</v>
      </c>
      <c r="P2117">
        <f>IF(Table1[[#This Row],[وسيلة الدفع]]="تحويل",1,0)</f>
        <v>1</v>
      </c>
      <c r="Q2117">
        <f>IF(Table1[[#This Row],[حضر التهيئة]]="نعم",1,0)</f>
        <v>0</v>
      </c>
      <c r="R2117">
        <f>IF(Table1[[#This Row],[دورة الفوترة]]="شهري",1,0)</f>
        <v>1</v>
      </c>
    </row>
    <row r="2118" spans="1:18" x14ac:dyDescent="0.25">
      <c r="A2118" t="s">
        <v>2138</v>
      </c>
      <c r="B2118" s="1">
        <v>45345</v>
      </c>
      <c r="C2118" t="s">
        <v>28</v>
      </c>
      <c r="D2118">
        <v>39</v>
      </c>
      <c r="E2118" t="s">
        <v>14</v>
      </c>
      <c r="F2118">
        <v>3</v>
      </c>
      <c r="G2118" t="s">
        <v>15</v>
      </c>
      <c r="H2118">
        <v>1</v>
      </c>
      <c r="I2118">
        <v>45</v>
      </c>
      <c r="J2118">
        <v>10</v>
      </c>
      <c r="K2118" t="s">
        <v>16</v>
      </c>
      <c r="L2118" t="s">
        <v>17</v>
      </c>
      <c r="M2118">
        <f>IF(Table1[[#This Row],[ألغى الاشتراك]]="نعم",1,0)</f>
        <v>0</v>
      </c>
      <c r="N2118">
        <f>IF(Table1[[#This Row],[وسيلة الدفع]]="بطاقة",1,0)</f>
        <v>1</v>
      </c>
      <c r="O2118">
        <f>IF(Table1[[#This Row],[وسيلة الدفع]]="محفظة",1,0)</f>
        <v>0</v>
      </c>
      <c r="P2118">
        <f>IF(Table1[[#This Row],[وسيلة الدفع]]="تحويل",1,0)</f>
        <v>0</v>
      </c>
      <c r="Q2118">
        <f>IF(Table1[[#This Row],[حضر التهيئة]]="نعم",1,0)</f>
        <v>1</v>
      </c>
      <c r="R2118">
        <f>IF(Table1[[#This Row],[دورة الفوترة]]="شهري",1,0)</f>
        <v>1</v>
      </c>
    </row>
    <row r="2119" spans="1:18" x14ac:dyDescent="0.25">
      <c r="A2119" t="s">
        <v>2139</v>
      </c>
      <c r="B2119" s="1">
        <v>45732</v>
      </c>
      <c r="C2119" t="s">
        <v>28</v>
      </c>
      <c r="D2119">
        <v>39</v>
      </c>
      <c r="E2119" t="s">
        <v>14</v>
      </c>
      <c r="F2119">
        <v>11</v>
      </c>
      <c r="G2119" t="s">
        <v>21</v>
      </c>
      <c r="H2119">
        <v>4</v>
      </c>
      <c r="I2119">
        <v>31</v>
      </c>
      <c r="J2119">
        <v>0</v>
      </c>
      <c r="K2119" t="s">
        <v>16</v>
      </c>
      <c r="L2119" t="s">
        <v>17</v>
      </c>
      <c r="M2119">
        <f>IF(Table1[[#This Row],[ألغى الاشتراك]]="نعم",1,0)</f>
        <v>0</v>
      </c>
      <c r="N2119">
        <f>IF(Table1[[#This Row],[وسيلة الدفع]]="بطاقة",1,0)</f>
        <v>0</v>
      </c>
      <c r="O2119">
        <f>IF(Table1[[#This Row],[وسيلة الدفع]]="محفظة",1,0)</f>
        <v>1</v>
      </c>
      <c r="P2119">
        <f>IF(Table1[[#This Row],[وسيلة الدفع]]="تحويل",1,0)</f>
        <v>0</v>
      </c>
      <c r="Q2119">
        <f>IF(Table1[[#This Row],[حضر التهيئة]]="نعم",1,0)</f>
        <v>1</v>
      </c>
      <c r="R2119">
        <f>IF(Table1[[#This Row],[دورة الفوترة]]="شهري",1,0)</f>
        <v>1</v>
      </c>
    </row>
    <row r="2120" spans="1:18" x14ac:dyDescent="0.25">
      <c r="A2120" t="s">
        <v>2140</v>
      </c>
      <c r="B2120" s="1">
        <v>45521</v>
      </c>
      <c r="C2120" t="s">
        <v>28</v>
      </c>
      <c r="D2120">
        <v>39</v>
      </c>
      <c r="E2120" t="s">
        <v>14</v>
      </c>
      <c r="F2120">
        <v>26</v>
      </c>
      <c r="G2120" t="s">
        <v>15</v>
      </c>
      <c r="H2120">
        <v>1</v>
      </c>
      <c r="I2120">
        <v>52</v>
      </c>
      <c r="J2120">
        <v>0</v>
      </c>
      <c r="K2120" t="s">
        <v>17</v>
      </c>
      <c r="L2120" t="s">
        <v>17</v>
      </c>
      <c r="M2120">
        <f>IF(Table1[[#This Row],[ألغى الاشتراك]]="نعم",1,0)</f>
        <v>0</v>
      </c>
      <c r="N2120">
        <f>IF(Table1[[#This Row],[وسيلة الدفع]]="بطاقة",1,0)</f>
        <v>1</v>
      </c>
      <c r="O2120">
        <f>IF(Table1[[#This Row],[وسيلة الدفع]]="محفظة",1,0)</f>
        <v>0</v>
      </c>
      <c r="P2120">
        <f>IF(Table1[[#This Row],[وسيلة الدفع]]="تحويل",1,0)</f>
        <v>0</v>
      </c>
      <c r="Q2120">
        <f>IF(Table1[[#This Row],[حضر التهيئة]]="نعم",1,0)</f>
        <v>0</v>
      </c>
      <c r="R2120">
        <f>IF(Table1[[#This Row],[دورة الفوترة]]="شهري",1,0)</f>
        <v>1</v>
      </c>
    </row>
    <row r="2121" spans="1:18" x14ac:dyDescent="0.25">
      <c r="A2121" t="s">
        <v>2141</v>
      </c>
      <c r="B2121" s="1">
        <v>45906</v>
      </c>
      <c r="C2121" t="s">
        <v>28</v>
      </c>
      <c r="D2121">
        <v>39</v>
      </c>
      <c r="E2121" t="s">
        <v>14</v>
      </c>
      <c r="F2121">
        <v>19</v>
      </c>
      <c r="G2121" t="s">
        <v>15</v>
      </c>
      <c r="H2121">
        <v>0</v>
      </c>
      <c r="I2121">
        <v>9</v>
      </c>
      <c r="J2121">
        <v>0</v>
      </c>
      <c r="K2121" t="s">
        <v>16</v>
      </c>
      <c r="L2121" t="s">
        <v>17</v>
      </c>
      <c r="M2121">
        <f>IF(Table1[[#This Row],[ألغى الاشتراك]]="نعم",1,0)</f>
        <v>0</v>
      </c>
      <c r="N2121">
        <f>IF(Table1[[#This Row],[وسيلة الدفع]]="بطاقة",1,0)</f>
        <v>1</v>
      </c>
      <c r="O2121">
        <f>IF(Table1[[#This Row],[وسيلة الدفع]]="محفظة",1,0)</f>
        <v>0</v>
      </c>
      <c r="P2121">
        <f>IF(Table1[[#This Row],[وسيلة الدفع]]="تحويل",1,0)</f>
        <v>0</v>
      </c>
      <c r="Q2121">
        <f>IF(Table1[[#This Row],[حضر التهيئة]]="نعم",1,0)</f>
        <v>1</v>
      </c>
      <c r="R2121">
        <f>IF(Table1[[#This Row],[دورة الفوترة]]="شهري",1,0)</f>
        <v>1</v>
      </c>
    </row>
    <row r="2122" spans="1:18" x14ac:dyDescent="0.25">
      <c r="A2122" t="s">
        <v>2142</v>
      </c>
      <c r="B2122" s="1">
        <v>45592</v>
      </c>
      <c r="C2122" t="s">
        <v>19</v>
      </c>
      <c r="D2122">
        <v>189</v>
      </c>
      <c r="E2122" t="s">
        <v>14</v>
      </c>
      <c r="F2122">
        <v>16</v>
      </c>
      <c r="G2122" t="s">
        <v>15</v>
      </c>
      <c r="H2122">
        <v>2</v>
      </c>
      <c r="I2122">
        <v>30</v>
      </c>
      <c r="J2122">
        <v>0</v>
      </c>
      <c r="K2122" t="s">
        <v>16</v>
      </c>
      <c r="L2122" t="s">
        <v>17</v>
      </c>
      <c r="M2122">
        <f>IF(Table1[[#This Row],[ألغى الاشتراك]]="نعم",1,0)</f>
        <v>0</v>
      </c>
      <c r="N2122">
        <f>IF(Table1[[#This Row],[وسيلة الدفع]]="بطاقة",1,0)</f>
        <v>1</v>
      </c>
      <c r="O2122">
        <f>IF(Table1[[#This Row],[وسيلة الدفع]]="محفظة",1,0)</f>
        <v>0</v>
      </c>
      <c r="P2122">
        <f>IF(Table1[[#This Row],[وسيلة الدفع]]="تحويل",1,0)</f>
        <v>0</v>
      </c>
      <c r="Q2122">
        <f>IF(Table1[[#This Row],[حضر التهيئة]]="نعم",1,0)</f>
        <v>1</v>
      </c>
      <c r="R2122">
        <f>IF(Table1[[#This Row],[دورة الفوترة]]="شهري",1,0)</f>
        <v>1</v>
      </c>
    </row>
    <row r="2123" spans="1:18" x14ac:dyDescent="0.25">
      <c r="A2123" t="s">
        <v>2143</v>
      </c>
      <c r="B2123" s="1">
        <v>45985</v>
      </c>
      <c r="C2123" t="s">
        <v>28</v>
      </c>
      <c r="D2123">
        <v>39</v>
      </c>
      <c r="E2123" t="s">
        <v>14</v>
      </c>
      <c r="F2123">
        <v>1</v>
      </c>
      <c r="G2123" t="s">
        <v>23</v>
      </c>
      <c r="H2123">
        <v>7</v>
      </c>
      <c r="I2123">
        <v>45</v>
      </c>
      <c r="J2123">
        <v>0</v>
      </c>
      <c r="K2123" t="s">
        <v>16</v>
      </c>
      <c r="L2123" t="s">
        <v>17</v>
      </c>
      <c r="M2123">
        <f>IF(Table1[[#This Row],[ألغى الاشتراك]]="نعم",1,0)</f>
        <v>0</v>
      </c>
      <c r="N2123">
        <f>IF(Table1[[#This Row],[وسيلة الدفع]]="بطاقة",1,0)</f>
        <v>0</v>
      </c>
      <c r="O2123">
        <f>IF(Table1[[#This Row],[وسيلة الدفع]]="محفظة",1,0)</f>
        <v>0</v>
      </c>
      <c r="P2123">
        <f>IF(Table1[[#This Row],[وسيلة الدفع]]="تحويل",1,0)</f>
        <v>1</v>
      </c>
      <c r="Q2123">
        <f>IF(Table1[[#This Row],[حضر التهيئة]]="نعم",1,0)</f>
        <v>1</v>
      </c>
      <c r="R2123">
        <f>IF(Table1[[#This Row],[دورة الفوترة]]="شهري",1,0)</f>
        <v>1</v>
      </c>
    </row>
    <row r="2124" spans="1:18" x14ac:dyDescent="0.25">
      <c r="A2124" t="s">
        <v>2144</v>
      </c>
      <c r="B2124" s="1">
        <v>45631</v>
      </c>
      <c r="C2124" t="s">
        <v>28</v>
      </c>
      <c r="D2124">
        <v>39</v>
      </c>
      <c r="E2124" t="s">
        <v>14</v>
      </c>
      <c r="F2124">
        <v>30</v>
      </c>
      <c r="G2124" t="s">
        <v>21</v>
      </c>
      <c r="H2124">
        <v>1</v>
      </c>
      <c r="I2124">
        <v>32</v>
      </c>
      <c r="J2124">
        <v>0</v>
      </c>
      <c r="K2124" t="s">
        <v>17</v>
      </c>
      <c r="L2124" t="s">
        <v>17</v>
      </c>
      <c r="M2124">
        <f>IF(Table1[[#This Row],[ألغى الاشتراك]]="نعم",1,0)</f>
        <v>0</v>
      </c>
      <c r="N2124">
        <f>IF(Table1[[#This Row],[وسيلة الدفع]]="بطاقة",1,0)</f>
        <v>0</v>
      </c>
      <c r="O2124">
        <f>IF(Table1[[#This Row],[وسيلة الدفع]]="محفظة",1,0)</f>
        <v>1</v>
      </c>
      <c r="P2124">
        <f>IF(Table1[[#This Row],[وسيلة الدفع]]="تحويل",1,0)</f>
        <v>0</v>
      </c>
      <c r="Q2124">
        <f>IF(Table1[[#This Row],[حضر التهيئة]]="نعم",1,0)</f>
        <v>0</v>
      </c>
      <c r="R2124">
        <f>IF(Table1[[#This Row],[دورة الفوترة]]="شهري",1,0)</f>
        <v>1</v>
      </c>
    </row>
    <row r="2125" spans="1:18" x14ac:dyDescent="0.25">
      <c r="A2125" t="s">
        <v>2145</v>
      </c>
      <c r="B2125" s="1">
        <v>45663</v>
      </c>
      <c r="C2125" t="s">
        <v>13</v>
      </c>
      <c r="D2125">
        <v>89</v>
      </c>
      <c r="E2125" t="s">
        <v>14</v>
      </c>
      <c r="F2125">
        <v>25</v>
      </c>
      <c r="G2125" t="s">
        <v>23</v>
      </c>
      <c r="H2125">
        <v>4</v>
      </c>
      <c r="I2125">
        <v>47</v>
      </c>
      <c r="J2125">
        <v>0</v>
      </c>
      <c r="K2125" t="s">
        <v>17</v>
      </c>
      <c r="L2125" t="s">
        <v>17</v>
      </c>
      <c r="M2125">
        <f>IF(Table1[[#This Row],[ألغى الاشتراك]]="نعم",1,0)</f>
        <v>0</v>
      </c>
      <c r="N2125">
        <f>IF(Table1[[#This Row],[وسيلة الدفع]]="بطاقة",1,0)</f>
        <v>0</v>
      </c>
      <c r="O2125">
        <f>IF(Table1[[#This Row],[وسيلة الدفع]]="محفظة",1,0)</f>
        <v>0</v>
      </c>
      <c r="P2125">
        <f>IF(Table1[[#This Row],[وسيلة الدفع]]="تحويل",1,0)</f>
        <v>1</v>
      </c>
      <c r="Q2125">
        <f>IF(Table1[[#This Row],[حضر التهيئة]]="نعم",1,0)</f>
        <v>0</v>
      </c>
      <c r="R2125">
        <f>IF(Table1[[#This Row],[دورة الفوترة]]="شهري",1,0)</f>
        <v>1</v>
      </c>
    </row>
    <row r="2126" spans="1:18" x14ac:dyDescent="0.25">
      <c r="A2126" t="s">
        <v>2146</v>
      </c>
      <c r="B2126" s="1">
        <v>45728</v>
      </c>
      <c r="C2126" t="s">
        <v>19</v>
      </c>
      <c r="D2126">
        <v>189</v>
      </c>
      <c r="E2126" t="s">
        <v>14</v>
      </c>
      <c r="F2126">
        <v>20</v>
      </c>
      <c r="G2126" t="s">
        <v>23</v>
      </c>
      <c r="H2126">
        <v>0</v>
      </c>
      <c r="I2126">
        <v>8</v>
      </c>
      <c r="J2126">
        <v>15</v>
      </c>
      <c r="K2126" t="s">
        <v>17</v>
      </c>
      <c r="L2126" t="s">
        <v>17</v>
      </c>
      <c r="M2126">
        <f>IF(Table1[[#This Row],[ألغى الاشتراك]]="نعم",1,0)</f>
        <v>0</v>
      </c>
      <c r="N2126">
        <f>IF(Table1[[#This Row],[وسيلة الدفع]]="بطاقة",1,0)</f>
        <v>0</v>
      </c>
      <c r="O2126">
        <f>IF(Table1[[#This Row],[وسيلة الدفع]]="محفظة",1,0)</f>
        <v>0</v>
      </c>
      <c r="P2126">
        <f>IF(Table1[[#This Row],[وسيلة الدفع]]="تحويل",1,0)</f>
        <v>1</v>
      </c>
      <c r="Q2126">
        <f>IF(Table1[[#This Row],[حضر التهيئة]]="نعم",1,0)</f>
        <v>0</v>
      </c>
      <c r="R2126">
        <f>IF(Table1[[#This Row],[دورة الفوترة]]="شهري",1,0)</f>
        <v>1</v>
      </c>
    </row>
    <row r="2127" spans="1:18" x14ac:dyDescent="0.25">
      <c r="A2127" t="s">
        <v>2147</v>
      </c>
      <c r="B2127" s="1">
        <v>45395</v>
      </c>
      <c r="C2127" t="s">
        <v>19</v>
      </c>
      <c r="D2127">
        <v>189</v>
      </c>
      <c r="E2127" t="s">
        <v>14</v>
      </c>
      <c r="F2127">
        <v>14</v>
      </c>
      <c r="G2127" t="s">
        <v>15</v>
      </c>
      <c r="H2127">
        <v>1</v>
      </c>
      <c r="I2127">
        <v>16</v>
      </c>
      <c r="J2127">
        <v>0</v>
      </c>
      <c r="K2127" t="s">
        <v>16</v>
      </c>
      <c r="L2127" t="s">
        <v>16</v>
      </c>
      <c r="M2127">
        <f>IF(Table1[[#This Row],[ألغى الاشتراك]]="نعم",1,0)</f>
        <v>1</v>
      </c>
      <c r="N2127">
        <f>IF(Table1[[#This Row],[وسيلة الدفع]]="بطاقة",1,0)</f>
        <v>1</v>
      </c>
      <c r="O2127">
        <f>IF(Table1[[#This Row],[وسيلة الدفع]]="محفظة",1,0)</f>
        <v>0</v>
      </c>
      <c r="P2127">
        <f>IF(Table1[[#This Row],[وسيلة الدفع]]="تحويل",1,0)</f>
        <v>0</v>
      </c>
      <c r="Q2127">
        <f>IF(Table1[[#This Row],[حضر التهيئة]]="نعم",1,0)</f>
        <v>1</v>
      </c>
      <c r="R2127">
        <f>IF(Table1[[#This Row],[دورة الفوترة]]="شهري",1,0)</f>
        <v>1</v>
      </c>
    </row>
    <row r="2128" spans="1:18" x14ac:dyDescent="0.25">
      <c r="A2128" t="s">
        <v>2148</v>
      </c>
      <c r="B2128" s="1">
        <v>45906</v>
      </c>
      <c r="C2128" t="s">
        <v>19</v>
      </c>
      <c r="D2128">
        <v>189</v>
      </c>
      <c r="E2128" t="s">
        <v>20</v>
      </c>
      <c r="F2128">
        <v>23</v>
      </c>
      <c r="G2128" t="s">
        <v>23</v>
      </c>
      <c r="H2128">
        <v>1</v>
      </c>
      <c r="I2128">
        <v>59</v>
      </c>
      <c r="J2128">
        <v>0</v>
      </c>
      <c r="K2128" t="s">
        <v>17</v>
      </c>
      <c r="L2128" t="s">
        <v>17</v>
      </c>
      <c r="M2128">
        <f>IF(Table1[[#This Row],[ألغى الاشتراك]]="نعم",1,0)</f>
        <v>0</v>
      </c>
      <c r="N2128">
        <f>IF(Table1[[#This Row],[وسيلة الدفع]]="بطاقة",1,0)</f>
        <v>0</v>
      </c>
      <c r="O2128">
        <f>IF(Table1[[#This Row],[وسيلة الدفع]]="محفظة",1,0)</f>
        <v>0</v>
      </c>
      <c r="P2128">
        <f>IF(Table1[[#This Row],[وسيلة الدفع]]="تحويل",1,0)</f>
        <v>1</v>
      </c>
      <c r="Q2128">
        <f>IF(Table1[[#This Row],[حضر التهيئة]]="نعم",1,0)</f>
        <v>0</v>
      </c>
      <c r="R2128">
        <f>IF(Table1[[#This Row],[دورة الفوترة]]="شهري",1,0)</f>
        <v>0</v>
      </c>
    </row>
    <row r="2129" spans="1:18" x14ac:dyDescent="0.25">
      <c r="A2129" t="s">
        <v>2149</v>
      </c>
      <c r="B2129" s="1">
        <v>45588</v>
      </c>
      <c r="C2129" t="s">
        <v>13</v>
      </c>
      <c r="D2129">
        <v>89</v>
      </c>
      <c r="E2129" t="s">
        <v>14</v>
      </c>
      <c r="F2129">
        <v>24</v>
      </c>
      <c r="G2129" t="s">
        <v>21</v>
      </c>
      <c r="H2129">
        <v>1</v>
      </c>
      <c r="I2129">
        <v>48</v>
      </c>
      <c r="J2129">
        <v>0</v>
      </c>
      <c r="K2129" t="s">
        <v>16</v>
      </c>
      <c r="L2129" t="s">
        <v>17</v>
      </c>
      <c r="M2129">
        <f>IF(Table1[[#This Row],[ألغى الاشتراك]]="نعم",1,0)</f>
        <v>0</v>
      </c>
      <c r="N2129">
        <f>IF(Table1[[#This Row],[وسيلة الدفع]]="بطاقة",1,0)</f>
        <v>0</v>
      </c>
      <c r="O2129">
        <f>IF(Table1[[#This Row],[وسيلة الدفع]]="محفظة",1,0)</f>
        <v>1</v>
      </c>
      <c r="P2129">
        <f>IF(Table1[[#This Row],[وسيلة الدفع]]="تحويل",1,0)</f>
        <v>0</v>
      </c>
      <c r="Q2129">
        <f>IF(Table1[[#This Row],[حضر التهيئة]]="نعم",1,0)</f>
        <v>1</v>
      </c>
      <c r="R2129">
        <f>IF(Table1[[#This Row],[دورة الفوترة]]="شهري",1,0)</f>
        <v>1</v>
      </c>
    </row>
    <row r="2130" spans="1:18" x14ac:dyDescent="0.25">
      <c r="A2130" t="s">
        <v>2150</v>
      </c>
      <c r="B2130" s="1">
        <v>45732</v>
      </c>
      <c r="C2130" t="s">
        <v>13</v>
      </c>
      <c r="D2130">
        <v>89</v>
      </c>
      <c r="E2130" t="s">
        <v>14</v>
      </c>
      <c r="F2130">
        <v>25</v>
      </c>
      <c r="G2130" t="s">
        <v>15</v>
      </c>
      <c r="H2130">
        <v>1</v>
      </c>
      <c r="I2130">
        <v>37</v>
      </c>
      <c r="J2130">
        <v>0</v>
      </c>
      <c r="K2130" t="s">
        <v>16</v>
      </c>
      <c r="L2130" t="s">
        <v>17</v>
      </c>
      <c r="M2130">
        <f>IF(Table1[[#This Row],[ألغى الاشتراك]]="نعم",1,0)</f>
        <v>0</v>
      </c>
      <c r="N2130">
        <f>IF(Table1[[#This Row],[وسيلة الدفع]]="بطاقة",1,0)</f>
        <v>1</v>
      </c>
      <c r="O2130">
        <f>IF(Table1[[#This Row],[وسيلة الدفع]]="محفظة",1,0)</f>
        <v>0</v>
      </c>
      <c r="P2130">
        <f>IF(Table1[[#This Row],[وسيلة الدفع]]="تحويل",1,0)</f>
        <v>0</v>
      </c>
      <c r="Q2130">
        <f>IF(Table1[[#This Row],[حضر التهيئة]]="نعم",1,0)</f>
        <v>1</v>
      </c>
      <c r="R2130">
        <f>IF(Table1[[#This Row],[دورة الفوترة]]="شهري",1,0)</f>
        <v>1</v>
      </c>
    </row>
    <row r="2131" spans="1:18" x14ac:dyDescent="0.25">
      <c r="A2131" t="s">
        <v>2151</v>
      </c>
      <c r="B2131" s="1">
        <v>45505</v>
      </c>
      <c r="C2131" t="s">
        <v>19</v>
      </c>
      <c r="D2131">
        <v>189</v>
      </c>
      <c r="E2131" t="s">
        <v>20</v>
      </c>
      <c r="F2131">
        <v>28</v>
      </c>
      <c r="G2131" t="s">
        <v>21</v>
      </c>
      <c r="H2131">
        <v>6</v>
      </c>
      <c r="I2131">
        <v>36</v>
      </c>
      <c r="J2131">
        <v>0</v>
      </c>
      <c r="K2131" t="s">
        <v>16</v>
      </c>
      <c r="L2131" t="s">
        <v>17</v>
      </c>
      <c r="M2131">
        <f>IF(Table1[[#This Row],[ألغى الاشتراك]]="نعم",1,0)</f>
        <v>0</v>
      </c>
      <c r="N2131">
        <f>IF(Table1[[#This Row],[وسيلة الدفع]]="بطاقة",1,0)</f>
        <v>0</v>
      </c>
      <c r="O2131">
        <f>IF(Table1[[#This Row],[وسيلة الدفع]]="محفظة",1,0)</f>
        <v>1</v>
      </c>
      <c r="P2131">
        <f>IF(Table1[[#This Row],[وسيلة الدفع]]="تحويل",1,0)</f>
        <v>0</v>
      </c>
      <c r="Q2131">
        <f>IF(Table1[[#This Row],[حضر التهيئة]]="نعم",1,0)</f>
        <v>1</v>
      </c>
      <c r="R2131">
        <f>IF(Table1[[#This Row],[دورة الفوترة]]="شهري",1,0)</f>
        <v>0</v>
      </c>
    </row>
    <row r="2132" spans="1:18" x14ac:dyDescent="0.25">
      <c r="A2132" t="s">
        <v>2152</v>
      </c>
      <c r="B2132" s="1">
        <v>45345</v>
      </c>
      <c r="C2132" t="s">
        <v>19</v>
      </c>
      <c r="D2132">
        <v>189</v>
      </c>
      <c r="E2132" t="s">
        <v>14</v>
      </c>
      <c r="F2132">
        <v>21</v>
      </c>
      <c r="G2132" t="s">
        <v>15</v>
      </c>
      <c r="H2132">
        <v>2</v>
      </c>
      <c r="I2132">
        <v>23</v>
      </c>
      <c r="J2132">
        <v>10</v>
      </c>
      <c r="K2132" t="s">
        <v>16</v>
      </c>
      <c r="L2132" t="s">
        <v>17</v>
      </c>
      <c r="M2132">
        <f>IF(Table1[[#This Row],[ألغى الاشتراك]]="نعم",1,0)</f>
        <v>0</v>
      </c>
      <c r="N2132">
        <f>IF(Table1[[#This Row],[وسيلة الدفع]]="بطاقة",1,0)</f>
        <v>1</v>
      </c>
      <c r="O2132">
        <f>IF(Table1[[#This Row],[وسيلة الدفع]]="محفظة",1,0)</f>
        <v>0</v>
      </c>
      <c r="P2132">
        <f>IF(Table1[[#This Row],[وسيلة الدفع]]="تحويل",1,0)</f>
        <v>0</v>
      </c>
      <c r="Q2132">
        <f>IF(Table1[[#This Row],[حضر التهيئة]]="نعم",1,0)</f>
        <v>1</v>
      </c>
      <c r="R2132">
        <f>IF(Table1[[#This Row],[دورة الفوترة]]="شهري",1,0)</f>
        <v>1</v>
      </c>
    </row>
    <row r="2133" spans="1:18" x14ac:dyDescent="0.25">
      <c r="A2133" t="s">
        <v>2153</v>
      </c>
      <c r="B2133" s="1">
        <v>45985</v>
      </c>
      <c r="C2133" t="s">
        <v>28</v>
      </c>
      <c r="D2133">
        <v>39</v>
      </c>
      <c r="E2133" t="s">
        <v>14</v>
      </c>
      <c r="F2133">
        <v>29</v>
      </c>
      <c r="G2133" t="s">
        <v>21</v>
      </c>
      <c r="H2133">
        <v>0</v>
      </c>
      <c r="I2133">
        <v>5</v>
      </c>
      <c r="J2133">
        <v>0</v>
      </c>
      <c r="K2133" t="s">
        <v>16</v>
      </c>
      <c r="L2133" t="s">
        <v>16</v>
      </c>
      <c r="M2133">
        <f>IF(Table1[[#This Row],[ألغى الاشتراك]]="نعم",1,0)</f>
        <v>1</v>
      </c>
      <c r="N2133">
        <f>IF(Table1[[#This Row],[وسيلة الدفع]]="بطاقة",1,0)</f>
        <v>0</v>
      </c>
      <c r="O2133">
        <f>IF(Table1[[#This Row],[وسيلة الدفع]]="محفظة",1,0)</f>
        <v>1</v>
      </c>
      <c r="P2133">
        <f>IF(Table1[[#This Row],[وسيلة الدفع]]="تحويل",1,0)</f>
        <v>0</v>
      </c>
      <c r="Q2133">
        <f>IF(Table1[[#This Row],[حضر التهيئة]]="نعم",1,0)</f>
        <v>1</v>
      </c>
      <c r="R2133">
        <f>IF(Table1[[#This Row],[دورة الفوترة]]="شهري",1,0)</f>
        <v>1</v>
      </c>
    </row>
    <row r="2134" spans="1:18" x14ac:dyDescent="0.25">
      <c r="A2134" t="s">
        <v>2154</v>
      </c>
      <c r="B2134" s="1">
        <v>45395</v>
      </c>
      <c r="C2134" t="s">
        <v>28</v>
      </c>
      <c r="D2134">
        <v>39</v>
      </c>
      <c r="E2134" t="s">
        <v>14</v>
      </c>
      <c r="F2134">
        <v>6</v>
      </c>
      <c r="G2134" t="s">
        <v>15</v>
      </c>
      <c r="H2134">
        <v>2</v>
      </c>
      <c r="I2134">
        <v>24</v>
      </c>
      <c r="J2134">
        <v>0</v>
      </c>
      <c r="K2134" t="s">
        <v>16</v>
      </c>
      <c r="L2134" t="s">
        <v>17</v>
      </c>
      <c r="M2134">
        <f>IF(Table1[[#This Row],[ألغى الاشتراك]]="نعم",1,0)</f>
        <v>0</v>
      </c>
      <c r="N2134">
        <f>IF(Table1[[#This Row],[وسيلة الدفع]]="بطاقة",1,0)</f>
        <v>1</v>
      </c>
      <c r="O2134">
        <f>IF(Table1[[#This Row],[وسيلة الدفع]]="محفظة",1,0)</f>
        <v>0</v>
      </c>
      <c r="P2134">
        <f>IF(Table1[[#This Row],[وسيلة الدفع]]="تحويل",1,0)</f>
        <v>0</v>
      </c>
      <c r="Q2134">
        <f>IF(Table1[[#This Row],[حضر التهيئة]]="نعم",1,0)</f>
        <v>1</v>
      </c>
      <c r="R2134">
        <f>IF(Table1[[#This Row],[دورة الفوترة]]="شهري",1,0)</f>
        <v>1</v>
      </c>
    </row>
    <row r="2135" spans="1:18" x14ac:dyDescent="0.25">
      <c r="A2135" t="s">
        <v>2155</v>
      </c>
      <c r="B2135" s="1">
        <v>45914</v>
      </c>
      <c r="C2135" t="s">
        <v>13</v>
      </c>
      <c r="D2135">
        <v>89</v>
      </c>
      <c r="E2135" t="s">
        <v>20</v>
      </c>
      <c r="F2135">
        <v>3</v>
      </c>
      <c r="G2135" t="s">
        <v>23</v>
      </c>
      <c r="H2135">
        <v>10</v>
      </c>
      <c r="I2135">
        <v>41</v>
      </c>
      <c r="J2135">
        <v>0</v>
      </c>
      <c r="K2135" t="s">
        <v>16</v>
      </c>
      <c r="L2135" t="s">
        <v>17</v>
      </c>
      <c r="M2135">
        <f>IF(Table1[[#This Row],[ألغى الاشتراك]]="نعم",1,0)</f>
        <v>0</v>
      </c>
      <c r="N2135">
        <f>IF(Table1[[#This Row],[وسيلة الدفع]]="بطاقة",1,0)</f>
        <v>0</v>
      </c>
      <c r="O2135">
        <f>IF(Table1[[#This Row],[وسيلة الدفع]]="محفظة",1,0)</f>
        <v>0</v>
      </c>
      <c r="P2135">
        <f>IF(Table1[[#This Row],[وسيلة الدفع]]="تحويل",1,0)</f>
        <v>1</v>
      </c>
      <c r="Q2135">
        <f>IF(Table1[[#This Row],[حضر التهيئة]]="نعم",1,0)</f>
        <v>1</v>
      </c>
      <c r="R2135">
        <f>IF(Table1[[#This Row],[دورة الفوترة]]="شهري",1,0)</f>
        <v>0</v>
      </c>
    </row>
    <row r="2136" spans="1:18" x14ac:dyDescent="0.25">
      <c r="A2136" t="s">
        <v>2156</v>
      </c>
      <c r="B2136" s="1">
        <v>45740</v>
      </c>
      <c r="C2136" t="s">
        <v>13</v>
      </c>
      <c r="D2136">
        <v>89</v>
      </c>
      <c r="E2136" t="s">
        <v>14</v>
      </c>
      <c r="F2136">
        <v>12</v>
      </c>
      <c r="G2136" t="s">
        <v>23</v>
      </c>
      <c r="H2136">
        <v>2</v>
      </c>
      <c r="I2136">
        <v>28</v>
      </c>
      <c r="J2136">
        <v>15</v>
      </c>
      <c r="K2136" t="s">
        <v>17</v>
      </c>
      <c r="L2136" t="s">
        <v>17</v>
      </c>
      <c r="M2136">
        <f>IF(Table1[[#This Row],[ألغى الاشتراك]]="نعم",1,0)</f>
        <v>0</v>
      </c>
      <c r="N2136">
        <f>IF(Table1[[#This Row],[وسيلة الدفع]]="بطاقة",1,0)</f>
        <v>0</v>
      </c>
      <c r="O2136">
        <f>IF(Table1[[#This Row],[وسيلة الدفع]]="محفظة",1,0)</f>
        <v>0</v>
      </c>
      <c r="P2136">
        <f>IF(Table1[[#This Row],[وسيلة الدفع]]="تحويل",1,0)</f>
        <v>1</v>
      </c>
      <c r="Q2136">
        <f>IF(Table1[[#This Row],[حضر التهيئة]]="نعم",1,0)</f>
        <v>0</v>
      </c>
      <c r="R2136">
        <f>IF(Table1[[#This Row],[دورة الفوترة]]="شهري",1,0)</f>
        <v>1</v>
      </c>
    </row>
    <row r="2137" spans="1:18" x14ac:dyDescent="0.25">
      <c r="A2137" t="s">
        <v>2157</v>
      </c>
      <c r="B2137" s="1">
        <v>45387</v>
      </c>
      <c r="C2137" t="s">
        <v>28</v>
      </c>
      <c r="D2137">
        <v>39</v>
      </c>
      <c r="E2137" t="s">
        <v>14</v>
      </c>
      <c r="F2137">
        <v>30</v>
      </c>
      <c r="G2137" t="s">
        <v>21</v>
      </c>
      <c r="H2137">
        <v>0</v>
      </c>
      <c r="I2137">
        <v>38</v>
      </c>
      <c r="J2137">
        <v>0</v>
      </c>
      <c r="K2137" t="s">
        <v>16</v>
      </c>
      <c r="L2137" t="s">
        <v>17</v>
      </c>
      <c r="M2137">
        <f>IF(Table1[[#This Row],[ألغى الاشتراك]]="نعم",1,0)</f>
        <v>0</v>
      </c>
      <c r="N2137">
        <f>IF(Table1[[#This Row],[وسيلة الدفع]]="بطاقة",1,0)</f>
        <v>0</v>
      </c>
      <c r="O2137">
        <f>IF(Table1[[#This Row],[وسيلة الدفع]]="محفظة",1,0)</f>
        <v>1</v>
      </c>
      <c r="P2137">
        <f>IF(Table1[[#This Row],[وسيلة الدفع]]="تحويل",1,0)</f>
        <v>0</v>
      </c>
      <c r="Q2137">
        <f>IF(Table1[[#This Row],[حضر التهيئة]]="نعم",1,0)</f>
        <v>1</v>
      </c>
      <c r="R2137">
        <f>IF(Table1[[#This Row],[دورة الفوترة]]="شهري",1,0)</f>
        <v>1</v>
      </c>
    </row>
    <row r="2138" spans="1:18" x14ac:dyDescent="0.25">
      <c r="A2138" t="s">
        <v>2158</v>
      </c>
      <c r="B2138" s="1">
        <v>45902</v>
      </c>
      <c r="C2138" t="s">
        <v>28</v>
      </c>
      <c r="D2138">
        <v>39</v>
      </c>
      <c r="E2138" t="s">
        <v>14</v>
      </c>
      <c r="F2138">
        <v>9</v>
      </c>
      <c r="G2138" t="s">
        <v>15</v>
      </c>
      <c r="H2138">
        <v>0</v>
      </c>
      <c r="I2138">
        <v>59</v>
      </c>
      <c r="J2138">
        <v>0</v>
      </c>
      <c r="K2138" t="s">
        <v>16</v>
      </c>
      <c r="L2138" t="s">
        <v>17</v>
      </c>
      <c r="M2138">
        <f>IF(Table1[[#This Row],[ألغى الاشتراك]]="نعم",1,0)</f>
        <v>0</v>
      </c>
      <c r="N2138">
        <f>IF(Table1[[#This Row],[وسيلة الدفع]]="بطاقة",1,0)</f>
        <v>1</v>
      </c>
      <c r="O2138">
        <f>IF(Table1[[#This Row],[وسيلة الدفع]]="محفظة",1,0)</f>
        <v>0</v>
      </c>
      <c r="P2138">
        <f>IF(Table1[[#This Row],[وسيلة الدفع]]="تحويل",1,0)</f>
        <v>0</v>
      </c>
      <c r="Q2138">
        <f>IF(Table1[[#This Row],[حضر التهيئة]]="نعم",1,0)</f>
        <v>1</v>
      </c>
      <c r="R2138">
        <f>IF(Table1[[#This Row],[دورة الفوترة]]="شهري",1,0)</f>
        <v>1</v>
      </c>
    </row>
    <row r="2139" spans="1:18" x14ac:dyDescent="0.25">
      <c r="A2139" t="s">
        <v>2159</v>
      </c>
      <c r="B2139" s="1">
        <v>45341</v>
      </c>
      <c r="C2139" t="s">
        <v>28</v>
      </c>
      <c r="D2139">
        <v>39</v>
      </c>
      <c r="E2139" t="s">
        <v>20</v>
      </c>
      <c r="F2139">
        <v>20</v>
      </c>
      <c r="G2139" t="s">
        <v>21</v>
      </c>
      <c r="H2139">
        <v>1</v>
      </c>
      <c r="I2139">
        <v>28</v>
      </c>
      <c r="J2139">
        <v>0</v>
      </c>
      <c r="K2139" t="s">
        <v>16</v>
      </c>
      <c r="L2139" t="s">
        <v>17</v>
      </c>
      <c r="M2139">
        <f>IF(Table1[[#This Row],[ألغى الاشتراك]]="نعم",1,0)</f>
        <v>0</v>
      </c>
      <c r="N2139">
        <f>IF(Table1[[#This Row],[وسيلة الدفع]]="بطاقة",1,0)</f>
        <v>0</v>
      </c>
      <c r="O2139">
        <f>IF(Table1[[#This Row],[وسيلة الدفع]]="محفظة",1,0)</f>
        <v>1</v>
      </c>
      <c r="P2139">
        <f>IF(Table1[[#This Row],[وسيلة الدفع]]="تحويل",1,0)</f>
        <v>0</v>
      </c>
      <c r="Q2139">
        <f>IF(Table1[[#This Row],[حضر التهيئة]]="نعم",1,0)</f>
        <v>1</v>
      </c>
      <c r="R2139">
        <f>IF(Table1[[#This Row],[دورة الفوترة]]="شهري",1,0)</f>
        <v>0</v>
      </c>
    </row>
    <row r="2140" spans="1:18" x14ac:dyDescent="0.25">
      <c r="A2140" t="s">
        <v>2160</v>
      </c>
      <c r="B2140" s="1">
        <v>45977</v>
      </c>
      <c r="C2140" t="s">
        <v>19</v>
      </c>
      <c r="D2140">
        <v>189</v>
      </c>
      <c r="E2140" t="s">
        <v>20</v>
      </c>
      <c r="F2140">
        <v>19</v>
      </c>
      <c r="G2140" t="s">
        <v>23</v>
      </c>
      <c r="H2140">
        <v>0</v>
      </c>
      <c r="I2140">
        <v>51</v>
      </c>
      <c r="J2140">
        <v>0</v>
      </c>
      <c r="K2140" t="s">
        <v>16</v>
      </c>
      <c r="L2140" t="s">
        <v>17</v>
      </c>
      <c r="M2140">
        <f>IF(Table1[[#This Row],[ألغى الاشتراك]]="نعم",1,0)</f>
        <v>0</v>
      </c>
      <c r="N2140">
        <f>IF(Table1[[#This Row],[وسيلة الدفع]]="بطاقة",1,0)</f>
        <v>0</v>
      </c>
      <c r="O2140">
        <f>IF(Table1[[#This Row],[وسيلة الدفع]]="محفظة",1,0)</f>
        <v>0</v>
      </c>
      <c r="P2140">
        <f>IF(Table1[[#This Row],[وسيلة الدفع]]="تحويل",1,0)</f>
        <v>1</v>
      </c>
      <c r="Q2140">
        <f>IF(Table1[[#This Row],[حضر التهيئة]]="نعم",1,0)</f>
        <v>1</v>
      </c>
      <c r="R2140">
        <f>IF(Table1[[#This Row],[دورة الفوترة]]="شهري",1,0)</f>
        <v>0</v>
      </c>
    </row>
    <row r="2141" spans="1:18" x14ac:dyDescent="0.25">
      <c r="A2141" t="s">
        <v>2161</v>
      </c>
      <c r="B2141" s="1">
        <v>45647</v>
      </c>
      <c r="C2141" t="s">
        <v>13</v>
      </c>
      <c r="D2141">
        <v>89</v>
      </c>
      <c r="E2141" t="s">
        <v>14</v>
      </c>
      <c r="F2141">
        <v>12</v>
      </c>
      <c r="G2141" t="s">
        <v>23</v>
      </c>
      <c r="H2141">
        <v>0</v>
      </c>
      <c r="I2141">
        <v>12</v>
      </c>
      <c r="J2141">
        <v>0</v>
      </c>
      <c r="K2141" t="s">
        <v>17</v>
      </c>
      <c r="L2141" t="s">
        <v>17</v>
      </c>
      <c r="M2141">
        <f>IF(Table1[[#This Row],[ألغى الاشتراك]]="نعم",1,0)</f>
        <v>0</v>
      </c>
      <c r="N2141">
        <f>IF(Table1[[#This Row],[وسيلة الدفع]]="بطاقة",1,0)</f>
        <v>0</v>
      </c>
      <c r="O2141">
        <f>IF(Table1[[#This Row],[وسيلة الدفع]]="محفظة",1,0)</f>
        <v>0</v>
      </c>
      <c r="P2141">
        <f>IF(Table1[[#This Row],[وسيلة الدفع]]="تحويل",1,0)</f>
        <v>1</v>
      </c>
      <c r="Q2141">
        <f>IF(Table1[[#This Row],[حضر التهيئة]]="نعم",1,0)</f>
        <v>0</v>
      </c>
      <c r="R2141">
        <f>IF(Table1[[#This Row],[دورة الفوترة]]="شهري",1,0)</f>
        <v>1</v>
      </c>
    </row>
    <row r="2142" spans="1:18" x14ac:dyDescent="0.25">
      <c r="A2142" t="s">
        <v>2162</v>
      </c>
      <c r="B2142" s="1">
        <v>45803</v>
      </c>
      <c r="C2142" t="s">
        <v>13</v>
      </c>
      <c r="D2142">
        <v>89</v>
      </c>
      <c r="E2142" t="s">
        <v>14</v>
      </c>
      <c r="F2142">
        <v>23</v>
      </c>
      <c r="G2142" t="s">
        <v>15</v>
      </c>
      <c r="H2142">
        <v>7</v>
      </c>
      <c r="I2142">
        <v>49</v>
      </c>
      <c r="J2142">
        <v>0</v>
      </c>
      <c r="K2142" t="s">
        <v>16</v>
      </c>
      <c r="L2142" t="s">
        <v>17</v>
      </c>
      <c r="M2142">
        <f>IF(Table1[[#This Row],[ألغى الاشتراك]]="نعم",1,0)</f>
        <v>0</v>
      </c>
      <c r="N2142">
        <f>IF(Table1[[#This Row],[وسيلة الدفع]]="بطاقة",1,0)</f>
        <v>1</v>
      </c>
      <c r="O2142">
        <f>IF(Table1[[#This Row],[وسيلة الدفع]]="محفظة",1,0)</f>
        <v>0</v>
      </c>
      <c r="P2142">
        <f>IF(Table1[[#This Row],[وسيلة الدفع]]="تحويل",1,0)</f>
        <v>0</v>
      </c>
      <c r="Q2142">
        <f>IF(Table1[[#This Row],[حضر التهيئة]]="نعم",1,0)</f>
        <v>1</v>
      </c>
      <c r="R2142">
        <f>IF(Table1[[#This Row],[دورة الفوترة]]="شهري",1,0)</f>
        <v>1</v>
      </c>
    </row>
    <row r="2143" spans="1:18" x14ac:dyDescent="0.25">
      <c r="A2143" t="s">
        <v>2163</v>
      </c>
      <c r="B2143" s="1">
        <v>45592</v>
      </c>
      <c r="C2143" t="s">
        <v>28</v>
      </c>
      <c r="D2143">
        <v>39</v>
      </c>
      <c r="E2143" t="s">
        <v>14</v>
      </c>
      <c r="F2143">
        <v>14</v>
      </c>
      <c r="G2143" t="s">
        <v>21</v>
      </c>
      <c r="H2143">
        <v>0</v>
      </c>
      <c r="I2143">
        <v>50</v>
      </c>
      <c r="J2143">
        <v>0</v>
      </c>
      <c r="K2143" t="s">
        <v>16</v>
      </c>
      <c r="L2143" t="s">
        <v>17</v>
      </c>
      <c r="M2143">
        <f>IF(Table1[[#This Row],[ألغى الاشتراك]]="نعم",1,0)</f>
        <v>0</v>
      </c>
      <c r="N2143">
        <f>IF(Table1[[#This Row],[وسيلة الدفع]]="بطاقة",1,0)</f>
        <v>0</v>
      </c>
      <c r="O2143">
        <f>IF(Table1[[#This Row],[وسيلة الدفع]]="محفظة",1,0)</f>
        <v>1</v>
      </c>
      <c r="P2143">
        <f>IF(Table1[[#This Row],[وسيلة الدفع]]="تحويل",1,0)</f>
        <v>0</v>
      </c>
      <c r="Q2143">
        <f>IF(Table1[[#This Row],[حضر التهيئة]]="نعم",1,0)</f>
        <v>1</v>
      </c>
      <c r="R2143">
        <f>IF(Table1[[#This Row],[دورة الفوترة]]="شهري",1,0)</f>
        <v>1</v>
      </c>
    </row>
    <row r="2144" spans="1:18" x14ac:dyDescent="0.25">
      <c r="A2144" t="s">
        <v>2164</v>
      </c>
      <c r="B2144" s="1">
        <v>45744</v>
      </c>
      <c r="C2144" t="s">
        <v>13</v>
      </c>
      <c r="D2144">
        <v>89</v>
      </c>
      <c r="E2144" t="s">
        <v>20</v>
      </c>
      <c r="F2144">
        <v>15</v>
      </c>
      <c r="G2144" t="s">
        <v>21</v>
      </c>
      <c r="H2144">
        <v>1</v>
      </c>
      <c r="I2144">
        <v>3</v>
      </c>
      <c r="J2144">
        <v>0</v>
      </c>
      <c r="K2144" t="s">
        <v>17</v>
      </c>
      <c r="L2144" t="s">
        <v>17</v>
      </c>
      <c r="M2144">
        <f>IF(Table1[[#This Row],[ألغى الاشتراك]]="نعم",1,0)</f>
        <v>0</v>
      </c>
      <c r="N2144">
        <f>IF(Table1[[#This Row],[وسيلة الدفع]]="بطاقة",1,0)</f>
        <v>0</v>
      </c>
      <c r="O2144">
        <f>IF(Table1[[#This Row],[وسيلة الدفع]]="محفظة",1,0)</f>
        <v>1</v>
      </c>
      <c r="P2144">
        <f>IF(Table1[[#This Row],[وسيلة الدفع]]="تحويل",1,0)</f>
        <v>0</v>
      </c>
      <c r="Q2144">
        <f>IF(Table1[[#This Row],[حضر التهيئة]]="نعم",1,0)</f>
        <v>0</v>
      </c>
      <c r="R2144">
        <f>IF(Table1[[#This Row],[دورة الفوترة]]="شهري",1,0)</f>
        <v>0</v>
      </c>
    </row>
    <row r="2145" spans="1:18" x14ac:dyDescent="0.25">
      <c r="A2145" t="s">
        <v>2165</v>
      </c>
      <c r="B2145" s="1">
        <v>45399</v>
      </c>
      <c r="C2145" t="s">
        <v>19</v>
      </c>
      <c r="D2145">
        <v>189</v>
      </c>
      <c r="E2145" t="s">
        <v>14</v>
      </c>
      <c r="F2145">
        <v>26</v>
      </c>
      <c r="G2145" t="s">
        <v>23</v>
      </c>
      <c r="H2145">
        <v>1</v>
      </c>
      <c r="I2145">
        <v>46</v>
      </c>
      <c r="J2145">
        <v>0</v>
      </c>
      <c r="K2145" t="s">
        <v>17</v>
      </c>
      <c r="L2145" t="s">
        <v>16</v>
      </c>
      <c r="M2145">
        <f>IF(Table1[[#This Row],[ألغى الاشتراك]]="نعم",1,0)</f>
        <v>1</v>
      </c>
      <c r="N2145">
        <f>IF(Table1[[#This Row],[وسيلة الدفع]]="بطاقة",1,0)</f>
        <v>0</v>
      </c>
      <c r="O2145">
        <f>IF(Table1[[#This Row],[وسيلة الدفع]]="محفظة",1,0)</f>
        <v>0</v>
      </c>
      <c r="P2145">
        <f>IF(Table1[[#This Row],[وسيلة الدفع]]="تحويل",1,0)</f>
        <v>1</v>
      </c>
      <c r="Q2145">
        <f>IF(Table1[[#This Row],[حضر التهيئة]]="نعم",1,0)</f>
        <v>0</v>
      </c>
      <c r="R2145">
        <f>IF(Table1[[#This Row],[دورة الفوترة]]="شهري",1,0)</f>
        <v>1</v>
      </c>
    </row>
    <row r="2146" spans="1:18" x14ac:dyDescent="0.25">
      <c r="A2146" t="s">
        <v>2166</v>
      </c>
      <c r="B2146" s="1">
        <v>45918</v>
      </c>
      <c r="C2146" t="s">
        <v>28</v>
      </c>
      <c r="D2146">
        <v>39</v>
      </c>
      <c r="E2146" t="s">
        <v>20</v>
      </c>
      <c r="F2146">
        <v>13</v>
      </c>
      <c r="G2146" t="s">
        <v>23</v>
      </c>
      <c r="H2146">
        <v>0</v>
      </c>
      <c r="I2146">
        <v>45</v>
      </c>
      <c r="J2146">
        <v>0</v>
      </c>
      <c r="K2146" t="s">
        <v>16</v>
      </c>
      <c r="L2146" t="s">
        <v>17</v>
      </c>
      <c r="M2146">
        <f>IF(Table1[[#This Row],[ألغى الاشتراك]]="نعم",1,0)</f>
        <v>0</v>
      </c>
      <c r="N2146">
        <f>IF(Table1[[#This Row],[وسيلة الدفع]]="بطاقة",1,0)</f>
        <v>0</v>
      </c>
      <c r="O2146">
        <f>IF(Table1[[#This Row],[وسيلة الدفع]]="محفظة",1,0)</f>
        <v>0</v>
      </c>
      <c r="P2146">
        <f>IF(Table1[[#This Row],[وسيلة الدفع]]="تحويل",1,0)</f>
        <v>1</v>
      </c>
      <c r="Q2146">
        <f>IF(Table1[[#This Row],[حضر التهيئة]]="نعم",1,0)</f>
        <v>1</v>
      </c>
      <c r="R2146">
        <f>IF(Table1[[#This Row],[دورة الفوترة]]="شهري",1,0)</f>
        <v>0</v>
      </c>
    </row>
    <row r="2147" spans="1:18" x14ac:dyDescent="0.25">
      <c r="A2147" t="s">
        <v>2167</v>
      </c>
      <c r="B2147" s="1">
        <v>45576</v>
      </c>
      <c r="C2147" t="s">
        <v>28</v>
      </c>
      <c r="D2147">
        <v>39</v>
      </c>
      <c r="E2147" t="s">
        <v>14</v>
      </c>
      <c r="F2147">
        <v>14</v>
      </c>
      <c r="G2147" t="s">
        <v>15</v>
      </c>
      <c r="H2147">
        <v>2</v>
      </c>
      <c r="I2147">
        <v>46</v>
      </c>
      <c r="J2147">
        <v>0</v>
      </c>
      <c r="K2147" t="s">
        <v>17</v>
      </c>
      <c r="L2147" t="s">
        <v>17</v>
      </c>
      <c r="M2147">
        <f>IF(Table1[[#This Row],[ألغى الاشتراك]]="نعم",1,0)</f>
        <v>0</v>
      </c>
      <c r="N2147">
        <f>IF(Table1[[#This Row],[وسيلة الدفع]]="بطاقة",1,0)</f>
        <v>1</v>
      </c>
      <c r="O2147">
        <f>IF(Table1[[#This Row],[وسيلة الدفع]]="محفظة",1,0)</f>
        <v>0</v>
      </c>
      <c r="P2147">
        <f>IF(Table1[[#This Row],[وسيلة الدفع]]="تحويل",1,0)</f>
        <v>0</v>
      </c>
      <c r="Q2147">
        <f>IF(Table1[[#This Row],[حضر التهيئة]]="نعم",1,0)</f>
        <v>0</v>
      </c>
      <c r="R2147">
        <f>IF(Table1[[#This Row],[دورة الفوترة]]="شهري",1,0)</f>
        <v>1</v>
      </c>
    </row>
    <row r="2148" spans="1:18" x14ac:dyDescent="0.25">
      <c r="A2148" t="s">
        <v>2168</v>
      </c>
      <c r="B2148" s="1">
        <v>45720</v>
      </c>
      <c r="C2148" t="s">
        <v>13</v>
      </c>
      <c r="D2148">
        <v>89</v>
      </c>
      <c r="E2148" t="s">
        <v>20</v>
      </c>
      <c r="F2148">
        <v>27</v>
      </c>
      <c r="G2148" t="s">
        <v>21</v>
      </c>
      <c r="H2148">
        <v>1</v>
      </c>
      <c r="I2148">
        <v>33</v>
      </c>
      <c r="J2148">
        <v>0</v>
      </c>
      <c r="K2148" t="s">
        <v>16</v>
      </c>
      <c r="L2148" t="s">
        <v>17</v>
      </c>
      <c r="M2148">
        <f>IF(Table1[[#This Row],[ألغى الاشتراك]]="نعم",1,0)</f>
        <v>0</v>
      </c>
      <c r="N2148">
        <f>IF(Table1[[#This Row],[وسيلة الدفع]]="بطاقة",1,0)</f>
        <v>0</v>
      </c>
      <c r="O2148">
        <f>IF(Table1[[#This Row],[وسيلة الدفع]]="محفظة",1,0)</f>
        <v>1</v>
      </c>
      <c r="P2148">
        <f>IF(Table1[[#This Row],[وسيلة الدفع]]="تحويل",1,0)</f>
        <v>0</v>
      </c>
      <c r="Q2148">
        <f>IF(Table1[[#This Row],[حضر التهيئة]]="نعم",1,0)</f>
        <v>1</v>
      </c>
      <c r="R2148">
        <f>IF(Table1[[#This Row],[دورة الفوترة]]="شهري",1,0)</f>
        <v>0</v>
      </c>
    </row>
    <row r="2149" spans="1:18" x14ac:dyDescent="0.25">
      <c r="A2149" t="s">
        <v>2169</v>
      </c>
      <c r="B2149" s="1">
        <v>45391</v>
      </c>
      <c r="C2149" t="s">
        <v>13</v>
      </c>
      <c r="D2149">
        <v>89</v>
      </c>
      <c r="E2149" t="s">
        <v>14</v>
      </c>
      <c r="F2149">
        <v>18</v>
      </c>
      <c r="G2149" t="s">
        <v>21</v>
      </c>
      <c r="H2149">
        <v>11</v>
      </c>
      <c r="I2149">
        <v>24</v>
      </c>
      <c r="J2149">
        <v>0</v>
      </c>
      <c r="K2149" t="s">
        <v>17</v>
      </c>
      <c r="L2149" t="s">
        <v>17</v>
      </c>
      <c r="M2149">
        <f>IF(Table1[[#This Row],[ألغى الاشتراك]]="نعم",1,0)</f>
        <v>0</v>
      </c>
      <c r="N2149">
        <f>IF(Table1[[#This Row],[وسيلة الدفع]]="بطاقة",1,0)</f>
        <v>0</v>
      </c>
      <c r="O2149">
        <f>IF(Table1[[#This Row],[وسيلة الدفع]]="محفظة",1,0)</f>
        <v>1</v>
      </c>
      <c r="P2149">
        <f>IF(Table1[[#This Row],[وسيلة الدفع]]="تحويل",1,0)</f>
        <v>0</v>
      </c>
      <c r="Q2149">
        <f>IF(Table1[[#This Row],[حضر التهيئة]]="نعم",1,0)</f>
        <v>0</v>
      </c>
      <c r="R2149">
        <f>IF(Table1[[#This Row],[دورة الفوترة]]="شهري",1,0)</f>
        <v>1</v>
      </c>
    </row>
    <row r="2150" spans="1:18" x14ac:dyDescent="0.25">
      <c r="A2150" t="s">
        <v>2170</v>
      </c>
      <c r="B2150" s="1">
        <v>45918</v>
      </c>
      <c r="C2150" t="s">
        <v>28</v>
      </c>
      <c r="D2150">
        <v>39</v>
      </c>
      <c r="E2150" t="s">
        <v>14</v>
      </c>
      <c r="F2150">
        <v>17</v>
      </c>
      <c r="G2150" t="s">
        <v>21</v>
      </c>
      <c r="H2150">
        <v>11</v>
      </c>
      <c r="I2150">
        <v>57</v>
      </c>
      <c r="J2150">
        <v>0</v>
      </c>
      <c r="K2150" t="s">
        <v>16</v>
      </c>
      <c r="L2150" t="s">
        <v>17</v>
      </c>
      <c r="M2150">
        <f>IF(Table1[[#This Row],[ألغى الاشتراك]]="نعم",1,0)</f>
        <v>0</v>
      </c>
      <c r="N2150">
        <f>IF(Table1[[#This Row],[وسيلة الدفع]]="بطاقة",1,0)</f>
        <v>0</v>
      </c>
      <c r="O2150">
        <f>IF(Table1[[#This Row],[وسيلة الدفع]]="محفظة",1,0)</f>
        <v>1</v>
      </c>
      <c r="P2150">
        <f>IF(Table1[[#This Row],[وسيلة الدفع]]="تحويل",1,0)</f>
        <v>0</v>
      </c>
      <c r="Q2150">
        <f>IF(Table1[[#This Row],[حضر التهيئة]]="نعم",1,0)</f>
        <v>1</v>
      </c>
      <c r="R2150">
        <f>IF(Table1[[#This Row],[دورة الفوترة]]="شهري",1,0)</f>
        <v>1</v>
      </c>
    </row>
    <row r="2151" spans="1:18" x14ac:dyDescent="0.25">
      <c r="A2151" t="s">
        <v>2171</v>
      </c>
      <c r="B2151" s="1">
        <v>45470</v>
      </c>
      <c r="C2151" t="s">
        <v>13</v>
      </c>
      <c r="D2151">
        <v>89</v>
      </c>
      <c r="E2151" t="s">
        <v>14</v>
      </c>
      <c r="F2151">
        <v>26</v>
      </c>
      <c r="G2151" t="s">
        <v>23</v>
      </c>
      <c r="H2151">
        <v>1</v>
      </c>
      <c r="I2151">
        <v>42</v>
      </c>
      <c r="J2151">
        <v>0</v>
      </c>
      <c r="K2151" t="s">
        <v>17</v>
      </c>
      <c r="L2151" t="s">
        <v>17</v>
      </c>
      <c r="M2151">
        <f>IF(Table1[[#This Row],[ألغى الاشتراك]]="نعم",1,0)</f>
        <v>0</v>
      </c>
      <c r="N2151">
        <f>IF(Table1[[#This Row],[وسيلة الدفع]]="بطاقة",1,0)</f>
        <v>0</v>
      </c>
      <c r="O2151">
        <f>IF(Table1[[#This Row],[وسيلة الدفع]]="محفظة",1,0)</f>
        <v>0</v>
      </c>
      <c r="P2151">
        <f>IF(Table1[[#This Row],[وسيلة الدفع]]="تحويل",1,0)</f>
        <v>1</v>
      </c>
      <c r="Q2151">
        <f>IF(Table1[[#This Row],[حضر التهيئة]]="نعم",1,0)</f>
        <v>0</v>
      </c>
      <c r="R2151">
        <f>IF(Table1[[#This Row],[دورة الفوترة]]="شهري",1,0)</f>
        <v>1</v>
      </c>
    </row>
    <row r="2152" spans="1:18" x14ac:dyDescent="0.25">
      <c r="A2152" t="s">
        <v>2172</v>
      </c>
      <c r="B2152" s="1">
        <v>45985</v>
      </c>
      <c r="C2152" t="s">
        <v>28</v>
      </c>
      <c r="D2152">
        <v>39</v>
      </c>
      <c r="E2152" t="s">
        <v>14</v>
      </c>
      <c r="F2152">
        <v>9</v>
      </c>
      <c r="G2152" t="s">
        <v>21</v>
      </c>
      <c r="H2152">
        <v>2</v>
      </c>
      <c r="I2152">
        <v>27</v>
      </c>
      <c r="J2152">
        <v>0</v>
      </c>
      <c r="K2152" t="s">
        <v>16</v>
      </c>
      <c r="L2152" t="s">
        <v>17</v>
      </c>
      <c r="M2152">
        <f>IF(Table1[[#This Row],[ألغى الاشتراك]]="نعم",1,0)</f>
        <v>0</v>
      </c>
      <c r="N2152">
        <f>IF(Table1[[#This Row],[وسيلة الدفع]]="بطاقة",1,0)</f>
        <v>0</v>
      </c>
      <c r="O2152">
        <f>IF(Table1[[#This Row],[وسيلة الدفع]]="محفظة",1,0)</f>
        <v>1</v>
      </c>
      <c r="P2152">
        <f>IF(Table1[[#This Row],[وسيلة الدفع]]="تحويل",1,0)</f>
        <v>0</v>
      </c>
      <c r="Q2152">
        <f>IF(Table1[[#This Row],[حضر التهيئة]]="نعم",1,0)</f>
        <v>1</v>
      </c>
      <c r="R2152">
        <f>IF(Table1[[#This Row],[دورة الفوترة]]="شهري",1,0)</f>
        <v>1</v>
      </c>
    </row>
    <row r="2153" spans="1:18" x14ac:dyDescent="0.25">
      <c r="A2153" t="s">
        <v>2173</v>
      </c>
      <c r="B2153" s="1">
        <v>45647</v>
      </c>
      <c r="C2153" t="s">
        <v>19</v>
      </c>
      <c r="D2153">
        <v>189</v>
      </c>
      <c r="E2153" t="s">
        <v>14</v>
      </c>
      <c r="F2153">
        <v>26</v>
      </c>
      <c r="G2153" t="s">
        <v>23</v>
      </c>
      <c r="H2153">
        <v>1</v>
      </c>
      <c r="I2153">
        <v>16</v>
      </c>
      <c r="J2153">
        <v>0</v>
      </c>
      <c r="K2153" t="s">
        <v>17</v>
      </c>
      <c r="L2153" t="s">
        <v>17</v>
      </c>
      <c r="M2153">
        <f>IF(Table1[[#This Row],[ألغى الاشتراك]]="نعم",1,0)</f>
        <v>0</v>
      </c>
      <c r="N2153">
        <f>IF(Table1[[#This Row],[وسيلة الدفع]]="بطاقة",1,0)</f>
        <v>0</v>
      </c>
      <c r="O2153">
        <f>IF(Table1[[#This Row],[وسيلة الدفع]]="محفظة",1,0)</f>
        <v>0</v>
      </c>
      <c r="P2153">
        <f>IF(Table1[[#This Row],[وسيلة الدفع]]="تحويل",1,0)</f>
        <v>1</v>
      </c>
      <c r="Q2153">
        <f>IF(Table1[[#This Row],[حضر التهيئة]]="نعم",1,0)</f>
        <v>0</v>
      </c>
      <c r="R2153">
        <f>IF(Table1[[#This Row],[دورة الفوترة]]="شهري",1,0)</f>
        <v>1</v>
      </c>
    </row>
    <row r="2154" spans="1:18" x14ac:dyDescent="0.25">
      <c r="A2154" t="s">
        <v>2174</v>
      </c>
      <c r="B2154" s="1">
        <v>45671</v>
      </c>
      <c r="C2154" t="s">
        <v>13</v>
      </c>
      <c r="D2154">
        <v>89</v>
      </c>
      <c r="E2154" t="s">
        <v>14</v>
      </c>
      <c r="F2154">
        <v>27</v>
      </c>
      <c r="G2154" t="s">
        <v>15</v>
      </c>
      <c r="H2154">
        <v>2</v>
      </c>
      <c r="I2154">
        <v>9</v>
      </c>
      <c r="J2154">
        <v>0</v>
      </c>
      <c r="K2154" t="s">
        <v>16</v>
      </c>
      <c r="L2154" t="s">
        <v>17</v>
      </c>
      <c r="M2154">
        <f>IF(Table1[[#This Row],[ألغى الاشتراك]]="نعم",1,0)</f>
        <v>0</v>
      </c>
      <c r="N2154">
        <f>IF(Table1[[#This Row],[وسيلة الدفع]]="بطاقة",1,0)</f>
        <v>1</v>
      </c>
      <c r="O2154">
        <f>IF(Table1[[#This Row],[وسيلة الدفع]]="محفظة",1,0)</f>
        <v>0</v>
      </c>
      <c r="P2154">
        <f>IF(Table1[[#This Row],[وسيلة الدفع]]="تحويل",1,0)</f>
        <v>0</v>
      </c>
      <c r="Q2154">
        <f>IF(Table1[[#This Row],[حضر التهيئة]]="نعم",1,0)</f>
        <v>1</v>
      </c>
      <c r="R2154">
        <f>IF(Table1[[#This Row],[دورة الفوترة]]="شهري",1,0)</f>
        <v>1</v>
      </c>
    </row>
    <row r="2155" spans="1:18" x14ac:dyDescent="0.25">
      <c r="A2155" t="s">
        <v>2175</v>
      </c>
      <c r="B2155" s="1">
        <v>45333</v>
      </c>
      <c r="C2155" t="s">
        <v>19</v>
      </c>
      <c r="D2155">
        <v>189</v>
      </c>
      <c r="E2155" t="s">
        <v>20</v>
      </c>
      <c r="F2155">
        <v>24</v>
      </c>
      <c r="G2155" t="s">
        <v>21</v>
      </c>
      <c r="H2155">
        <v>1</v>
      </c>
      <c r="I2155">
        <v>56</v>
      </c>
      <c r="J2155">
        <v>0</v>
      </c>
      <c r="K2155" t="s">
        <v>17</v>
      </c>
      <c r="L2155" t="s">
        <v>17</v>
      </c>
      <c r="M2155">
        <f>IF(Table1[[#This Row],[ألغى الاشتراك]]="نعم",1,0)</f>
        <v>0</v>
      </c>
      <c r="N2155">
        <f>IF(Table1[[#This Row],[وسيلة الدفع]]="بطاقة",1,0)</f>
        <v>0</v>
      </c>
      <c r="O2155">
        <f>IF(Table1[[#This Row],[وسيلة الدفع]]="محفظة",1,0)</f>
        <v>1</v>
      </c>
      <c r="P2155">
        <f>IF(Table1[[#This Row],[وسيلة الدفع]]="تحويل",1,0)</f>
        <v>0</v>
      </c>
      <c r="Q2155">
        <f>IF(Table1[[#This Row],[حضر التهيئة]]="نعم",1,0)</f>
        <v>0</v>
      </c>
      <c r="R2155">
        <f>IF(Table1[[#This Row],[دورة الفوترة]]="شهري",1,0)</f>
        <v>0</v>
      </c>
    </row>
    <row r="2156" spans="1:18" x14ac:dyDescent="0.25">
      <c r="A2156" t="s">
        <v>2176</v>
      </c>
      <c r="B2156" s="1">
        <v>45969</v>
      </c>
      <c r="C2156" t="s">
        <v>13</v>
      </c>
      <c r="D2156">
        <v>89</v>
      </c>
      <c r="E2156" t="s">
        <v>20</v>
      </c>
      <c r="F2156">
        <v>19</v>
      </c>
      <c r="G2156" t="s">
        <v>21</v>
      </c>
      <c r="H2156">
        <v>4</v>
      </c>
      <c r="I2156">
        <v>15</v>
      </c>
      <c r="J2156">
        <v>0</v>
      </c>
      <c r="K2156" t="s">
        <v>16</v>
      </c>
      <c r="L2156" t="s">
        <v>17</v>
      </c>
      <c r="M2156">
        <f>IF(Table1[[#This Row],[ألغى الاشتراك]]="نعم",1,0)</f>
        <v>0</v>
      </c>
      <c r="N2156">
        <f>IF(Table1[[#This Row],[وسيلة الدفع]]="بطاقة",1,0)</f>
        <v>0</v>
      </c>
      <c r="O2156">
        <f>IF(Table1[[#This Row],[وسيلة الدفع]]="محفظة",1,0)</f>
        <v>1</v>
      </c>
      <c r="P2156">
        <f>IF(Table1[[#This Row],[وسيلة الدفع]]="تحويل",1,0)</f>
        <v>0</v>
      </c>
      <c r="Q2156">
        <f>IF(Table1[[#This Row],[حضر التهيئة]]="نعم",1,0)</f>
        <v>1</v>
      </c>
      <c r="R2156">
        <f>IF(Table1[[#This Row],[دورة الفوترة]]="شهري",1,0)</f>
        <v>0</v>
      </c>
    </row>
    <row r="2157" spans="1:18" x14ac:dyDescent="0.25">
      <c r="A2157" t="s">
        <v>2177</v>
      </c>
      <c r="B2157" s="1">
        <v>45403</v>
      </c>
      <c r="C2157" t="s">
        <v>19</v>
      </c>
      <c r="D2157">
        <v>189</v>
      </c>
      <c r="E2157" t="s">
        <v>20</v>
      </c>
      <c r="F2157">
        <v>6</v>
      </c>
      <c r="G2157" t="s">
        <v>15</v>
      </c>
      <c r="H2157">
        <v>2</v>
      </c>
      <c r="I2157">
        <v>50</v>
      </c>
      <c r="J2157">
        <v>0</v>
      </c>
      <c r="K2157" t="s">
        <v>17</v>
      </c>
      <c r="L2157" t="s">
        <v>17</v>
      </c>
      <c r="M2157">
        <f>IF(Table1[[#This Row],[ألغى الاشتراك]]="نعم",1,0)</f>
        <v>0</v>
      </c>
      <c r="N2157">
        <f>IF(Table1[[#This Row],[وسيلة الدفع]]="بطاقة",1,0)</f>
        <v>1</v>
      </c>
      <c r="O2157">
        <f>IF(Table1[[#This Row],[وسيلة الدفع]]="محفظة",1,0)</f>
        <v>0</v>
      </c>
      <c r="P2157">
        <f>IF(Table1[[#This Row],[وسيلة الدفع]]="تحويل",1,0)</f>
        <v>0</v>
      </c>
      <c r="Q2157">
        <f>IF(Table1[[#This Row],[حضر التهيئة]]="نعم",1,0)</f>
        <v>0</v>
      </c>
      <c r="R2157">
        <f>IF(Table1[[#This Row],[دورة الفوترة]]="شهري",1,0)</f>
        <v>0</v>
      </c>
    </row>
    <row r="2158" spans="1:18" x14ac:dyDescent="0.25">
      <c r="A2158" t="s">
        <v>2178</v>
      </c>
      <c r="B2158" s="1">
        <v>45922</v>
      </c>
      <c r="C2158" t="s">
        <v>19</v>
      </c>
      <c r="D2158">
        <v>189</v>
      </c>
      <c r="E2158" t="s">
        <v>20</v>
      </c>
      <c r="F2158">
        <v>25</v>
      </c>
      <c r="G2158" t="s">
        <v>15</v>
      </c>
      <c r="H2158">
        <v>3</v>
      </c>
      <c r="I2158">
        <v>15</v>
      </c>
      <c r="J2158">
        <v>0</v>
      </c>
      <c r="K2158" t="s">
        <v>16</v>
      </c>
      <c r="L2158" t="s">
        <v>17</v>
      </c>
      <c r="M2158">
        <f>IF(Table1[[#This Row],[ألغى الاشتراك]]="نعم",1,0)</f>
        <v>0</v>
      </c>
      <c r="N2158">
        <f>IF(Table1[[#This Row],[وسيلة الدفع]]="بطاقة",1,0)</f>
        <v>1</v>
      </c>
      <c r="O2158">
        <f>IF(Table1[[#This Row],[وسيلة الدفع]]="محفظة",1,0)</f>
        <v>0</v>
      </c>
      <c r="P2158">
        <f>IF(Table1[[#This Row],[وسيلة الدفع]]="تحويل",1,0)</f>
        <v>0</v>
      </c>
      <c r="Q2158">
        <f>IF(Table1[[#This Row],[حضر التهيئة]]="نعم",1,0)</f>
        <v>1</v>
      </c>
      <c r="R2158">
        <f>IF(Table1[[#This Row],[دورة الفوترة]]="شهري",1,0)</f>
        <v>0</v>
      </c>
    </row>
    <row r="2159" spans="1:18" x14ac:dyDescent="0.25">
      <c r="A2159" t="s">
        <v>2179</v>
      </c>
      <c r="B2159" s="1">
        <v>45580</v>
      </c>
      <c r="C2159" t="s">
        <v>19</v>
      </c>
      <c r="D2159">
        <v>189</v>
      </c>
      <c r="E2159" t="s">
        <v>20</v>
      </c>
      <c r="F2159">
        <v>16</v>
      </c>
      <c r="G2159" t="s">
        <v>15</v>
      </c>
      <c r="H2159">
        <v>4</v>
      </c>
      <c r="I2159">
        <v>4</v>
      </c>
      <c r="J2159">
        <v>0</v>
      </c>
      <c r="K2159" t="s">
        <v>16</v>
      </c>
      <c r="L2159" t="s">
        <v>17</v>
      </c>
      <c r="M2159">
        <f>IF(Table1[[#This Row],[ألغى الاشتراك]]="نعم",1,0)</f>
        <v>0</v>
      </c>
      <c r="N2159">
        <f>IF(Table1[[#This Row],[وسيلة الدفع]]="بطاقة",1,0)</f>
        <v>1</v>
      </c>
      <c r="O2159">
        <f>IF(Table1[[#This Row],[وسيلة الدفع]]="محفظة",1,0)</f>
        <v>0</v>
      </c>
      <c r="P2159">
        <f>IF(Table1[[#This Row],[وسيلة الدفع]]="تحويل",1,0)</f>
        <v>0</v>
      </c>
      <c r="Q2159">
        <f>IF(Table1[[#This Row],[حضر التهيئة]]="نعم",1,0)</f>
        <v>1</v>
      </c>
      <c r="R2159">
        <f>IF(Table1[[#This Row],[دورة الفوترة]]="شهري",1,0)</f>
        <v>0</v>
      </c>
    </row>
    <row r="2160" spans="1:18" x14ac:dyDescent="0.25">
      <c r="A2160" t="s">
        <v>2180</v>
      </c>
      <c r="B2160" s="1">
        <v>45981</v>
      </c>
      <c r="C2160" t="s">
        <v>28</v>
      </c>
      <c r="D2160">
        <v>39</v>
      </c>
      <c r="E2160" t="s">
        <v>20</v>
      </c>
      <c r="F2160">
        <v>23</v>
      </c>
      <c r="G2160" t="s">
        <v>15</v>
      </c>
      <c r="H2160">
        <v>4</v>
      </c>
      <c r="I2160">
        <v>11</v>
      </c>
      <c r="J2160">
        <v>0</v>
      </c>
      <c r="K2160" t="s">
        <v>16</v>
      </c>
      <c r="L2160" t="s">
        <v>17</v>
      </c>
      <c r="M2160">
        <f>IF(Table1[[#This Row],[ألغى الاشتراك]]="نعم",1,0)</f>
        <v>0</v>
      </c>
      <c r="N2160">
        <f>IF(Table1[[#This Row],[وسيلة الدفع]]="بطاقة",1,0)</f>
        <v>1</v>
      </c>
      <c r="O2160">
        <f>IF(Table1[[#This Row],[وسيلة الدفع]]="محفظة",1,0)</f>
        <v>0</v>
      </c>
      <c r="P2160">
        <f>IF(Table1[[#This Row],[وسيلة الدفع]]="تحويل",1,0)</f>
        <v>0</v>
      </c>
      <c r="Q2160">
        <f>IF(Table1[[#This Row],[حضر التهيئة]]="نعم",1,0)</f>
        <v>1</v>
      </c>
      <c r="R2160">
        <f>IF(Table1[[#This Row],[دورة الفوترة]]="شهري",1,0)</f>
        <v>0</v>
      </c>
    </row>
    <row r="2161" spans="1:18" x14ac:dyDescent="0.25">
      <c r="A2161" t="s">
        <v>2181</v>
      </c>
      <c r="B2161" s="1">
        <v>45926</v>
      </c>
      <c r="C2161" t="s">
        <v>19</v>
      </c>
      <c r="D2161">
        <v>189</v>
      </c>
      <c r="E2161" t="s">
        <v>14</v>
      </c>
      <c r="F2161">
        <v>4</v>
      </c>
      <c r="G2161" t="s">
        <v>15</v>
      </c>
      <c r="H2161">
        <v>9</v>
      </c>
      <c r="I2161">
        <v>42</v>
      </c>
      <c r="J2161">
        <v>5</v>
      </c>
      <c r="K2161" t="s">
        <v>16</v>
      </c>
      <c r="L2161" t="s">
        <v>17</v>
      </c>
      <c r="M2161">
        <f>IF(Table1[[#This Row],[ألغى الاشتراك]]="نعم",1,0)</f>
        <v>0</v>
      </c>
      <c r="N2161">
        <f>IF(Table1[[#This Row],[وسيلة الدفع]]="بطاقة",1,0)</f>
        <v>1</v>
      </c>
      <c r="O2161">
        <f>IF(Table1[[#This Row],[وسيلة الدفع]]="محفظة",1,0)</f>
        <v>0</v>
      </c>
      <c r="P2161">
        <f>IF(Table1[[#This Row],[وسيلة الدفع]]="تحويل",1,0)</f>
        <v>0</v>
      </c>
      <c r="Q2161">
        <f>IF(Table1[[#This Row],[حضر التهيئة]]="نعم",1,0)</f>
        <v>1</v>
      </c>
      <c r="R2161">
        <f>IF(Table1[[#This Row],[دورة الفوترة]]="شهري",1,0)</f>
        <v>1</v>
      </c>
    </row>
    <row r="2162" spans="1:18" x14ac:dyDescent="0.25">
      <c r="A2162" t="s">
        <v>2182</v>
      </c>
      <c r="B2162" s="1">
        <v>45325</v>
      </c>
      <c r="C2162" t="s">
        <v>28</v>
      </c>
      <c r="D2162">
        <v>39</v>
      </c>
      <c r="E2162" t="s">
        <v>20</v>
      </c>
      <c r="F2162">
        <v>8</v>
      </c>
      <c r="G2162" t="s">
        <v>15</v>
      </c>
      <c r="H2162">
        <v>2</v>
      </c>
      <c r="I2162">
        <v>16</v>
      </c>
      <c r="J2162">
        <v>0</v>
      </c>
      <c r="K2162" t="s">
        <v>16</v>
      </c>
      <c r="L2162" t="s">
        <v>17</v>
      </c>
      <c r="M2162">
        <f>IF(Table1[[#This Row],[ألغى الاشتراك]]="نعم",1,0)</f>
        <v>0</v>
      </c>
      <c r="N2162">
        <f>IF(Table1[[#This Row],[وسيلة الدفع]]="بطاقة",1,0)</f>
        <v>1</v>
      </c>
      <c r="O2162">
        <f>IF(Table1[[#This Row],[وسيلة الدفع]]="محفظة",1,0)</f>
        <v>0</v>
      </c>
      <c r="P2162">
        <f>IF(Table1[[#This Row],[وسيلة الدفع]]="تحويل",1,0)</f>
        <v>0</v>
      </c>
      <c r="Q2162">
        <f>IF(Table1[[#This Row],[حضر التهيئة]]="نعم",1,0)</f>
        <v>1</v>
      </c>
      <c r="R2162">
        <f>IF(Table1[[#This Row],[دورة الفوترة]]="شهري",1,0)</f>
        <v>0</v>
      </c>
    </row>
    <row r="2163" spans="1:18" x14ac:dyDescent="0.25">
      <c r="A2163" t="s">
        <v>2183</v>
      </c>
      <c r="B2163" s="1">
        <v>45724</v>
      </c>
      <c r="C2163" t="s">
        <v>19</v>
      </c>
      <c r="D2163">
        <v>189</v>
      </c>
      <c r="E2163" t="s">
        <v>20</v>
      </c>
      <c r="F2163">
        <v>11</v>
      </c>
      <c r="G2163" t="s">
        <v>23</v>
      </c>
      <c r="H2163">
        <v>2</v>
      </c>
      <c r="I2163">
        <v>11</v>
      </c>
      <c r="J2163">
        <v>0</v>
      </c>
      <c r="K2163" t="s">
        <v>16</v>
      </c>
      <c r="L2163" t="s">
        <v>17</v>
      </c>
      <c r="M2163">
        <f>IF(Table1[[#This Row],[ألغى الاشتراك]]="نعم",1,0)</f>
        <v>0</v>
      </c>
      <c r="N2163">
        <f>IF(Table1[[#This Row],[وسيلة الدفع]]="بطاقة",1,0)</f>
        <v>0</v>
      </c>
      <c r="O2163">
        <f>IF(Table1[[#This Row],[وسيلة الدفع]]="محفظة",1,0)</f>
        <v>0</v>
      </c>
      <c r="P2163">
        <f>IF(Table1[[#This Row],[وسيلة الدفع]]="تحويل",1,0)</f>
        <v>1</v>
      </c>
      <c r="Q2163">
        <f>IF(Table1[[#This Row],[حضر التهيئة]]="نعم",1,0)</f>
        <v>1</v>
      </c>
      <c r="R2163">
        <f>IF(Table1[[#This Row],[دورة الفوترة]]="شهري",1,0)</f>
        <v>0</v>
      </c>
    </row>
    <row r="2164" spans="1:18" x14ac:dyDescent="0.25">
      <c r="A2164" t="s">
        <v>2184</v>
      </c>
      <c r="B2164" s="1">
        <v>45910</v>
      </c>
      <c r="C2164" t="s">
        <v>28</v>
      </c>
      <c r="D2164">
        <v>39</v>
      </c>
      <c r="E2164" t="s">
        <v>20</v>
      </c>
      <c r="F2164">
        <v>30</v>
      </c>
      <c r="G2164" t="s">
        <v>15</v>
      </c>
      <c r="H2164">
        <v>2</v>
      </c>
      <c r="I2164">
        <v>28</v>
      </c>
      <c r="J2164">
        <v>5</v>
      </c>
      <c r="K2164" t="s">
        <v>16</v>
      </c>
      <c r="L2164" t="s">
        <v>17</v>
      </c>
      <c r="M2164">
        <f>IF(Table1[[#This Row],[ألغى الاشتراك]]="نعم",1,0)</f>
        <v>0</v>
      </c>
      <c r="N2164">
        <f>IF(Table1[[#This Row],[وسيلة الدفع]]="بطاقة",1,0)</f>
        <v>1</v>
      </c>
      <c r="O2164">
        <f>IF(Table1[[#This Row],[وسيلة الدفع]]="محفظة",1,0)</f>
        <v>0</v>
      </c>
      <c r="P2164">
        <f>IF(Table1[[#This Row],[وسيلة الدفع]]="تحويل",1,0)</f>
        <v>0</v>
      </c>
      <c r="Q2164">
        <f>IF(Table1[[#This Row],[حضر التهيئة]]="نعم",1,0)</f>
        <v>1</v>
      </c>
      <c r="R2164">
        <f>IF(Table1[[#This Row],[دورة الفوترة]]="شهري",1,0)</f>
        <v>0</v>
      </c>
    </row>
    <row r="2165" spans="1:18" x14ac:dyDescent="0.25">
      <c r="A2165" t="s">
        <v>2185</v>
      </c>
      <c r="B2165" s="1">
        <v>45466</v>
      </c>
      <c r="C2165" t="s">
        <v>13</v>
      </c>
      <c r="D2165">
        <v>89</v>
      </c>
      <c r="E2165" t="s">
        <v>14</v>
      </c>
      <c r="F2165">
        <v>14</v>
      </c>
      <c r="G2165" t="s">
        <v>21</v>
      </c>
      <c r="H2165">
        <v>8</v>
      </c>
      <c r="I2165">
        <v>32</v>
      </c>
      <c r="J2165">
        <v>0</v>
      </c>
      <c r="K2165" t="s">
        <v>16</v>
      </c>
      <c r="L2165" t="s">
        <v>17</v>
      </c>
      <c r="M2165">
        <f>IF(Table1[[#This Row],[ألغى الاشتراك]]="نعم",1,0)</f>
        <v>0</v>
      </c>
      <c r="N2165">
        <f>IF(Table1[[#This Row],[وسيلة الدفع]]="بطاقة",1,0)</f>
        <v>0</v>
      </c>
      <c r="O2165">
        <f>IF(Table1[[#This Row],[وسيلة الدفع]]="محفظة",1,0)</f>
        <v>1</v>
      </c>
      <c r="P2165">
        <f>IF(Table1[[#This Row],[وسيلة الدفع]]="تحويل",1,0)</f>
        <v>0</v>
      </c>
      <c r="Q2165">
        <f>IF(Table1[[#This Row],[حضر التهيئة]]="نعم",1,0)</f>
        <v>1</v>
      </c>
      <c r="R2165">
        <f>IF(Table1[[#This Row],[دورة الفوترة]]="شهري",1,0)</f>
        <v>1</v>
      </c>
    </row>
    <row r="2166" spans="1:18" x14ac:dyDescent="0.25">
      <c r="A2166" t="s">
        <v>2186</v>
      </c>
      <c r="B2166" s="1">
        <v>45850</v>
      </c>
      <c r="C2166" t="s">
        <v>19</v>
      </c>
      <c r="D2166">
        <v>189</v>
      </c>
      <c r="E2166" t="s">
        <v>14</v>
      </c>
      <c r="F2166">
        <v>25</v>
      </c>
      <c r="G2166" t="s">
        <v>23</v>
      </c>
      <c r="H2166">
        <v>2</v>
      </c>
      <c r="I2166">
        <v>29</v>
      </c>
      <c r="J2166">
        <v>0</v>
      </c>
      <c r="K2166" t="s">
        <v>17</v>
      </c>
      <c r="L2166" t="s">
        <v>17</v>
      </c>
      <c r="M2166">
        <f>IF(Table1[[#This Row],[ألغى الاشتراك]]="نعم",1,0)</f>
        <v>0</v>
      </c>
      <c r="N2166">
        <f>IF(Table1[[#This Row],[وسيلة الدفع]]="بطاقة",1,0)</f>
        <v>0</v>
      </c>
      <c r="O2166">
        <f>IF(Table1[[#This Row],[وسيلة الدفع]]="محفظة",1,0)</f>
        <v>0</v>
      </c>
      <c r="P2166">
        <f>IF(Table1[[#This Row],[وسيلة الدفع]]="تحويل",1,0)</f>
        <v>1</v>
      </c>
      <c r="Q2166">
        <f>IF(Table1[[#This Row],[حضر التهيئة]]="نعم",1,0)</f>
        <v>0</v>
      </c>
      <c r="R2166">
        <f>IF(Table1[[#This Row],[دورة الفوترة]]="شهري",1,0)</f>
        <v>1</v>
      </c>
    </row>
    <row r="2167" spans="1:18" x14ac:dyDescent="0.25">
      <c r="A2167" t="s">
        <v>2187</v>
      </c>
      <c r="B2167" s="1">
        <v>45651</v>
      </c>
      <c r="C2167" t="s">
        <v>28</v>
      </c>
      <c r="D2167">
        <v>39</v>
      </c>
      <c r="E2167" t="s">
        <v>14</v>
      </c>
      <c r="F2167">
        <v>10</v>
      </c>
      <c r="G2167" t="s">
        <v>23</v>
      </c>
      <c r="H2167">
        <v>2</v>
      </c>
      <c r="I2167">
        <v>42</v>
      </c>
      <c r="J2167">
        <v>0</v>
      </c>
      <c r="K2167" t="s">
        <v>17</v>
      </c>
      <c r="L2167" t="s">
        <v>17</v>
      </c>
      <c r="M2167">
        <f>IF(Table1[[#This Row],[ألغى الاشتراك]]="نعم",1,0)</f>
        <v>0</v>
      </c>
      <c r="N2167">
        <f>IF(Table1[[#This Row],[وسيلة الدفع]]="بطاقة",1,0)</f>
        <v>0</v>
      </c>
      <c r="O2167">
        <f>IF(Table1[[#This Row],[وسيلة الدفع]]="محفظة",1,0)</f>
        <v>0</v>
      </c>
      <c r="P2167">
        <f>IF(Table1[[#This Row],[وسيلة الدفع]]="تحويل",1,0)</f>
        <v>1</v>
      </c>
      <c r="Q2167">
        <f>IF(Table1[[#This Row],[حضر التهيئة]]="نعم",1,0)</f>
        <v>0</v>
      </c>
      <c r="R2167">
        <f>IF(Table1[[#This Row],[دورة الفوترة]]="شهري",1,0)</f>
        <v>1</v>
      </c>
    </row>
    <row r="2168" spans="1:18" x14ac:dyDescent="0.25">
      <c r="A2168" t="s">
        <v>2188</v>
      </c>
      <c r="B2168" s="1">
        <v>45902</v>
      </c>
      <c r="C2168" t="s">
        <v>19</v>
      </c>
      <c r="D2168">
        <v>189</v>
      </c>
      <c r="E2168" t="s">
        <v>20</v>
      </c>
      <c r="F2168">
        <v>3</v>
      </c>
      <c r="G2168" t="s">
        <v>23</v>
      </c>
      <c r="H2168">
        <v>0</v>
      </c>
      <c r="I2168">
        <v>23</v>
      </c>
      <c r="J2168">
        <v>0</v>
      </c>
      <c r="K2168" t="s">
        <v>17</v>
      </c>
      <c r="L2168" t="s">
        <v>17</v>
      </c>
      <c r="M2168">
        <f>IF(Table1[[#This Row],[ألغى الاشتراك]]="نعم",1,0)</f>
        <v>0</v>
      </c>
      <c r="N2168">
        <f>IF(Table1[[#This Row],[وسيلة الدفع]]="بطاقة",1,0)</f>
        <v>0</v>
      </c>
      <c r="O2168">
        <f>IF(Table1[[#This Row],[وسيلة الدفع]]="محفظة",1,0)</f>
        <v>0</v>
      </c>
      <c r="P2168">
        <f>IF(Table1[[#This Row],[وسيلة الدفع]]="تحويل",1,0)</f>
        <v>1</v>
      </c>
      <c r="Q2168">
        <f>IF(Table1[[#This Row],[حضر التهيئة]]="نعم",1,0)</f>
        <v>0</v>
      </c>
      <c r="R2168">
        <f>IF(Table1[[#This Row],[دورة الفوترة]]="شهري",1,0)</f>
        <v>0</v>
      </c>
    </row>
    <row r="2169" spans="1:18" x14ac:dyDescent="0.25">
      <c r="A2169" t="s">
        <v>2189</v>
      </c>
      <c r="B2169" s="1">
        <v>45736</v>
      </c>
      <c r="C2169" t="s">
        <v>13</v>
      </c>
      <c r="D2169">
        <v>89</v>
      </c>
      <c r="E2169" t="s">
        <v>14</v>
      </c>
      <c r="F2169">
        <v>16</v>
      </c>
      <c r="G2169" t="s">
        <v>23</v>
      </c>
      <c r="H2169">
        <v>6</v>
      </c>
      <c r="I2169">
        <v>46</v>
      </c>
      <c r="J2169">
        <v>15</v>
      </c>
      <c r="K2169" t="s">
        <v>16</v>
      </c>
      <c r="L2169" t="s">
        <v>17</v>
      </c>
      <c r="M2169">
        <f>IF(Table1[[#This Row],[ألغى الاشتراك]]="نعم",1,0)</f>
        <v>0</v>
      </c>
      <c r="N2169">
        <f>IF(Table1[[#This Row],[وسيلة الدفع]]="بطاقة",1,0)</f>
        <v>0</v>
      </c>
      <c r="O2169">
        <f>IF(Table1[[#This Row],[وسيلة الدفع]]="محفظة",1,0)</f>
        <v>0</v>
      </c>
      <c r="P2169">
        <f>IF(Table1[[#This Row],[وسيلة الدفع]]="تحويل",1,0)</f>
        <v>1</v>
      </c>
      <c r="Q2169">
        <f>IF(Table1[[#This Row],[حضر التهيئة]]="نعم",1,0)</f>
        <v>1</v>
      </c>
      <c r="R2169">
        <f>IF(Table1[[#This Row],[دورة الفوترة]]="شهري",1,0)</f>
        <v>1</v>
      </c>
    </row>
    <row r="2170" spans="1:18" x14ac:dyDescent="0.25">
      <c r="A2170" t="s">
        <v>2190</v>
      </c>
      <c r="B2170" s="1">
        <v>45627</v>
      </c>
      <c r="C2170" t="s">
        <v>13</v>
      </c>
      <c r="D2170">
        <v>89</v>
      </c>
      <c r="E2170" t="s">
        <v>20</v>
      </c>
      <c r="F2170">
        <v>2</v>
      </c>
      <c r="G2170" t="s">
        <v>21</v>
      </c>
      <c r="H2170">
        <v>2</v>
      </c>
      <c r="I2170">
        <v>26</v>
      </c>
      <c r="J2170">
        <v>0</v>
      </c>
      <c r="K2170" t="s">
        <v>17</v>
      </c>
      <c r="L2170" t="s">
        <v>17</v>
      </c>
      <c r="M2170">
        <f>IF(Table1[[#This Row],[ألغى الاشتراك]]="نعم",1,0)</f>
        <v>0</v>
      </c>
      <c r="N2170">
        <f>IF(Table1[[#This Row],[وسيلة الدفع]]="بطاقة",1,0)</f>
        <v>0</v>
      </c>
      <c r="O2170">
        <f>IF(Table1[[#This Row],[وسيلة الدفع]]="محفظة",1,0)</f>
        <v>1</v>
      </c>
      <c r="P2170">
        <f>IF(Table1[[#This Row],[وسيلة الدفع]]="تحويل",1,0)</f>
        <v>0</v>
      </c>
      <c r="Q2170">
        <f>IF(Table1[[#This Row],[حضر التهيئة]]="نعم",1,0)</f>
        <v>0</v>
      </c>
      <c r="R2170">
        <f>IF(Table1[[#This Row],[دورة الفوترة]]="شهري",1,0)</f>
        <v>0</v>
      </c>
    </row>
    <row r="2171" spans="1:18" x14ac:dyDescent="0.25">
      <c r="A2171" t="s">
        <v>2191</v>
      </c>
      <c r="B2171" s="1">
        <v>45918</v>
      </c>
      <c r="C2171" t="s">
        <v>19</v>
      </c>
      <c r="D2171">
        <v>189</v>
      </c>
      <c r="E2171" t="s">
        <v>14</v>
      </c>
      <c r="F2171">
        <v>7</v>
      </c>
      <c r="G2171" t="s">
        <v>21</v>
      </c>
      <c r="H2171">
        <v>8</v>
      </c>
      <c r="I2171">
        <v>53</v>
      </c>
      <c r="J2171">
        <v>0</v>
      </c>
      <c r="K2171" t="s">
        <v>17</v>
      </c>
      <c r="L2171" t="s">
        <v>17</v>
      </c>
      <c r="M2171">
        <f>IF(Table1[[#This Row],[ألغى الاشتراك]]="نعم",1,0)</f>
        <v>0</v>
      </c>
      <c r="N2171">
        <f>IF(Table1[[#This Row],[وسيلة الدفع]]="بطاقة",1,0)</f>
        <v>0</v>
      </c>
      <c r="O2171">
        <f>IF(Table1[[#This Row],[وسيلة الدفع]]="محفظة",1,0)</f>
        <v>1</v>
      </c>
      <c r="P2171">
        <f>IF(Table1[[#This Row],[وسيلة الدفع]]="تحويل",1,0)</f>
        <v>0</v>
      </c>
      <c r="Q2171">
        <f>IF(Table1[[#This Row],[حضر التهيئة]]="نعم",1,0)</f>
        <v>0</v>
      </c>
      <c r="R2171">
        <f>IF(Table1[[#This Row],[دورة الفوترة]]="شهري",1,0)</f>
        <v>1</v>
      </c>
    </row>
    <row r="2172" spans="1:18" x14ac:dyDescent="0.25">
      <c r="A2172" t="s">
        <v>2192</v>
      </c>
      <c r="B2172" s="1">
        <v>45592</v>
      </c>
      <c r="C2172" t="s">
        <v>28</v>
      </c>
      <c r="D2172">
        <v>39</v>
      </c>
      <c r="E2172" t="s">
        <v>14</v>
      </c>
      <c r="F2172">
        <v>2</v>
      </c>
      <c r="G2172" t="s">
        <v>21</v>
      </c>
      <c r="H2172">
        <v>1</v>
      </c>
      <c r="I2172">
        <v>14</v>
      </c>
      <c r="J2172">
        <v>0</v>
      </c>
      <c r="K2172" t="s">
        <v>17</v>
      </c>
      <c r="L2172" t="s">
        <v>17</v>
      </c>
      <c r="M2172">
        <f>IF(Table1[[#This Row],[ألغى الاشتراك]]="نعم",1,0)</f>
        <v>0</v>
      </c>
      <c r="N2172">
        <f>IF(Table1[[#This Row],[وسيلة الدفع]]="بطاقة",1,0)</f>
        <v>0</v>
      </c>
      <c r="O2172">
        <f>IF(Table1[[#This Row],[وسيلة الدفع]]="محفظة",1,0)</f>
        <v>1</v>
      </c>
      <c r="P2172">
        <f>IF(Table1[[#This Row],[وسيلة الدفع]]="تحويل",1,0)</f>
        <v>0</v>
      </c>
      <c r="Q2172">
        <f>IF(Table1[[#This Row],[حضر التهيئة]]="نعم",1,0)</f>
        <v>0</v>
      </c>
      <c r="R2172">
        <f>IF(Table1[[#This Row],[دورة الفوترة]]="شهري",1,0)</f>
        <v>1</v>
      </c>
    </row>
    <row r="2173" spans="1:18" x14ac:dyDescent="0.25">
      <c r="A2173" t="s">
        <v>2193</v>
      </c>
      <c r="B2173" s="1">
        <v>45728</v>
      </c>
      <c r="C2173" t="s">
        <v>28</v>
      </c>
      <c r="D2173">
        <v>39</v>
      </c>
      <c r="E2173" t="s">
        <v>20</v>
      </c>
      <c r="F2173">
        <v>29</v>
      </c>
      <c r="G2173" t="s">
        <v>15</v>
      </c>
      <c r="H2173">
        <v>1</v>
      </c>
      <c r="I2173">
        <v>11</v>
      </c>
      <c r="J2173">
        <v>0</v>
      </c>
      <c r="K2173" t="s">
        <v>16</v>
      </c>
      <c r="L2173" t="s">
        <v>17</v>
      </c>
      <c r="M2173">
        <f>IF(Table1[[#This Row],[ألغى الاشتراك]]="نعم",1,0)</f>
        <v>0</v>
      </c>
      <c r="N2173">
        <f>IF(Table1[[#This Row],[وسيلة الدفع]]="بطاقة",1,0)</f>
        <v>1</v>
      </c>
      <c r="O2173">
        <f>IF(Table1[[#This Row],[وسيلة الدفع]]="محفظة",1,0)</f>
        <v>0</v>
      </c>
      <c r="P2173">
        <f>IF(Table1[[#This Row],[وسيلة الدفع]]="تحويل",1,0)</f>
        <v>0</v>
      </c>
      <c r="Q2173">
        <f>IF(Table1[[#This Row],[حضر التهيئة]]="نعم",1,0)</f>
        <v>1</v>
      </c>
      <c r="R2173">
        <f>IF(Table1[[#This Row],[دورة الفوترة]]="شهري",1,0)</f>
        <v>0</v>
      </c>
    </row>
    <row r="2174" spans="1:18" x14ac:dyDescent="0.25">
      <c r="A2174" t="s">
        <v>2194</v>
      </c>
      <c r="B2174" s="1">
        <v>45529</v>
      </c>
      <c r="C2174" t="s">
        <v>19</v>
      </c>
      <c r="D2174">
        <v>189</v>
      </c>
      <c r="E2174" t="s">
        <v>14</v>
      </c>
      <c r="F2174">
        <v>26</v>
      </c>
      <c r="G2174" t="s">
        <v>23</v>
      </c>
      <c r="H2174">
        <v>9</v>
      </c>
      <c r="I2174">
        <v>2</v>
      </c>
      <c r="J2174">
        <v>0</v>
      </c>
      <c r="K2174" t="s">
        <v>16</v>
      </c>
      <c r="L2174" t="s">
        <v>17</v>
      </c>
      <c r="M2174">
        <f>IF(Table1[[#This Row],[ألغى الاشتراك]]="نعم",1,0)</f>
        <v>0</v>
      </c>
      <c r="N2174">
        <f>IF(Table1[[#This Row],[وسيلة الدفع]]="بطاقة",1,0)</f>
        <v>0</v>
      </c>
      <c r="O2174">
        <f>IF(Table1[[#This Row],[وسيلة الدفع]]="محفظة",1,0)</f>
        <v>0</v>
      </c>
      <c r="P2174">
        <f>IF(Table1[[#This Row],[وسيلة الدفع]]="تحويل",1,0)</f>
        <v>1</v>
      </c>
      <c r="Q2174">
        <f>IF(Table1[[#This Row],[حضر التهيئة]]="نعم",1,0)</f>
        <v>1</v>
      </c>
      <c r="R2174">
        <f>IF(Table1[[#This Row],[دورة الفوترة]]="شهري",1,0)</f>
        <v>1</v>
      </c>
    </row>
    <row r="2175" spans="1:18" x14ac:dyDescent="0.25">
      <c r="A2175" t="s">
        <v>2195</v>
      </c>
      <c r="B2175" s="1">
        <v>45799</v>
      </c>
      <c r="C2175" t="s">
        <v>13</v>
      </c>
      <c r="D2175">
        <v>89</v>
      </c>
      <c r="E2175" t="s">
        <v>20</v>
      </c>
      <c r="F2175">
        <v>19</v>
      </c>
      <c r="G2175" t="s">
        <v>15</v>
      </c>
      <c r="H2175">
        <v>1</v>
      </c>
      <c r="I2175">
        <v>21</v>
      </c>
      <c r="J2175">
        <v>0</v>
      </c>
      <c r="K2175" t="s">
        <v>17</v>
      </c>
      <c r="L2175" t="s">
        <v>17</v>
      </c>
      <c r="M2175">
        <f>IF(Table1[[#This Row],[ألغى الاشتراك]]="نعم",1,0)</f>
        <v>0</v>
      </c>
      <c r="N2175">
        <f>IF(Table1[[#This Row],[وسيلة الدفع]]="بطاقة",1,0)</f>
        <v>1</v>
      </c>
      <c r="O2175">
        <f>IF(Table1[[#This Row],[وسيلة الدفع]]="محفظة",1,0)</f>
        <v>0</v>
      </c>
      <c r="P2175">
        <f>IF(Table1[[#This Row],[وسيلة الدفع]]="تحويل",1,0)</f>
        <v>0</v>
      </c>
      <c r="Q2175">
        <f>IF(Table1[[#This Row],[حضر التهيئة]]="نعم",1,0)</f>
        <v>0</v>
      </c>
      <c r="R2175">
        <f>IF(Table1[[#This Row],[دورة الفوترة]]="شهري",1,0)</f>
        <v>0</v>
      </c>
    </row>
    <row r="2176" spans="1:18" x14ac:dyDescent="0.25">
      <c r="A2176" t="s">
        <v>2196</v>
      </c>
      <c r="B2176" s="1">
        <v>45568</v>
      </c>
      <c r="C2176" t="s">
        <v>28</v>
      </c>
      <c r="D2176">
        <v>39</v>
      </c>
      <c r="E2176" t="s">
        <v>20</v>
      </c>
      <c r="F2176">
        <v>4</v>
      </c>
      <c r="G2176" t="s">
        <v>23</v>
      </c>
      <c r="H2176">
        <v>11</v>
      </c>
      <c r="I2176">
        <v>52</v>
      </c>
      <c r="J2176">
        <v>0</v>
      </c>
      <c r="K2176" t="s">
        <v>17</v>
      </c>
      <c r="L2176" t="s">
        <v>17</v>
      </c>
      <c r="M2176">
        <f>IF(Table1[[#This Row],[ألغى الاشتراك]]="نعم",1,0)</f>
        <v>0</v>
      </c>
      <c r="N2176">
        <f>IF(Table1[[#This Row],[وسيلة الدفع]]="بطاقة",1,0)</f>
        <v>0</v>
      </c>
      <c r="O2176">
        <f>IF(Table1[[#This Row],[وسيلة الدفع]]="محفظة",1,0)</f>
        <v>0</v>
      </c>
      <c r="P2176">
        <f>IF(Table1[[#This Row],[وسيلة الدفع]]="تحويل",1,0)</f>
        <v>1</v>
      </c>
      <c r="Q2176">
        <f>IF(Table1[[#This Row],[حضر التهيئة]]="نعم",1,0)</f>
        <v>0</v>
      </c>
      <c r="R2176">
        <f>IF(Table1[[#This Row],[دورة الفوترة]]="شهري",1,0)</f>
        <v>0</v>
      </c>
    </row>
    <row r="2177" spans="1:18" x14ac:dyDescent="0.25">
      <c r="A2177" t="s">
        <v>2197</v>
      </c>
      <c r="B2177" s="1">
        <v>45846</v>
      </c>
      <c r="C2177" t="s">
        <v>28</v>
      </c>
      <c r="D2177">
        <v>39</v>
      </c>
      <c r="E2177" t="s">
        <v>20</v>
      </c>
      <c r="F2177">
        <v>19</v>
      </c>
      <c r="G2177" t="s">
        <v>23</v>
      </c>
      <c r="H2177">
        <v>0</v>
      </c>
      <c r="I2177">
        <v>19</v>
      </c>
      <c r="J2177">
        <v>0</v>
      </c>
      <c r="K2177" t="s">
        <v>17</v>
      </c>
      <c r="L2177" t="s">
        <v>17</v>
      </c>
      <c r="M2177">
        <f>IF(Table1[[#This Row],[ألغى الاشتراك]]="نعم",1,0)</f>
        <v>0</v>
      </c>
      <c r="N2177">
        <f>IF(Table1[[#This Row],[وسيلة الدفع]]="بطاقة",1,0)</f>
        <v>0</v>
      </c>
      <c r="O2177">
        <f>IF(Table1[[#This Row],[وسيلة الدفع]]="محفظة",1,0)</f>
        <v>0</v>
      </c>
      <c r="P2177">
        <f>IF(Table1[[#This Row],[وسيلة الدفع]]="تحويل",1,0)</f>
        <v>1</v>
      </c>
      <c r="Q2177">
        <f>IF(Table1[[#This Row],[حضر التهيئة]]="نعم",1,0)</f>
        <v>0</v>
      </c>
      <c r="R2177">
        <f>IF(Table1[[#This Row],[دورة الفوترة]]="شهري",1,0)</f>
        <v>0</v>
      </c>
    </row>
    <row r="2178" spans="1:18" x14ac:dyDescent="0.25">
      <c r="A2178" t="s">
        <v>2198</v>
      </c>
      <c r="B2178" s="1">
        <v>45631</v>
      </c>
      <c r="C2178" t="s">
        <v>19</v>
      </c>
      <c r="D2178">
        <v>189</v>
      </c>
      <c r="E2178" t="s">
        <v>20</v>
      </c>
      <c r="F2178">
        <v>6</v>
      </c>
      <c r="G2178" t="s">
        <v>21</v>
      </c>
      <c r="H2178">
        <v>0</v>
      </c>
      <c r="I2178">
        <v>14</v>
      </c>
      <c r="J2178">
        <v>0</v>
      </c>
      <c r="K2178" t="s">
        <v>16</v>
      </c>
      <c r="L2178" t="s">
        <v>17</v>
      </c>
      <c r="M2178">
        <f>IF(Table1[[#This Row],[ألغى الاشتراك]]="نعم",1,0)</f>
        <v>0</v>
      </c>
      <c r="N2178">
        <f>IF(Table1[[#This Row],[وسيلة الدفع]]="بطاقة",1,0)</f>
        <v>0</v>
      </c>
      <c r="O2178">
        <f>IF(Table1[[#This Row],[وسيلة الدفع]]="محفظة",1,0)</f>
        <v>1</v>
      </c>
      <c r="P2178">
        <f>IF(Table1[[#This Row],[وسيلة الدفع]]="تحويل",1,0)</f>
        <v>0</v>
      </c>
      <c r="Q2178">
        <f>IF(Table1[[#This Row],[حضر التهيئة]]="نعم",1,0)</f>
        <v>1</v>
      </c>
      <c r="R2178">
        <f>IF(Table1[[#This Row],[دورة الفوترة]]="شهري",1,0)</f>
        <v>0</v>
      </c>
    </row>
    <row r="2179" spans="1:18" x14ac:dyDescent="0.25">
      <c r="A2179" t="s">
        <v>2199</v>
      </c>
      <c r="B2179" s="1">
        <v>45446</v>
      </c>
      <c r="C2179" t="s">
        <v>28</v>
      </c>
      <c r="D2179">
        <v>39</v>
      </c>
      <c r="E2179" t="s">
        <v>14</v>
      </c>
      <c r="F2179">
        <v>15</v>
      </c>
      <c r="G2179" t="s">
        <v>23</v>
      </c>
      <c r="H2179">
        <v>2</v>
      </c>
      <c r="I2179">
        <v>55</v>
      </c>
      <c r="J2179">
        <v>10</v>
      </c>
      <c r="K2179" t="s">
        <v>17</v>
      </c>
      <c r="L2179" t="s">
        <v>17</v>
      </c>
      <c r="M2179">
        <f>IF(Table1[[#This Row],[ألغى الاشتراك]]="نعم",1,0)</f>
        <v>0</v>
      </c>
      <c r="N2179">
        <f>IF(Table1[[#This Row],[وسيلة الدفع]]="بطاقة",1,0)</f>
        <v>0</v>
      </c>
      <c r="O2179">
        <f>IF(Table1[[#This Row],[وسيلة الدفع]]="محفظة",1,0)</f>
        <v>0</v>
      </c>
      <c r="P2179">
        <f>IF(Table1[[#This Row],[وسيلة الدفع]]="تحويل",1,0)</f>
        <v>1</v>
      </c>
      <c r="Q2179">
        <f>IF(Table1[[#This Row],[حضر التهيئة]]="نعم",1,0)</f>
        <v>0</v>
      </c>
      <c r="R2179">
        <f>IF(Table1[[#This Row],[دورة الفوترة]]="شهري",1,0)</f>
        <v>1</v>
      </c>
    </row>
    <row r="2180" spans="1:18" x14ac:dyDescent="0.25">
      <c r="A2180" t="s">
        <v>2200</v>
      </c>
      <c r="B2180" s="1">
        <v>45981</v>
      </c>
      <c r="C2180" t="s">
        <v>13</v>
      </c>
      <c r="D2180">
        <v>89</v>
      </c>
      <c r="E2180" t="s">
        <v>14</v>
      </c>
      <c r="F2180">
        <v>7</v>
      </c>
      <c r="G2180" t="s">
        <v>15</v>
      </c>
      <c r="H2180">
        <v>1</v>
      </c>
      <c r="I2180">
        <v>31</v>
      </c>
      <c r="J2180">
        <v>0</v>
      </c>
      <c r="K2180" t="s">
        <v>16</v>
      </c>
      <c r="L2180" t="s">
        <v>17</v>
      </c>
      <c r="M2180">
        <f>IF(Table1[[#This Row],[ألغى الاشتراك]]="نعم",1,0)</f>
        <v>0</v>
      </c>
      <c r="N2180">
        <f>IF(Table1[[#This Row],[وسيلة الدفع]]="بطاقة",1,0)</f>
        <v>1</v>
      </c>
      <c r="O2180">
        <f>IF(Table1[[#This Row],[وسيلة الدفع]]="محفظة",1,0)</f>
        <v>0</v>
      </c>
      <c r="P2180">
        <f>IF(Table1[[#This Row],[وسيلة الدفع]]="تحويل",1,0)</f>
        <v>0</v>
      </c>
      <c r="Q2180">
        <f>IF(Table1[[#This Row],[حضر التهيئة]]="نعم",1,0)</f>
        <v>1</v>
      </c>
      <c r="R2180">
        <f>IF(Table1[[#This Row],[دورة الفوترة]]="شهري",1,0)</f>
        <v>1</v>
      </c>
    </row>
    <row r="2181" spans="1:18" x14ac:dyDescent="0.25">
      <c r="A2181" t="s">
        <v>2201</v>
      </c>
      <c r="B2181" s="1">
        <v>45671</v>
      </c>
      <c r="C2181" t="s">
        <v>19</v>
      </c>
      <c r="D2181">
        <v>189</v>
      </c>
      <c r="E2181" t="s">
        <v>20</v>
      </c>
      <c r="F2181">
        <v>8</v>
      </c>
      <c r="G2181" t="s">
        <v>23</v>
      </c>
      <c r="H2181">
        <v>6</v>
      </c>
      <c r="I2181">
        <v>26</v>
      </c>
      <c r="J2181">
        <v>5</v>
      </c>
      <c r="K2181" t="s">
        <v>16</v>
      </c>
      <c r="L2181" t="s">
        <v>17</v>
      </c>
      <c r="M2181">
        <f>IF(Table1[[#This Row],[ألغى الاشتراك]]="نعم",1,0)</f>
        <v>0</v>
      </c>
      <c r="N2181">
        <f>IF(Table1[[#This Row],[وسيلة الدفع]]="بطاقة",1,0)</f>
        <v>0</v>
      </c>
      <c r="O2181">
        <f>IF(Table1[[#This Row],[وسيلة الدفع]]="محفظة",1,0)</f>
        <v>0</v>
      </c>
      <c r="P2181">
        <f>IF(Table1[[#This Row],[وسيلة الدفع]]="تحويل",1,0)</f>
        <v>1</v>
      </c>
      <c r="Q2181">
        <f>IF(Table1[[#This Row],[حضر التهيئة]]="نعم",1,0)</f>
        <v>1</v>
      </c>
      <c r="R2181">
        <f>IF(Table1[[#This Row],[دورة الفوترة]]="شهري",1,0)</f>
        <v>0</v>
      </c>
    </row>
    <row r="2182" spans="1:18" x14ac:dyDescent="0.25">
      <c r="A2182" t="s">
        <v>2202</v>
      </c>
      <c r="B2182" s="1">
        <v>45466</v>
      </c>
      <c r="C2182" t="s">
        <v>28</v>
      </c>
      <c r="D2182">
        <v>39</v>
      </c>
      <c r="E2182" t="s">
        <v>14</v>
      </c>
      <c r="F2182">
        <v>18</v>
      </c>
      <c r="G2182" t="s">
        <v>15</v>
      </c>
      <c r="H2182">
        <v>2</v>
      </c>
      <c r="I2182">
        <v>26</v>
      </c>
      <c r="J2182">
        <v>0</v>
      </c>
      <c r="K2182" t="s">
        <v>17</v>
      </c>
      <c r="L2182" t="s">
        <v>17</v>
      </c>
      <c r="M2182">
        <f>IF(Table1[[#This Row],[ألغى الاشتراك]]="نعم",1,0)</f>
        <v>0</v>
      </c>
      <c r="N2182">
        <f>IF(Table1[[#This Row],[وسيلة الدفع]]="بطاقة",1,0)</f>
        <v>1</v>
      </c>
      <c r="O2182">
        <f>IF(Table1[[#This Row],[وسيلة الدفع]]="محفظة",1,0)</f>
        <v>0</v>
      </c>
      <c r="P2182">
        <f>IF(Table1[[#This Row],[وسيلة الدفع]]="تحويل",1,0)</f>
        <v>0</v>
      </c>
      <c r="Q2182">
        <f>IF(Table1[[#This Row],[حضر التهيئة]]="نعم",1,0)</f>
        <v>0</v>
      </c>
      <c r="R2182">
        <f>IF(Table1[[#This Row],[دورة الفوترة]]="شهري",1,0)</f>
        <v>1</v>
      </c>
    </row>
    <row r="2183" spans="1:18" x14ac:dyDescent="0.25">
      <c r="A2183" t="s">
        <v>2203</v>
      </c>
      <c r="B2183" s="1">
        <v>45732</v>
      </c>
      <c r="C2183" t="s">
        <v>28</v>
      </c>
      <c r="D2183">
        <v>39</v>
      </c>
      <c r="E2183" t="s">
        <v>14</v>
      </c>
      <c r="F2183">
        <v>21</v>
      </c>
      <c r="G2183" t="s">
        <v>21</v>
      </c>
      <c r="H2183">
        <v>0</v>
      </c>
      <c r="I2183">
        <v>55</v>
      </c>
      <c r="J2183">
        <v>0</v>
      </c>
      <c r="K2183" t="s">
        <v>16</v>
      </c>
      <c r="L2183" t="s">
        <v>17</v>
      </c>
      <c r="M2183">
        <f>IF(Table1[[#This Row],[ألغى الاشتراك]]="نعم",1,0)</f>
        <v>0</v>
      </c>
      <c r="N2183">
        <f>IF(Table1[[#This Row],[وسيلة الدفع]]="بطاقة",1,0)</f>
        <v>0</v>
      </c>
      <c r="O2183">
        <f>IF(Table1[[#This Row],[وسيلة الدفع]]="محفظة",1,0)</f>
        <v>1</v>
      </c>
      <c r="P2183">
        <f>IF(Table1[[#This Row],[وسيلة الدفع]]="تحويل",1,0)</f>
        <v>0</v>
      </c>
      <c r="Q2183">
        <f>IF(Table1[[#This Row],[حضر التهيئة]]="نعم",1,0)</f>
        <v>1</v>
      </c>
      <c r="R2183">
        <f>IF(Table1[[#This Row],[دورة الفوترة]]="شهري",1,0)</f>
        <v>1</v>
      </c>
    </row>
    <row r="2184" spans="1:18" x14ac:dyDescent="0.25">
      <c r="A2184" t="s">
        <v>2204</v>
      </c>
      <c r="B2184" s="1">
        <v>45513</v>
      </c>
      <c r="C2184" t="s">
        <v>19</v>
      </c>
      <c r="D2184">
        <v>189</v>
      </c>
      <c r="E2184" t="s">
        <v>14</v>
      </c>
      <c r="F2184">
        <v>4</v>
      </c>
      <c r="G2184" t="s">
        <v>21</v>
      </c>
      <c r="H2184">
        <v>0</v>
      </c>
      <c r="I2184">
        <v>16</v>
      </c>
      <c r="J2184">
        <v>0</v>
      </c>
      <c r="K2184" t="s">
        <v>16</v>
      </c>
      <c r="L2184" t="s">
        <v>17</v>
      </c>
      <c r="M2184">
        <f>IF(Table1[[#This Row],[ألغى الاشتراك]]="نعم",1,0)</f>
        <v>0</v>
      </c>
      <c r="N2184">
        <f>IF(Table1[[#This Row],[وسيلة الدفع]]="بطاقة",1,0)</f>
        <v>0</v>
      </c>
      <c r="O2184">
        <f>IF(Table1[[#This Row],[وسيلة الدفع]]="محفظة",1,0)</f>
        <v>1</v>
      </c>
      <c r="P2184">
        <f>IF(Table1[[#This Row],[وسيلة الدفع]]="تحويل",1,0)</f>
        <v>0</v>
      </c>
      <c r="Q2184">
        <f>IF(Table1[[#This Row],[حضر التهيئة]]="نعم",1,0)</f>
        <v>1</v>
      </c>
      <c r="R2184">
        <f>IF(Table1[[#This Row],[دورة الفوترة]]="شهري",1,0)</f>
        <v>1</v>
      </c>
    </row>
    <row r="2185" spans="1:18" x14ac:dyDescent="0.25">
      <c r="A2185" t="s">
        <v>2205</v>
      </c>
      <c r="B2185" s="1">
        <v>45675</v>
      </c>
      <c r="C2185" t="s">
        <v>13</v>
      </c>
      <c r="D2185">
        <v>89</v>
      </c>
      <c r="E2185" t="s">
        <v>14</v>
      </c>
      <c r="F2185">
        <v>17</v>
      </c>
      <c r="G2185" t="s">
        <v>21</v>
      </c>
      <c r="H2185">
        <v>6</v>
      </c>
      <c r="I2185">
        <v>3</v>
      </c>
      <c r="J2185">
        <v>0</v>
      </c>
      <c r="K2185" t="s">
        <v>17</v>
      </c>
      <c r="L2185" t="s">
        <v>16</v>
      </c>
      <c r="M2185">
        <f>IF(Table1[[#This Row],[ألغى الاشتراك]]="نعم",1,0)</f>
        <v>1</v>
      </c>
      <c r="N2185">
        <f>IF(Table1[[#This Row],[وسيلة الدفع]]="بطاقة",1,0)</f>
        <v>0</v>
      </c>
      <c r="O2185">
        <f>IF(Table1[[#This Row],[وسيلة الدفع]]="محفظة",1,0)</f>
        <v>1</v>
      </c>
      <c r="P2185">
        <f>IF(Table1[[#This Row],[وسيلة الدفع]]="تحويل",1,0)</f>
        <v>0</v>
      </c>
      <c r="Q2185">
        <f>IF(Table1[[#This Row],[حضر التهيئة]]="نعم",1,0)</f>
        <v>0</v>
      </c>
      <c r="R2185">
        <f>IF(Table1[[#This Row],[دورة الفوترة]]="شهري",1,0)</f>
        <v>1</v>
      </c>
    </row>
    <row r="2186" spans="1:18" x14ac:dyDescent="0.25">
      <c r="A2186" t="s">
        <v>2206</v>
      </c>
      <c r="B2186" s="1">
        <v>45973</v>
      </c>
      <c r="C2186" t="s">
        <v>13</v>
      </c>
      <c r="D2186">
        <v>89</v>
      </c>
      <c r="E2186" t="s">
        <v>20</v>
      </c>
      <c r="F2186">
        <v>16</v>
      </c>
      <c r="G2186" t="s">
        <v>21</v>
      </c>
      <c r="H2186">
        <v>0</v>
      </c>
      <c r="I2186">
        <v>8</v>
      </c>
      <c r="J2186">
        <v>15</v>
      </c>
      <c r="K2186" t="s">
        <v>17</v>
      </c>
      <c r="L2186" t="s">
        <v>17</v>
      </c>
      <c r="M2186">
        <f>IF(Table1[[#This Row],[ألغى الاشتراك]]="نعم",1,0)</f>
        <v>0</v>
      </c>
      <c r="N2186">
        <f>IF(Table1[[#This Row],[وسيلة الدفع]]="بطاقة",1,0)</f>
        <v>0</v>
      </c>
      <c r="O2186">
        <f>IF(Table1[[#This Row],[وسيلة الدفع]]="محفظة",1,0)</f>
        <v>1</v>
      </c>
      <c r="P2186">
        <f>IF(Table1[[#This Row],[وسيلة الدفع]]="تحويل",1,0)</f>
        <v>0</v>
      </c>
      <c r="Q2186">
        <f>IF(Table1[[#This Row],[حضر التهيئة]]="نعم",1,0)</f>
        <v>0</v>
      </c>
      <c r="R2186">
        <f>IF(Table1[[#This Row],[دورة الفوترة]]="شهري",1,0)</f>
        <v>0</v>
      </c>
    </row>
    <row r="2187" spans="1:18" x14ac:dyDescent="0.25">
      <c r="A2187" t="s">
        <v>2207</v>
      </c>
      <c r="B2187" s="1">
        <v>45395</v>
      </c>
      <c r="C2187" t="s">
        <v>19</v>
      </c>
      <c r="D2187">
        <v>189</v>
      </c>
      <c r="E2187" t="s">
        <v>14</v>
      </c>
      <c r="F2187">
        <v>20</v>
      </c>
      <c r="G2187" t="s">
        <v>21</v>
      </c>
      <c r="H2187">
        <v>11</v>
      </c>
      <c r="I2187">
        <v>56</v>
      </c>
      <c r="J2187">
        <v>0</v>
      </c>
      <c r="K2187" t="s">
        <v>17</v>
      </c>
      <c r="L2187" t="s">
        <v>17</v>
      </c>
      <c r="M2187">
        <f>IF(Table1[[#This Row],[ألغى الاشتراك]]="نعم",1,0)</f>
        <v>0</v>
      </c>
      <c r="N2187">
        <f>IF(Table1[[#This Row],[وسيلة الدفع]]="بطاقة",1,0)</f>
        <v>0</v>
      </c>
      <c r="O2187">
        <f>IF(Table1[[#This Row],[وسيلة الدفع]]="محفظة",1,0)</f>
        <v>1</v>
      </c>
      <c r="P2187">
        <f>IF(Table1[[#This Row],[وسيلة الدفع]]="تحويل",1,0)</f>
        <v>0</v>
      </c>
      <c r="Q2187">
        <f>IF(Table1[[#This Row],[حضر التهيئة]]="نعم",1,0)</f>
        <v>0</v>
      </c>
      <c r="R2187">
        <f>IF(Table1[[#This Row],[دورة الفوترة]]="شهري",1,0)</f>
        <v>1</v>
      </c>
    </row>
    <row r="2188" spans="1:18" x14ac:dyDescent="0.25">
      <c r="A2188" t="s">
        <v>2208</v>
      </c>
      <c r="B2188" s="1">
        <v>45683</v>
      </c>
      <c r="C2188" t="s">
        <v>13</v>
      </c>
      <c r="D2188">
        <v>89</v>
      </c>
      <c r="E2188" t="s">
        <v>20</v>
      </c>
      <c r="F2188">
        <v>11</v>
      </c>
      <c r="G2188" t="s">
        <v>23</v>
      </c>
      <c r="H2188">
        <v>11</v>
      </c>
      <c r="I2188">
        <v>55</v>
      </c>
      <c r="J2188">
        <v>0</v>
      </c>
      <c r="K2188" t="s">
        <v>17</v>
      </c>
      <c r="L2188" t="s">
        <v>17</v>
      </c>
      <c r="M2188">
        <f>IF(Table1[[#This Row],[ألغى الاشتراك]]="نعم",1,0)</f>
        <v>0</v>
      </c>
      <c r="N2188">
        <f>IF(Table1[[#This Row],[وسيلة الدفع]]="بطاقة",1,0)</f>
        <v>0</v>
      </c>
      <c r="O2188">
        <f>IF(Table1[[#This Row],[وسيلة الدفع]]="محفظة",1,0)</f>
        <v>0</v>
      </c>
      <c r="P2188">
        <f>IF(Table1[[#This Row],[وسيلة الدفع]]="تحويل",1,0)</f>
        <v>1</v>
      </c>
      <c r="Q2188">
        <f>IF(Table1[[#This Row],[حضر التهيئة]]="نعم",1,0)</f>
        <v>0</v>
      </c>
      <c r="R2188">
        <f>IF(Table1[[#This Row],[دورة الفوترة]]="شهري",1,0)</f>
        <v>0</v>
      </c>
    </row>
    <row r="2189" spans="1:18" x14ac:dyDescent="0.25">
      <c r="A2189" t="s">
        <v>2209</v>
      </c>
      <c r="B2189" s="1">
        <v>45732</v>
      </c>
      <c r="C2189" t="s">
        <v>13</v>
      </c>
      <c r="D2189">
        <v>89</v>
      </c>
      <c r="E2189" t="s">
        <v>14</v>
      </c>
      <c r="F2189">
        <v>14</v>
      </c>
      <c r="G2189" t="s">
        <v>21</v>
      </c>
      <c r="H2189">
        <v>3</v>
      </c>
      <c r="I2189">
        <v>52</v>
      </c>
      <c r="J2189">
        <v>15</v>
      </c>
      <c r="K2189" t="s">
        <v>16</v>
      </c>
      <c r="L2189" t="s">
        <v>16</v>
      </c>
      <c r="M2189">
        <f>IF(Table1[[#This Row],[ألغى الاشتراك]]="نعم",1,0)</f>
        <v>1</v>
      </c>
      <c r="N2189">
        <f>IF(Table1[[#This Row],[وسيلة الدفع]]="بطاقة",1,0)</f>
        <v>0</v>
      </c>
      <c r="O2189">
        <f>IF(Table1[[#This Row],[وسيلة الدفع]]="محفظة",1,0)</f>
        <v>1</v>
      </c>
      <c r="P2189">
        <f>IF(Table1[[#This Row],[وسيلة الدفع]]="تحويل",1,0)</f>
        <v>0</v>
      </c>
      <c r="Q2189">
        <f>IF(Table1[[#This Row],[حضر التهيئة]]="نعم",1,0)</f>
        <v>1</v>
      </c>
      <c r="R2189">
        <f>IF(Table1[[#This Row],[دورة الفوترة]]="شهري",1,0)</f>
        <v>1</v>
      </c>
    </row>
    <row r="2190" spans="1:18" x14ac:dyDescent="0.25">
      <c r="A2190" t="s">
        <v>2210</v>
      </c>
      <c r="B2190" s="1">
        <v>45525</v>
      </c>
      <c r="C2190" t="s">
        <v>13</v>
      </c>
      <c r="D2190">
        <v>89</v>
      </c>
      <c r="E2190" t="s">
        <v>20</v>
      </c>
      <c r="F2190">
        <v>8</v>
      </c>
      <c r="G2190" t="s">
        <v>21</v>
      </c>
      <c r="H2190">
        <v>2</v>
      </c>
      <c r="I2190">
        <v>58</v>
      </c>
      <c r="J2190">
        <v>0</v>
      </c>
      <c r="K2190" t="s">
        <v>16</v>
      </c>
      <c r="L2190" t="s">
        <v>17</v>
      </c>
      <c r="M2190">
        <f>IF(Table1[[#This Row],[ألغى الاشتراك]]="نعم",1,0)</f>
        <v>0</v>
      </c>
      <c r="N2190">
        <f>IF(Table1[[#This Row],[وسيلة الدفع]]="بطاقة",1,0)</f>
        <v>0</v>
      </c>
      <c r="O2190">
        <f>IF(Table1[[#This Row],[وسيلة الدفع]]="محفظة",1,0)</f>
        <v>1</v>
      </c>
      <c r="P2190">
        <f>IF(Table1[[#This Row],[وسيلة الدفع]]="تحويل",1,0)</f>
        <v>0</v>
      </c>
      <c r="Q2190">
        <f>IF(Table1[[#This Row],[حضر التهيئة]]="نعم",1,0)</f>
        <v>1</v>
      </c>
      <c r="R2190">
        <f>IF(Table1[[#This Row],[دورة الفوترة]]="شهري",1,0)</f>
        <v>0</v>
      </c>
    </row>
    <row r="2191" spans="1:18" x14ac:dyDescent="0.25">
      <c r="A2191" t="s">
        <v>2211</v>
      </c>
      <c r="B2191" s="1">
        <v>45910</v>
      </c>
      <c r="C2191" t="s">
        <v>13</v>
      </c>
      <c r="D2191">
        <v>89</v>
      </c>
      <c r="E2191" t="s">
        <v>14</v>
      </c>
      <c r="F2191">
        <v>9</v>
      </c>
      <c r="G2191" t="s">
        <v>21</v>
      </c>
      <c r="H2191">
        <v>10</v>
      </c>
      <c r="I2191">
        <v>45</v>
      </c>
      <c r="J2191">
        <v>0</v>
      </c>
      <c r="K2191" t="s">
        <v>17</v>
      </c>
      <c r="L2191" t="s">
        <v>16</v>
      </c>
      <c r="M2191">
        <f>IF(Table1[[#This Row],[ألغى الاشتراك]]="نعم",1,0)</f>
        <v>1</v>
      </c>
      <c r="N2191">
        <f>IF(Table1[[#This Row],[وسيلة الدفع]]="بطاقة",1,0)</f>
        <v>0</v>
      </c>
      <c r="O2191">
        <f>IF(Table1[[#This Row],[وسيلة الدفع]]="محفظة",1,0)</f>
        <v>1</v>
      </c>
      <c r="P2191">
        <f>IF(Table1[[#This Row],[وسيلة الدفع]]="تحويل",1,0)</f>
        <v>0</v>
      </c>
      <c r="Q2191">
        <f>IF(Table1[[#This Row],[حضر التهيئة]]="نعم",1,0)</f>
        <v>0</v>
      </c>
      <c r="R2191">
        <f>IF(Table1[[#This Row],[دورة الفوترة]]="شهري",1,0)</f>
        <v>1</v>
      </c>
    </row>
    <row r="2192" spans="1:18" x14ac:dyDescent="0.25">
      <c r="A2192" t="s">
        <v>2212</v>
      </c>
      <c r="B2192" s="1">
        <v>45329</v>
      </c>
      <c r="C2192" t="s">
        <v>28</v>
      </c>
      <c r="D2192">
        <v>39</v>
      </c>
      <c r="E2192" t="s">
        <v>14</v>
      </c>
      <c r="F2192">
        <v>18</v>
      </c>
      <c r="G2192" t="s">
        <v>21</v>
      </c>
      <c r="H2192">
        <v>1</v>
      </c>
      <c r="I2192">
        <v>52</v>
      </c>
      <c r="J2192">
        <v>0</v>
      </c>
      <c r="K2192" t="s">
        <v>16</v>
      </c>
      <c r="L2192" t="s">
        <v>17</v>
      </c>
      <c r="M2192">
        <f>IF(Table1[[#This Row],[ألغى الاشتراك]]="نعم",1,0)</f>
        <v>0</v>
      </c>
      <c r="N2192">
        <f>IF(Table1[[#This Row],[وسيلة الدفع]]="بطاقة",1,0)</f>
        <v>0</v>
      </c>
      <c r="O2192">
        <f>IF(Table1[[#This Row],[وسيلة الدفع]]="محفظة",1,0)</f>
        <v>1</v>
      </c>
      <c r="P2192">
        <f>IF(Table1[[#This Row],[وسيلة الدفع]]="تحويل",1,0)</f>
        <v>0</v>
      </c>
      <c r="Q2192">
        <f>IF(Table1[[#This Row],[حضر التهيئة]]="نعم",1,0)</f>
        <v>1</v>
      </c>
      <c r="R2192">
        <f>IF(Table1[[#This Row],[دورة الفوترة]]="شهري",1,0)</f>
        <v>1</v>
      </c>
    </row>
    <row r="2193" spans="1:18" x14ac:dyDescent="0.25">
      <c r="A2193" t="s">
        <v>2213</v>
      </c>
      <c r="B2193" s="1">
        <v>45521</v>
      </c>
      <c r="C2193" t="s">
        <v>19</v>
      </c>
      <c r="D2193">
        <v>189</v>
      </c>
      <c r="E2193" t="s">
        <v>20</v>
      </c>
      <c r="F2193">
        <v>9</v>
      </c>
      <c r="G2193" t="s">
        <v>21</v>
      </c>
      <c r="H2193">
        <v>6</v>
      </c>
      <c r="I2193">
        <v>7</v>
      </c>
      <c r="J2193">
        <v>25</v>
      </c>
      <c r="K2193" t="s">
        <v>16</v>
      </c>
      <c r="L2193" t="s">
        <v>17</v>
      </c>
      <c r="M2193">
        <f>IF(Table1[[#This Row],[ألغى الاشتراك]]="نعم",1,0)</f>
        <v>0</v>
      </c>
      <c r="N2193">
        <f>IF(Table1[[#This Row],[وسيلة الدفع]]="بطاقة",1,0)</f>
        <v>0</v>
      </c>
      <c r="O2193">
        <f>IF(Table1[[#This Row],[وسيلة الدفع]]="محفظة",1,0)</f>
        <v>1</v>
      </c>
      <c r="P2193">
        <f>IF(Table1[[#This Row],[وسيلة الدفع]]="تحويل",1,0)</f>
        <v>0</v>
      </c>
      <c r="Q2193">
        <f>IF(Table1[[#This Row],[حضر التهيئة]]="نعم",1,0)</f>
        <v>1</v>
      </c>
      <c r="R2193">
        <f>IF(Table1[[#This Row],[دورة الفوترة]]="شهري",1,0)</f>
        <v>0</v>
      </c>
    </row>
    <row r="2194" spans="1:18" x14ac:dyDescent="0.25">
      <c r="A2194" t="s">
        <v>2214</v>
      </c>
      <c r="B2194" s="1">
        <v>45791</v>
      </c>
      <c r="C2194" t="s">
        <v>13</v>
      </c>
      <c r="D2194">
        <v>89</v>
      </c>
      <c r="E2194" t="s">
        <v>14</v>
      </c>
      <c r="F2194">
        <v>25</v>
      </c>
      <c r="G2194" t="s">
        <v>21</v>
      </c>
      <c r="H2194">
        <v>0</v>
      </c>
      <c r="I2194">
        <v>29</v>
      </c>
      <c r="J2194">
        <v>0</v>
      </c>
      <c r="K2194" t="s">
        <v>17</v>
      </c>
      <c r="L2194" t="s">
        <v>17</v>
      </c>
      <c r="M2194">
        <f>IF(Table1[[#This Row],[ألغى الاشتراك]]="نعم",1,0)</f>
        <v>0</v>
      </c>
      <c r="N2194">
        <f>IF(Table1[[#This Row],[وسيلة الدفع]]="بطاقة",1,0)</f>
        <v>0</v>
      </c>
      <c r="O2194">
        <f>IF(Table1[[#This Row],[وسيلة الدفع]]="محفظة",1,0)</f>
        <v>1</v>
      </c>
      <c r="P2194">
        <f>IF(Table1[[#This Row],[وسيلة الدفع]]="تحويل",1,0)</f>
        <v>0</v>
      </c>
      <c r="Q2194">
        <f>IF(Table1[[#This Row],[حضر التهيئة]]="نعم",1,0)</f>
        <v>0</v>
      </c>
      <c r="R2194">
        <f>IF(Table1[[#This Row],[دورة الفوترة]]="شهري",1,0)</f>
        <v>1</v>
      </c>
    </row>
    <row r="2195" spans="1:18" x14ac:dyDescent="0.25">
      <c r="A2195" t="s">
        <v>2215</v>
      </c>
      <c r="B2195" s="1">
        <v>45333</v>
      </c>
      <c r="C2195" t="s">
        <v>13</v>
      </c>
      <c r="D2195">
        <v>89</v>
      </c>
      <c r="E2195" t="s">
        <v>14</v>
      </c>
      <c r="F2195">
        <v>6</v>
      </c>
      <c r="G2195" t="s">
        <v>15</v>
      </c>
      <c r="H2195">
        <v>0</v>
      </c>
      <c r="I2195">
        <v>44</v>
      </c>
      <c r="J2195">
        <v>0</v>
      </c>
      <c r="K2195" t="s">
        <v>17</v>
      </c>
      <c r="L2195" t="s">
        <v>17</v>
      </c>
      <c r="M2195">
        <f>IF(Table1[[#This Row],[ألغى الاشتراك]]="نعم",1,0)</f>
        <v>0</v>
      </c>
      <c r="N2195">
        <f>IF(Table1[[#This Row],[وسيلة الدفع]]="بطاقة",1,0)</f>
        <v>1</v>
      </c>
      <c r="O2195">
        <f>IF(Table1[[#This Row],[وسيلة الدفع]]="محفظة",1,0)</f>
        <v>0</v>
      </c>
      <c r="P2195">
        <f>IF(Table1[[#This Row],[وسيلة الدفع]]="تحويل",1,0)</f>
        <v>0</v>
      </c>
      <c r="Q2195">
        <f>IF(Table1[[#This Row],[حضر التهيئة]]="نعم",1,0)</f>
        <v>0</v>
      </c>
      <c r="R2195">
        <f>IF(Table1[[#This Row],[دورة الفوترة]]="شهري",1,0)</f>
        <v>1</v>
      </c>
    </row>
    <row r="2196" spans="1:18" x14ac:dyDescent="0.25">
      <c r="A2196" t="s">
        <v>2216</v>
      </c>
      <c r="B2196" s="1">
        <v>45965</v>
      </c>
      <c r="C2196" t="s">
        <v>28</v>
      </c>
      <c r="D2196">
        <v>39</v>
      </c>
      <c r="E2196" t="s">
        <v>14</v>
      </c>
      <c r="F2196">
        <v>11</v>
      </c>
      <c r="G2196" t="s">
        <v>23</v>
      </c>
      <c r="H2196">
        <v>7</v>
      </c>
      <c r="I2196">
        <v>5</v>
      </c>
      <c r="J2196">
        <v>0</v>
      </c>
      <c r="K2196" t="s">
        <v>17</v>
      </c>
      <c r="L2196" t="s">
        <v>16</v>
      </c>
      <c r="M2196">
        <f>IF(Table1[[#This Row],[ألغى الاشتراك]]="نعم",1,0)</f>
        <v>1</v>
      </c>
      <c r="N2196">
        <f>IF(Table1[[#This Row],[وسيلة الدفع]]="بطاقة",1,0)</f>
        <v>0</v>
      </c>
      <c r="O2196">
        <f>IF(Table1[[#This Row],[وسيلة الدفع]]="محفظة",1,0)</f>
        <v>0</v>
      </c>
      <c r="P2196">
        <f>IF(Table1[[#This Row],[وسيلة الدفع]]="تحويل",1,0)</f>
        <v>1</v>
      </c>
      <c r="Q2196">
        <f>IF(Table1[[#This Row],[حضر التهيئة]]="نعم",1,0)</f>
        <v>0</v>
      </c>
      <c r="R2196">
        <f>IF(Table1[[#This Row],[دورة الفوترة]]="شهري",1,0)</f>
        <v>1</v>
      </c>
    </row>
    <row r="2197" spans="1:18" x14ac:dyDescent="0.25">
      <c r="A2197" t="s">
        <v>2217</v>
      </c>
      <c r="B2197" s="1">
        <v>45663</v>
      </c>
      <c r="C2197" t="s">
        <v>13</v>
      </c>
      <c r="D2197">
        <v>89</v>
      </c>
      <c r="E2197" t="s">
        <v>14</v>
      </c>
      <c r="F2197">
        <v>10</v>
      </c>
      <c r="G2197" t="s">
        <v>15</v>
      </c>
      <c r="H2197">
        <v>2</v>
      </c>
      <c r="I2197">
        <v>10</v>
      </c>
      <c r="J2197">
        <v>5</v>
      </c>
      <c r="K2197" t="s">
        <v>16</v>
      </c>
      <c r="L2197" t="s">
        <v>17</v>
      </c>
      <c r="M2197">
        <f>IF(Table1[[#This Row],[ألغى الاشتراك]]="نعم",1,0)</f>
        <v>0</v>
      </c>
      <c r="N2197">
        <f>IF(Table1[[#This Row],[وسيلة الدفع]]="بطاقة",1,0)</f>
        <v>1</v>
      </c>
      <c r="O2197">
        <f>IF(Table1[[#This Row],[وسيلة الدفع]]="محفظة",1,0)</f>
        <v>0</v>
      </c>
      <c r="P2197">
        <f>IF(Table1[[#This Row],[وسيلة الدفع]]="تحويل",1,0)</f>
        <v>0</v>
      </c>
      <c r="Q2197">
        <f>IF(Table1[[#This Row],[حضر التهيئة]]="نعم",1,0)</f>
        <v>1</v>
      </c>
      <c r="R2197">
        <f>IF(Table1[[#This Row],[دورة الفوترة]]="شهري",1,0)</f>
        <v>1</v>
      </c>
    </row>
    <row r="2198" spans="1:18" x14ac:dyDescent="0.25">
      <c r="A2198" t="s">
        <v>2218</v>
      </c>
      <c r="B2198" s="1">
        <v>45584</v>
      </c>
      <c r="C2198" t="s">
        <v>19</v>
      </c>
      <c r="D2198">
        <v>189</v>
      </c>
      <c r="E2198" t="s">
        <v>20</v>
      </c>
      <c r="F2198">
        <v>12</v>
      </c>
      <c r="G2198" t="s">
        <v>21</v>
      </c>
      <c r="H2198">
        <v>1</v>
      </c>
      <c r="I2198">
        <v>6</v>
      </c>
      <c r="J2198">
        <v>0</v>
      </c>
      <c r="K2198" t="s">
        <v>17</v>
      </c>
      <c r="L2198" t="s">
        <v>17</v>
      </c>
      <c r="M2198">
        <f>IF(Table1[[#This Row],[ألغى الاشتراك]]="نعم",1,0)</f>
        <v>0</v>
      </c>
      <c r="N2198">
        <f>IF(Table1[[#This Row],[وسيلة الدفع]]="بطاقة",1,0)</f>
        <v>0</v>
      </c>
      <c r="O2198">
        <f>IF(Table1[[#This Row],[وسيلة الدفع]]="محفظة",1,0)</f>
        <v>1</v>
      </c>
      <c r="P2198">
        <f>IF(Table1[[#This Row],[وسيلة الدفع]]="تحويل",1,0)</f>
        <v>0</v>
      </c>
      <c r="Q2198">
        <f>IF(Table1[[#This Row],[حضر التهيئة]]="نعم",1,0)</f>
        <v>0</v>
      </c>
      <c r="R2198">
        <f>IF(Table1[[#This Row],[دورة الفوترة]]="شهري",1,0)</f>
        <v>0</v>
      </c>
    </row>
    <row r="2199" spans="1:18" x14ac:dyDescent="0.25">
      <c r="A2199" t="s">
        <v>2219</v>
      </c>
      <c r="B2199" s="1">
        <v>45399</v>
      </c>
      <c r="C2199" t="s">
        <v>13</v>
      </c>
      <c r="D2199">
        <v>89</v>
      </c>
      <c r="E2199" t="s">
        <v>14</v>
      </c>
      <c r="F2199">
        <v>13</v>
      </c>
      <c r="G2199" t="s">
        <v>15</v>
      </c>
      <c r="H2199">
        <v>1</v>
      </c>
      <c r="I2199">
        <v>51</v>
      </c>
      <c r="J2199">
        <v>25</v>
      </c>
      <c r="K2199" t="s">
        <v>16</v>
      </c>
      <c r="L2199" t="s">
        <v>17</v>
      </c>
      <c r="M2199">
        <f>IF(Table1[[#This Row],[ألغى الاشتراك]]="نعم",1,0)</f>
        <v>0</v>
      </c>
      <c r="N2199">
        <f>IF(Table1[[#This Row],[وسيلة الدفع]]="بطاقة",1,0)</f>
        <v>1</v>
      </c>
      <c r="O2199">
        <f>IF(Table1[[#This Row],[وسيلة الدفع]]="محفظة",1,0)</f>
        <v>0</v>
      </c>
      <c r="P2199">
        <f>IF(Table1[[#This Row],[وسيلة الدفع]]="تحويل",1,0)</f>
        <v>0</v>
      </c>
      <c r="Q2199">
        <f>IF(Table1[[#This Row],[حضر التهيئة]]="نعم",1,0)</f>
        <v>1</v>
      </c>
      <c r="R2199">
        <f>IF(Table1[[#This Row],[دورة الفوترة]]="شهري",1,0)</f>
        <v>1</v>
      </c>
    </row>
    <row r="2200" spans="1:18" x14ac:dyDescent="0.25">
      <c r="A2200" t="s">
        <v>2220</v>
      </c>
      <c r="B2200" s="1">
        <v>45679</v>
      </c>
      <c r="C2200" t="s">
        <v>19</v>
      </c>
      <c r="D2200">
        <v>189</v>
      </c>
      <c r="E2200" t="s">
        <v>14</v>
      </c>
      <c r="F2200">
        <v>3</v>
      </c>
      <c r="G2200" t="s">
        <v>23</v>
      </c>
      <c r="H2200">
        <v>0</v>
      </c>
      <c r="I2200">
        <v>51</v>
      </c>
      <c r="J2200">
        <v>0</v>
      </c>
      <c r="K2200" t="s">
        <v>16</v>
      </c>
      <c r="L2200" t="s">
        <v>17</v>
      </c>
      <c r="M2200">
        <f>IF(Table1[[#This Row],[ألغى الاشتراك]]="نعم",1,0)</f>
        <v>0</v>
      </c>
      <c r="N2200">
        <f>IF(Table1[[#This Row],[وسيلة الدفع]]="بطاقة",1,0)</f>
        <v>0</v>
      </c>
      <c r="O2200">
        <f>IF(Table1[[#This Row],[وسيلة الدفع]]="محفظة",1,0)</f>
        <v>0</v>
      </c>
      <c r="P2200">
        <f>IF(Table1[[#This Row],[وسيلة الدفع]]="تحويل",1,0)</f>
        <v>1</v>
      </c>
      <c r="Q2200">
        <f>IF(Table1[[#This Row],[حضر التهيئة]]="نعم",1,0)</f>
        <v>1</v>
      </c>
      <c r="R2200">
        <f>IF(Table1[[#This Row],[دورة الفوترة]]="شهري",1,0)</f>
        <v>1</v>
      </c>
    </row>
    <row r="2201" spans="1:18" x14ac:dyDescent="0.25">
      <c r="A2201" t="s">
        <v>2221</v>
      </c>
      <c r="B2201" s="1">
        <v>45576</v>
      </c>
      <c r="C2201" t="s">
        <v>13</v>
      </c>
      <c r="D2201">
        <v>89</v>
      </c>
      <c r="E2201" t="s">
        <v>14</v>
      </c>
      <c r="F2201">
        <v>8</v>
      </c>
      <c r="G2201" t="s">
        <v>21</v>
      </c>
      <c r="H2201">
        <v>2</v>
      </c>
      <c r="I2201">
        <v>26</v>
      </c>
      <c r="J2201">
        <v>0</v>
      </c>
      <c r="K2201" t="s">
        <v>17</v>
      </c>
      <c r="L2201" t="s">
        <v>17</v>
      </c>
      <c r="M2201">
        <f>IF(Table1[[#This Row],[ألغى الاشتراك]]="نعم",1,0)</f>
        <v>0</v>
      </c>
      <c r="N2201">
        <f>IF(Table1[[#This Row],[وسيلة الدفع]]="بطاقة",1,0)</f>
        <v>0</v>
      </c>
      <c r="O2201">
        <f>IF(Table1[[#This Row],[وسيلة الدفع]]="محفظة",1,0)</f>
        <v>1</v>
      </c>
      <c r="P2201">
        <f>IF(Table1[[#This Row],[وسيلة الدفع]]="تحويل",1,0)</f>
        <v>0</v>
      </c>
      <c r="Q2201">
        <f>IF(Table1[[#This Row],[حضر التهيئة]]="نعم",1,0)</f>
        <v>0</v>
      </c>
      <c r="R2201">
        <f>IF(Table1[[#This Row],[دورة الفوترة]]="شهري",1,0)</f>
        <v>1</v>
      </c>
    </row>
    <row r="2202" spans="1:18" x14ac:dyDescent="0.25">
      <c r="A2202" t="s">
        <v>2222</v>
      </c>
      <c r="B2202" s="1">
        <v>45720</v>
      </c>
      <c r="C2202" t="s">
        <v>19</v>
      </c>
      <c r="D2202">
        <v>189</v>
      </c>
      <c r="E2202" t="s">
        <v>14</v>
      </c>
      <c r="F2202">
        <v>11</v>
      </c>
      <c r="G2202" t="s">
        <v>21</v>
      </c>
      <c r="H2202">
        <v>1</v>
      </c>
      <c r="I2202">
        <v>53</v>
      </c>
      <c r="J2202">
        <v>0</v>
      </c>
      <c r="K2202" t="s">
        <v>17</v>
      </c>
      <c r="L2202" t="s">
        <v>17</v>
      </c>
      <c r="M2202">
        <f>IF(Table1[[#This Row],[ألغى الاشتراك]]="نعم",1,0)</f>
        <v>0</v>
      </c>
      <c r="N2202">
        <f>IF(Table1[[#This Row],[وسيلة الدفع]]="بطاقة",1,0)</f>
        <v>0</v>
      </c>
      <c r="O2202">
        <f>IF(Table1[[#This Row],[وسيلة الدفع]]="محفظة",1,0)</f>
        <v>1</v>
      </c>
      <c r="P2202">
        <f>IF(Table1[[#This Row],[وسيلة الدفع]]="تحويل",1,0)</f>
        <v>0</v>
      </c>
      <c r="Q2202">
        <f>IF(Table1[[#This Row],[حضر التهيئة]]="نعم",1,0)</f>
        <v>0</v>
      </c>
      <c r="R2202">
        <f>IF(Table1[[#This Row],[دورة الفوترة]]="شهري",1,0)</f>
        <v>1</v>
      </c>
    </row>
    <row r="2203" spans="1:18" x14ac:dyDescent="0.25">
      <c r="A2203" t="s">
        <v>2223</v>
      </c>
      <c r="B2203" s="1">
        <v>45639</v>
      </c>
      <c r="C2203" t="s">
        <v>19</v>
      </c>
      <c r="D2203">
        <v>189</v>
      </c>
      <c r="E2203" t="s">
        <v>20</v>
      </c>
      <c r="F2203">
        <v>8</v>
      </c>
      <c r="G2203" t="s">
        <v>23</v>
      </c>
      <c r="H2203">
        <v>6</v>
      </c>
      <c r="I2203">
        <v>48</v>
      </c>
      <c r="J2203">
        <v>0</v>
      </c>
      <c r="K2203" t="s">
        <v>16</v>
      </c>
      <c r="L2203" t="s">
        <v>17</v>
      </c>
      <c r="M2203">
        <f>IF(Table1[[#This Row],[ألغى الاشتراك]]="نعم",1,0)</f>
        <v>0</v>
      </c>
      <c r="N2203">
        <f>IF(Table1[[#This Row],[وسيلة الدفع]]="بطاقة",1,0)</f>
        <v>0</v>
      </c>
      <c r="O2203">
        <f>IF(Table1[[#This Row],[وسيلة الدفع]]="محفظة",1,0)</f>
        <v>0</v>
      </c>
      <c r="P2203">
        <f>IF(Table1[[#This Row],[وسيلة الدفع]]="تحويل",1,0)</f>
        <v>1</v>
      </c>
      <c r="Q2203">
        <f>IF(Table1[[#This Row],[حضر التهيئة]]="نعم",1,0)</f>
        <v>1</v>
      </c>
      <c r="R2203">
        <f>IF(Table1[[#This Row],[دورة الفوترة]]="شهري",1,0)</f>
        <v>0</v>
      </c>
    </row>
    <row r="2204" spans="1:18" x14ac:dyDescent="0.25">
      <c r="A2204" t="s">
        <v>2224</v>
      </c>
      <c r="B2204" s="1">
        <v>45667</v>
      </c>
      <c r="C2204" t="s">
        <v>19</v>
      </c>
      <c r="D2204">
        <v>189</v>
      </c>
      <c r="E2204" t="s">
        <v>14</v>
      </c>
      <c r="F2204">
        <v>25</v>
      </c>
      <c r="G2204" t="s">
        <v>23</v>
      </c>
      <c r="H2204">
        <v>1</v>
      </c>
      <c r="I2204">
        <v>37</v>
      </c>
      <c r="J2204">
        <v>0</v>
      </c>
      <c r="K2204" t="s">
        <v>16</v>
      </c>
      <c r="L2204" t="s">
        <v>17</v>
      </c>
      <c r="M2204">
        <f>IF(Table1[[#This Row],[ألغى الاشتراك]]="نعم",1,0)</f>
        <v>0</v>
      </c>
      <c r="N2204">
        <f>IF(Table1[[#This Row],[وسيلة الدفع]]="بطاقة",1,0)</f>
        <v>0</v>
      </c>
      <c r="O2204">
        <f>IF(Table1[[#This Row],[وسيلة الدفع]]="محفظة",1,0)</f>
        <v>0</v>
      </c>
      <c r="P2204">
        <f>IF(Table1[[#This Row],[وسيلة الدفع]]="تحويل",1,0)</f>
        <v>1</v>
      </c>
      <c r="Q2204">
        <f>IF(Table1[[#This Row],[حضر التهيئة]]="نعم",1,0)</f>
        <v>1</v>
      </c>
      <c r="R2204">
        <f>IF(Table1[[#This Row],[دورة الفوترة]]="شهري",1,0)</f>
        <v>1</v>
      </c>
    </row>
    <row r="2205" spans="1:18" x14ac:dyDescent="0.25">
      <c r="A2205" t="s">
        <v>2225</v>
      </c>
      <c r="B2205" s="1">
        <v>45592</v>
      </c>
      <c r="C2205" t="s">
        <v>13</v>
      </c>
      <c r="D2205">
        <v>89</v>
      </c>
      <c r="E2205" t="s">
        <v>14</v>
      </c>
      <c r="F2205">
        <v>16</v>
      </c>
      <c r="G2205" t="s">
        <v>15</v>
      </c>
      <c r="H2205">
        <v>0</v>
      </c>
      <c r="I2205">
        <v>8</v>
      </c>
      <c r="J2205">
        <v>0</v>
      </c>
      <c r="K2205" t="s">
        <v>17</v>
      </c>
      <c r="L2205" t="s">
        <v>17</v>
      </c>
      <c r="M2205">
        <f>IF(Table1[[#This Row],[ألغى الاشتراك]]="نعم",1,0)</f>
        <v>0</v>
      </c>
      <c r="N2205">
        <f>IF(Table1[[#This Row],[وسيلة الدفع]]="بطاقة",1,0)</f>
        <v>1</v>
      </c>
      <c r="O2205">
        <f>IF(Table1[[#This Row],[وسيلة الدفع]]="محفظة",1,0)</f>
        <v>0</v>
      </c>
      <c r="P2205">
        <f>IF(Table1[[#This Row],[وسيلة الدفع]]="تحويل",1,0)</f>
        <v>0</v>
      </c>
      <c r="Q2205">
        <f>IF(Table1[[#This Row],[حضر التهيئة]]="نعم",1,0)</f>
        <v>0</v>
      </c>
      <c r="R2205">
        <f>IF(Table1[[#This Row],[دورة الفوترة]]="شهري",1,0)</f>
        <v>1</v>
      </c>
    </row>
    <row r="2206" spans="1:18" x14ac:dyDescent="0.25">
      <c r="A2206" t="s">
        <v>2226</v>
      </c>
      <c r="B2206" s="1">
        <v>45842</v>
      </c>
      <c r="C2206" t="s">
        <v>13</v>
      </c>
      <c r="D2206">
        <v>89</v>
      </c>
      <c r="E2206" t="s">
        <v>20</v>
      </c>
      <c r="F2206">
        <v>7</v>
      </c>
      <c r="G2206" t="s">
        <v>15</v>
      </c>
      <c r="H2206">
        <v>11</v>
      </c>
      <c r="I2206">
        <v>35</v>
      </c>
      <c r="J2206">
        <v>0</v>
      </c>
      <c r="K2206" t="s">
        <v>16</v>
      </c>
      <c r="L2206" t="s">
        <v>17</v>
      </c>
      <c r="M2206">
        <f>IF(Table1[[#This Row],[ألغى الاشتراك]]="نعم",1,0)</f>
        <v>0</v>
      </c>
      <c r="N2206">
        <f>IF(Table1[[#This Row],[وسيلة الدفع]]="بطاقة",1,0)</f>
        <v>1</v>
      </c>
      <c r="O2206">
        <f>IF(Table1[[#This Row],[وسيلة الدفع]]="محفظة",1,0)</f>
        <v>0</v>
      </c>
      <c r="P2206">
        <f>IF(Table1[[#This Row],[وسيلة الدفع]]="تحويل",1,0)</f>
        <v>0</v>
      </c>
      <c r="Q2206">
        <f>IF(Table1[[#This Row],[حضر التهيئة]]="نعم",1,0)</f>
        <v>1</v>
      </c>
      <c r="R2206">
        <f>IF(Table1[[#This Row],[دورة الفوترة]]="شهري",1,0)</f>
        <v>0</v>
      </c>
    </row>
    <row r="2207" spans="1:18" x14ac:dyDescent="0.25">
      <c r="A2207" t="s">
        <v>2227</v>
      </c>
      <c r="B2207" s="1">
        <v>45399</v>
      </c>
      <c r="C2207" t="s">
        <v>13</v>
      </c>
      <c r="D2207">
        <v>89</v>
      </c>
      <c r="E2207" t="s">
        <v>14</v>
      </c>
      <c r="F2207">
        <v>24</v>
      </c>
      <c r="G2207" t="s">
        <v>23</v>
      </c>
      <c r="H2207">
        <v>2</v>
      </c>
      <c r="I2207">
        <v>24</v>
      </c>
      <c r="J2207">
        <v>0</v>
      </c>
      <c r="K2207" t="s">
        <v>16</v>
      </c>
      <c r="L2207" t="s">
        <v>17</v>
      </c>
      <c r="M2207">
        <f>IF(Table1[[#This Row],[ألغى الاشتراك]]="نعم",1,0)</f>
        <v>0</v>
      </c>
      <c r="N2207">
        <f>IF(Table1[[#This Row],[وسيلة الدفع]]="بطاقة",1,0)</f>
        <v>0</v>
      </c>
      <c r="O2207">
        <f>IF(Table1[[#This Row],[وسيلة الدفع]]="محفظة",1,0)</f>
        <v>0</v>
      </c>
      <c r="P2207">
        <f>IF(Table1[[#This Row],[وسيلة الدفع]]="تحويل",1,0)</f>
        <v>1</v>
      </c>
      <c r="Q2207">
        <f>IF(Table1[[#This Row],[حضر التهيئة]]="نعم",1,0)</f>
        <v>1</v>
      </c>
      <c r="R2207">
        <f>IF(Table1[[#This Row],[دورة الفوترة]]="شهري",1,0)</f>
        <v>1</v>
      </c>
    </row>
    <row r="2208" spans="1:18" x14ac:dyDescent="0.25">
      <c r="A2208" t="s">
        <v>2228</v>
      </c>
      <c r="B2208" s="1">
        <v>45791</v>
      </c>
      <c r="C2208" t="s">
        <v>13</v>
      </c>
      <c r="D2208">
        <v>89</v>
      </c>
      <c r="E2208" t="s">
        <v>14</v>
      </c>
      <c r="F2208">
        <v>11</v>
      </c>
      <c r="G2208" t="s">
        <v>21</v>
      </c>
      <c r="H2208">
        <v>11</v>
      </c>
      <c r="I2208">
        <v>49</v>
      </c>
      <c r="J2208">
        <v>0</v>
      </c>
      <c r="K2208" t="s">
        <v>16</v>
      </c>
      <c r="L2208" t="s">
        <v>17</v>
      </c>
      <c r="M2208">
        <f>IF(Table1[[#This Row],[ألغى الاشتراك]]="نعم",1,0)</f>
        <v>0</v>
      </c>
      <c r="N2208">
        <f>IF(Table1[[#This Row],[وسيلة الدفع]]="بطاقة",1,0)</f>
        <v>0</v>
      </c>
      <c r="O2208">
        <f>IF(Table1[[#This Row],[وسيلة الدفع]]="محفظة",1,0)</f>
        <v>1</v>
      </c>
      <c r="P2208">
        <f>IF(Table1[[#This Row],[وسيلة الدفع]]="تحويل",1,0)</f>
        <v>0</v>
      </c>
      <c r="Q2208">
        <f>IF(Table1[[#This Row],[حضر التهيئة]]="نعم",1,0)</f>
        <v>1</v>
      </c>
      <c r="R2208">
        <f>IF(Table1[[#This Row],[دورة الفوترة]]="شهري",1,0)</f>
        <v>1</v>
      </c>
    </row>
    <row r="2209" spans="1:18" x14ac:dyDescent="0.25">
      <c r="A2209" t="s">
        <v>2229</v>
      </c>
      <c r="B2209" s="1">
        <v>45345</v>
      </c>
      <c r="C2209" t="s">
        <v>19</v>
      </c>
      <c r="D2209">
        <v>189</v>
      </c>
      <c r="E2209" t="s">
        <v>20</v>
      </c>
      <c r="F2209">
        <v>16</v>
      </c>
      <c r="G2209" t="s">
        <v>23</v>
      </c>
      <c r="H2209">
        <v>7</v>
      </c>
      <c r="I2209">
        <v>56</v>
      </c>
      <c r="J2209">
        <v>0</v>
      </c>
      <c r="K2209" t="s">
        <v>17</v>
      </c>
      <c r="L2209" t="s">
        <v>17</v>
      </c>
      <c r="M2209">
        <f>IF(Table1[[#This Row],[ألغى الاشتراك]]="نعم",1,0)</f>
        <v>0</v>
      </c>
      <c r="N2209">
        <f>IF(Table1[[#This Row],[وسيلة الدفع]]="بطاقة",1,0)</f>
        <v>0</v>
      </c>
      <c r="O2209">
        <f>IF(Table1[[#This Row],[وسيلة الدفع]]="محفظة",1,0)</f>
        <v>0</v>
      </c>
      <c r="P2209">
        <f>IF(Table1[[#This Row],[وسيلة الدفع]]="تحويل",1,0)</f>
        <v>1</v>
      </c>
      <c r="Q2209">
        <f>IF(Table1[[#This Row],[حضر التهيئة]]="نعم",1,0)</f>
        <v>0</v>
      </c>
      <c r="R2209">
        <f>IF(Table1[[#This Row],[دورة الفوترة]]="شهري",1,0)</f>
        <v>0</v>
      </c>
    </row>
    <row r="2210" spans="1:18" x14ac:dyDescent="0.25">
      <c r="A2210" t="s">
        <v>2230</v>
      </c>
      <c r="B2210" s="1">
        <v>45989</v>
      </c>
      <c r="C2210" t="s">
        <v>13</v>
      </c>
      <c r="D2210">
        <v>89</v>
      </c>
      <c r="E2210" t="s">
        <v>14</v>
      </c>
      <c r="F2210">
        <v>1</v>
      </c>
      <c r="G2210" t="s">
        <v>15</v>
      </c>
      <c r="H2210">
        <v>5</v>
      </c>
      <c r="I2210">
        <v>19</v>
      </c>
      <c r="J2210">
        <v>0</v>
      </c>
      <c r="K2210" t="s">
        <v>16</v>
      </c>
      <c r="L2210" t="s">
        <v>17</v>
      </c>
      <c r="M2210">
        <f>IF(Table1[[#This Row],[ألغى الاشتراك]]="نعم",1,0)</f>
        <v>0</v>
      </c>
      <c r="N2210">
        <f>IF(Table1[[#This Row],[وسيلة الدفع]]="بطاقة",1,0)</f>
        <v>1</v>
      </c>
      <c r="O2210">
        <f>IF(Table1[[#This Row],[وسيلة الدفع]]="محفظة",1,0)</f>
        <v>0</v>
      </c>
      <c r="P2210">
        <f>IF(Table1[[#This Row],[وسيلة الدفع]]="تحويل",1,0)</f>
        <v>0</v>
      </c>
      <c r="Q2210">
        <f>IF(Table1[[#This Row],[حضر التهيئة]]="نعم",1,0)</f>
        <v>1</v>
      </c>
      <c r="R2210">
        <f>IF(Table1[[#This Row],[دورة الفوترة]]="شهري",1,0)</f>
        <v>1</v>
      </c>
    </row>
    <row r="2211" spans="1:18" x14ac:dyDescent="0.25">
      <c r="A2211" t="s">
        <v>2231</v>
      </c>
      <c r="B2211" s="1">
        <v>45635</v>
      </c>
      <c r="C2211" t="s">
        <v>19</v>
      </c>
      <c r="D2211">
        <v>189</v>
      </c>
      <c r="E2211" t="s">
        <v>14</v>
      </c>
      <c r="F2211">
        <v>12</v>
      </c>
      <c r="G2211" t="s">
        <v>23</v>
      </c>
      <c r="H2211">
        <v>2</v>
      </c>
      <c r="I2211">
        <v>12</v>
      </c>
      <c r="J2211">
        <v>0</v>
      </c>
      <c r="K2211" t="s">
        <v>17</v>
      </c>
      <c r="L2211" t="s">
        <v>17</v>
      </c>
      <c r="M2211">
        <f>IF(Table1[[#This Row],[ألغى الاشتراك]]="نعم",1,0)</f>
        <v>0</v>
      </c>
      <c r="N2211">
        <f>IF(Table1[[#This Row],[وسيلة الدفع]]="بطاقة",1,0)</f>
        <v>0</v>
      </c>
      <c r="O2211">
        <f>IF(Table1[[#This Row],[وسيلة الدفع]]="محفظة",1,0)</f>
        <v>0</v>
      </c>
      <c r="P2211">
        <f>IF(Table1[[#This Row],[وسيلة الدفع]]="تحويل",1,0)</f>
        <v>1</v>
      </c>
      <c r="Q2211">
        <f>IF(Table1[[#This Row],[حضر التهيئة]]="نعم",1,0)</f>
        <v>0</v>
      </c>
      <c r="R2211">
        <f>IF(Table1[[#This Row],[دورة الفوترة]]="شهري",1,0)</f>
        <v>1</v>
      </c>
    </row>
    <row r="2212" spans="1:18" x14ac:dyDescent="0.25">
      <c r="A2212" t="s">
        <v>2232</v>
      </c>
      <c r="B2212" s="1">
        <v>45791</v>
      </c>
      <c r="C2212" t="s">
        <v>28</v>
      </c>
      <c r="D2212">
        <v>39</v>
      </c>
      <c r="E2212" t="s">
        <v>20</v>
      </c>
      <c r="F2212">
        <v>27</v>
      </c>
      <c r="G2212" t="s">
        <v>15</v>
      </c>
      <c r="H2212">
        <v>5</v>
      </c>
      <c r="I2212">
        <v>49</v>
      </c>
      <c r="J2212">
        <v>0</v>
      </c>
      <c r="K2212" t="s">
        <v>17</v>
      </c>
      <c r="L2212" t="s">
        <v>17</v>
      </c>
      <c r="M2212">
        <f>IF(Table1[[#This Row],[ألغى الاشتراك]]="نعم",1,0)</f>
        <v>0</v>
      </c>
      <c r="N2212">
        <f>IF(Table1[[#This Row],[وسيلة الدفع]]="بطاقة",1,0)</f>
        <v>1</v>
      </c>
      <c r="O2212">
        <f>IF(Table1[[#This Row],[وسيلة الدفع]]="محفظة",1,0)</f>
        <v>0</v>
      </c>
      <c r="P2212">
        <f>IF(Table1[[#This Row],[وسيلة الدفع]]="تحويل",1,0)</f>
        <v>0</v>
      </c>
      <c r="Q2212">
        <f>IF(Table1[[#This Row],[حضر التهيئة]]="نعم",1,0)</f>
        <v>0</v>
      </c>
      <c r="R2212">
        <f>IF(Table1[[#This Row],[دورة الفوترة]]="شهري",1,0)</f>
        <v>0</v>
      </c>
    </row>
    <row r="2213" spans="1:18" x14ac:dyDescent="0.25">
      <c r="A2213" t="s">
        <v>2233</v>
      </c>
      <c r="B2213" s="1">
        <v>45329</v>
      </c>
      <c r="C2213" t="s">
        <v>13</v>
      </c>
      <c r="D2213">
        <v>89</v>
      </c>
      <c r="E2213" t="s">
        <v>14</v>
      </c>
      <c r="F2213">
        <v>30</v>
      </c>
      <c r="G2213" t="s">
        <v>21</v>
      </c>
      <c r="H2213">
        <v>7</v>
      </c>
      <c r="I2213">
        <v>48</v>
      </c>
      <c r="J2213">
        <v>0</v>
      </c>
      <c r="K2213" t="s">
        <v>16</v>
      </c>
      <c r="L2213" t="s">
        <v>17</v>
      </c>
      <c r="M2213">
        <f>IF(Table1[[#This Row],[ألغى الاشتراك]]="نعم",1,0)</f>
        <v>0</v>
      </c>
      <c r="N2213">
        <f>IF(Table1[[#This Row],[وسيلة الدفع]]="بطاقة",1,0)</f>
        <v>0</v>
      </c>
      <c r="O2213">
        <f>IF(Table1[[#This Row],[وسيلة الدفع]]="محفظة",1,0)</f>
        <v>1</v>
      </c>
      <c r="P2213">
        <f>IF(Table1[[#This Row],[وسيلة الدفع]]="تحويل",1,0)</f>
        <v>0</v>
      </c>
      <c r="Q2213">
        <f>IF(Table1[[#This Row],[حضر التهيئة]]="نعم",1,0)</f>
        <v>1</v>
      </c>
      <c r="R2213">
        <f>IF(Table1[[#This Row],[دورة الفوترة]]="شهري",1,0)</f>
        <v>1</v>
      </c>
    </row>
    <row r="2214" spans="1:18" x14ac:dyDescent="0.25">
      <c r="A2214" t="s">
        <v>2234</v>
      </c>
      <c r="B2214" s="1">
        <v>45643</v>
      </c>
      <c r="C2214" t="s">
        <v>28</v>
      </c>
      <c r="D2214">
        <v>39</v>
      </c>
      <c r="E2214" t="s">
        <v>14</v>
      </c>
      <c r="F2214">
        <v>21</v>
      </c>
      <c r="G2214" t="s">
        <v>15</v>
      </c>
      <c r="H2214">
        <v>0</v>
      </c>
      <c r="I2214">
        <v>21</v>
      </c>
      <c r="J2214">
        <v>25</v>
      </c>
      <c r="K2214" t="s">
        <v>16</v>
      </c>
      <c r="L2214" t="s">
        <v>17</v>
      </c>
      <c r="M2214">
        <f>IF(Table1[[#This Row],[ألغى الاشتراك]]="نعم",1,0)</f>
        <v>0</v>
      </c>
      <c r="N2214">
        <f>IF(Table1[[#This Row],[وسيلة الدفع]]="بطاقة",1,0)</f>
        <v>1</v>
      </c>
      <c r="O2214">
        <f>IF(Table1[[#This Row],[وسيلة الدفع]]="محفظة",1,0)</f>
        <v>0</v>
      </c>
      <c r="P2214">
        <f>IF(Table1[[#This Row],[وسيلة الدفع]]="تحويل",1,0)</f>
        <v>0</v>
      </c>
      <c r="Q2214">
        <f>IF(Table1[[#This Row],[حضر التهيئة]]="نعم",1,0)</f>
        <v>1</v>
      </c>
      <c r="R2214">
        <f>IF(Table1[[#This Row],[دورة الفوترة]]="شهري",1,0)</f>
        <v>1</v>
      </c>
    </row>
    <row r="2215" spans="1:18" x14ac:dyDescent="0.25">
      <c r="A2215" t="s">
        <v>2235</v>
      </c>
      <c r="B2215" s="1">
        <v>45783</v>
      </c>
      <c r="C2215" t="s">
        <v>13</v>
      </c>
      <c r="D2215">
        <v>89</v>
      </c>
      <c r="E2215" t="s">
        <v>14</v>
      </c>
      <c r="F2215">
        <v>7</v>
      </c>
      <c r="G2215" t="s">
        <v>23</v>
      </c>
      <c r="H2215">
        <v>0</v>
      </c>
      <c r="I2215">
        <v>5</v>
      </c>
      <c r="J2215">
        <v>0</v>
      </c>
      <c r="K2215" t="s">
        <v>16</v>
      </c>
      <c r="L2215" t="s">
        <v>16</v>
      </c>
      <c r="M2215">
        <f>IF(Table1[[#This Row],[ألغى الاشتراك]]="نعم",1,0)</f>
        <v>1</v>
      </c>
      <c r="N2215">
        <f>IF(Table1[[#This Row],[وسيلة الدفع]]="بطاقة",1,0)</f>
        <v>0</v>
      </c>
      <c r="O2215">
        <f>IF(Table1[[#This Row],[وسيلة الدفع]]="محفظة",1,0)</f>
        <v>0</v>
      </c>
      <c r="P2215">
        <f>IF(Table1[[#This Row],[وسيلة الدفع]]="تحويل",1,0)</f>
        <v>1</v>
      </c>
      <c r="Q2215">
        <f>IF(Table1[[#This Row],[حضر التهيئة]]="نعم",1,0)</f>
        <v>1</v>
      </c>
      <c r="R2215">
        <f>IF(Table1[[#This Row],[دورة الفوترة]]="شهري",1,0)</f>
        <v>1</v>
      </c>
    </row>
    <row r="2216" spans="1:18" x14ac:dyDescent="0.25">
      <c r="A2216" t="s">
        <v>2236</v>
      </c>
      <c r="B2216" s="1">
        <v>45981</v>
      </c>
      <c r="C2216" t="s">
        <v>28</v>
      </c>
      <c r="D2216">
        <v>39</v>
      </c>
      <c r="E2216" t="s">
        <v>14</v>
      </c>
      <c r="F2216">
        <v>20</v>
      </c>
      <c r="G2216" t="s">
        <v>15</v>
      </c>
      <c r="H2216">
        <v>2</v>
      </c>
      <c r="I2216">
        <v>6</v>
      </c>
      <c r="J2216">
        <v>15</v>
      </c>
      <c r="K2216" t="s">
        <v>17</v>
      </c>
      <c r="L2216" t="s">
        <v>17</v>
      </c>
      <c r="M2216">
        <f>IF(Table1[[#This Row],[ألغى الاشتراك]]="نعم",1,0)</f>
        <v>0</v>
      </c>
      <c r="N2216">
        <f>IF(Table1[[#This Row],[وسيلة الدفع]]="بطاقة",1,0)</f>
        <v>1</v>
      </c>
      <c r="O2216">
        <f>IF(Table1[[#This Row],[وسيلة الدفع]]="محفظة",1,0)</f>
        <v>0</v>
      </c>
      <c r="P2216">
        <f>IF(Table1[[#This Row],[وسيلة الدفع]]="تحويل",1,0)</f>
        <v>0</v>
      </c>
      <c r="Q2216">
        <f>IF(Table1[[#This Row],[حضر التهيئة]]="نعم",1,0)</f>
        <v>0</v>
      </c>
      <c r="R2216">
        <f>IF(Table1[[#This Row],[دورة الفوترة]]="شهري",1,0)</f>
        <v>1</v>
      </c>
    </row>
    <row r="2217" spans="1:18" x14ac:dyDescent="0.25">
      <c r="A2217" t="s">
        <v>2237</v>
      </c>
      <c r="B2217" s="1">
        <v>45667</v>
      </c>
      <c r="C2217" t="s">
        <v>19</v>
      </c>
      <c r="D2217">
        <v>189</v>
      </c>
      <c r="E2217" t="s">
        <v>14</v>
      </c>
      <c r="F2217">
        <v>20</v>
      </c>
      <c r="G2217" t="s">
        <v>15</v>
      </c>
      <c r="H2217">
        <v>1</v>
      </c>
      <c r="I2217">
        <v>8</v>
      </c>
      <c r="J2217">
        <v>5</v>
      </c>
      <c r="K2217" t="s">
        <v>17</v>
      </c>
      <c r="L2217" t="s">
        <v>17</v>
      </c>
      <c r="M2217">
        <f>IF(Table1[[#This Row],[ألغى الاشتراك]]="نعم",1,0)</f>
        <v>0</v>
      </c>
      <c r="N2217">
        <f>IF(Table1[[#This Row],[وسيلة الدفع]]="بطاقة",1,0)</f>
        <v>1</v>
      </c>
      <c r="O2217">
        <f>IF(Table1[[#This Row],[وسيلة الدفع]]="محفظة",1,0)</f>
        <v>0</v>
      </c>
      <c r="P2217">
        <f>IF(Table1[[#This Row],[وسيلة الدفع]]="تحويل",1,0)</f>
        <v>0</v>
      </c>
      <c r="Q2217">
        <f>IF(Table1[[#This Row],[حضر التهيئة]]="نعم",1,0)</f>
        <v>0</v>
      </c>
      <c r="R2217">
        <f>IF(Table1[[#This Row],[دورة الفوترة]]="شهري",1,0)</f>
        <v>1</v>
      </c>
    </row>
    <row r="2218" spans="1:18" x14ac:dyDescent="0.25">
      <c r="A2218" t="s">
        <v>2238</v>
      </c>
      <c r="B2218" s="1">
        <v>45466</v>
      </c>
      <c r="C2218" t="s">
        <v>19</v>
      </c>
      <c r="D2218">
        <v>189</v>
      </c>
      <c r="E2218" t="s">
        <v>14</v>
      </c>
      <c r="F2218">
        <v>22</v>
      </c>
      <c r="G2218" t="s">
        <v>21</v>
      </c>
      <c r="H2218">
        <v>1</v>
      </c>
      <c r="I2218">
        <v>16</v>
      </c>
      <c r="J2218">
        <v>0</v>
      </c>
      <c r="K2218" t="s">
        <v>16</v>
      </c>
      <c r="L2218" t="s">
        <v>17</v>
      </c>
      <c r="M2218">
        <f>IF(Table1[[#This Row],[ألغى الاشتراك]]="نعم",1,0)</f>
        <v>0</v>
      </c>
      <c r="N2218">
        <f>IF(Table1[[#This Row],[وسيلة الدفع]]="بطاقة",1,0)</f>
        <v>0</v>
      </c>
      <c r="O2218">
        <f>IF(Table1[[#This Row],[وسيلة الدفع]]="محفظة",1,0)</f>
        <v>1</v>
      </c>
      <c r="P2218">
        <f>IF(Table1[[#This Row],[وسيلة الدفع]]="تحويل",1,0)</f>
        <v>0</v>
      </c>
      <c r="Q2218">
        <f>IF(Table1[[#This Row],[حضر التهيئة]]="نعم",1,0)</f>
        <v>1</v>
      </c>
      <c r="R2218">
        <f>IF(Table1[[#This Row],[دورة الفوترة]]="شهري",1,0)</f>
        <v>1</v>
      </c>
    </row>
    <row r="2219" spans="1:18" x14ac:dyDescent="0.25">
      <c r="A2219" t="s">
        <v>2239</v>
      </c>
      <c r="B2219" s="1">
        <v>45732</v>
      </c>
      <c r="C2219" t="s">
        <v>28</v>
      </c>
      <c r="D2219">
        <v>39</v>
      </c>
      <c r="E2219" t="s">
        <v>14</v>
      </c>
      <c r="F2219">
        <v>11</v>
      </c>
      <c r="G2219" t="s">
        <v>23</v>
      </c>
      <c r="H2219">
        <v>2</v>
      </c>
      <c r="I2219">
        <v>39</v>
      </c>
      <c r="J2219">
        <v>0</v>
      </c>
      <c r="K2219" t="s">
        <v>17</v>
      </c>
      <c r="L2219" t="s">
        <v>17</v>
      </c>
      <c r="M2219">
        <f>IF(Table1[[#This Row],[ألغى الاشتراك]]="نعم",1,0)</f>
        <v>0</v>
      </c>
      <c r="N2219">
        <f>IF(Table1[[#This Row],[وسيلة الدفع]]="بطاقة",1,0)</f>
        <v>0</v>
      </c>
      <c r="O2219">
        <f>IF(Table1[[#This Row],[وسيلة الدفع]]="محفظة",1,0)</f>
        <v>0</v>
      </c>
      <c r="P2219">
        <f>IF(Table1[[#This Row],[وسيلة الدفع]]="تحويل",1,0)</f>
        <v>1</v>
      </c>
      <c r="Q2219">
        <f>IF(Table1[[#This Row],[حضر التهيئة]]="نعم",1,0)</f>
        <v>0</v>
      </c>
      <c r="R2219">
        <f>IF(Table1[[#This Row],[دورة الفوترة]]="شهري",1,0)</f>
        <v>1</v>
      </c>
    </row>
    <row r="2220" spans="1:18" x14ac:dyDescent="0.25">
      <c r="A2220" t="s">
        <v>2240</v>
      </c>
      <c r="B2220" s="1">
        <v>45509</v>
      </c>
      <c r="C2220" t="s">
        <v>28</v>
      </c>
      <c r="D2220">
        <v>39</v>
      </c>
      <c r="E2220" t="s">
        <v>20</v>
      </c>
      <c r="F2220">
        <v>10</v>
      </c>
      <c r="G2220" t="s">
        <v>21</v>
      </c>
      <c r="H2220">
        <v>2</v>
      </c>
      <c r="I2220">
        <v>8</v>
      </c>
      <c r="J2220">
        <v>0</v>
      </c>
      <c r="K2220" t="s">
        <v>16</v>
      </c>
      <c r="L2220" t="s">
        <v>17</v>
      </c>
      <c r="M2220">
        <f>IF(Table1[[#This Row],[ألغى الاشتراك]]="نعم",1,0)</f>
        <v>0</v>
      </c>
      <c r="N2220">
        <f>IF(Table1[[#This Row],[وسيلة الدفع]]="بطاقة",1,0)</f>
        <v>0</v>
      </c>
      <c r="O2220">
        <f>IF(Table1[[#This Row],[وسيلة الدفع]]="محفظة",1,0)</f>
        <v>1</v>
      </c>
      <c r="P2220">
        <f>IF(Table1[[#This Row],[وسيلة الدفع]]="تحويل",1,0)</f>
        <v>0</v>
      </c>
      <c r="Q2220">
        <f>IF(Table1[[#This Row],[حضر التهيئة]]="نعم",1,0)</f>
        <v>1</v>
      </c>
      <c r="R2220">
        <f>IF(Table1[[#This Row],[دورة الفوترة]]="شهري",1,0)</f>
        <v>0</v>
      </c>
    </row>
    <row r="2221" spans="1:18" x14ac:dyDescent="0.25">
      <c r="A2221" t="s">
        <v>2241</v>
      </c>
      <c r="B2221" s="1">
        <v>45926</v>
      </c>
      <c r="C2221" t="s">
        <v>19</v>
      </c>
      <c r="D2221">
        <v>189</v>
      </c>
      <c r="E2221" t="s">
        <v>14</v>
      </c>
      <c r="F2221">
        <v>7</v>
      </c>
      <c r="G2221" t="s">
        <v>23</v>
      </c>
      <c r="H2221">
        <v>2</v>
      </c>
      <c r="I2221">
        <v>57</v>
      </c>
      <c r="J2221">
        <v>0</v>
      </c>
      <c r="K2221" t="s">
        <v>17</v>
      </c>
      <c r="L2221" t="s">
        <v>17</v>
      </c>
      <c r="M2221">
        <f>IF(Table1[[#This Row],[ألغى الاشتراك]]="نعم",1,0)</f>
        <v>0</v>
      </c>
      <c r="N2221">
        <f>IF(Table1[[#This Row],[وسيلة الدفع]]="بطاقة",1,0)</f>
        <v>0</v>
      </c>
      <c r="O2221">
        <f>IF(Table1[[#This Row],[وسيلة الدفع]]="محفظة",1,0)</f>
        <v>0</v>
      </c>
      <c r="P2221">
        <f>IF(Table1[[#This Row],[وسيلة الدفع]]="تحويل",1,0)</f>
        <v>1</v>
      </c>
      <c r="Q2221">
        <f>IF(Table1[[#This Row],[حضر التهيئة]]="نعم",1,0)</f>
        <v>0</v>
      </c>
      <c r="R2221">
        <f>IF(Table1[[#This Row],[دورة الفوترة]]="شهري",1,0)</f>
        <v>1</v>
      </c>
    </row>
    <row r="2222" spans="1:18" x14ac:dyDescent="0.25">
      <c r="A2222" t="s">
        <v>2242</v>
      </c>
      <c r="B2222" s="1">
        <v>45329</v>
      </c>
      <c r="C2222" t="s">
        <v>19</v>
      </c>
      <c r="D2222">
        <v>189</v>
      </c>
      <c r="E2222" t="s">
        <v>20</v>
      </c>
      <c r="F2222">
        <v>10</v>
      </c>
      <c r="G2222" t="s">
        <v>15</v>
      </c>
      <c r="H2222">
        <v>0</v>
      </c>
      <c r="I2222">
        <v>22</v>
      </c>
      <c r="J2222">
        <v>0</v>
      </c>
      <c r="K2222" t="s">
        <v>16</v>
      </c>
      <c r="L2222" t="s">
        <v>17</v>
      </c>
      <c r="M2222">
        <f>IF(Table1[[#This Row],[ألغى الاشتراك]]="نعم",1,0)</f>
        <v>0</v>
      </c>
      <c r="N2222">
        <f>IF(Table1[[#This Row],[وسيلة الدفع]]="بطاقة",1,0)</f>
        <v>1</v>
      </c>
      <c r="O2222">
        <f>IF(Table1[[#This Row],[وسيلة الدفع]]="محفظة",1,0)</f>
        <v>0</v>
      </c>
      <c r="P2222">
        <f>IF(Table1[[#This Row],[وسيلة الدفع]]="تحويل",1,0)</f>
        <v>0</v>
      </c>
      <c r="Q2222">
        <f>IF(Table1[[#This Row],[حضر التهيئة]]="نعم",1,0)</f>
        <v>1</v>
      </c>
      <c r="R2222">
        <f>IF(Table1[[#This Row],[دورة الفوترة]]="شهري",1,0)</f>
        <v>0</v>
      </c>
    </row>
    <row r="2223" spans="1:18" x14ac:dyDescent="0.25">
      <c r="A2223" t="s">
        <v>2243</v>
      </c>
      <c r="B2223" s="1">
        <v>45720</v>
      </c>
      <c r="C2223" t="s">
        <v>28</v>
      </c>
      <c r="D2223">
        <v>39</v>
      </c>
      <c r="E2223" t="s">
        <v>20</v>
      </c>
      <c r="F2223">
        <v>19</v>
      </c>
      <c r="G2223" t="s">
        <v>15</v>
      </c>
      <c r="H2223">
        <v>10</v>
      </c>
      <c r="I2223">
        <v>29</v>
      </c>
      <c r="J2223">
        <v>0</v>
      </c>
      <c r="K2223" t="s">
        <v>16</v>
      </c>
      <c r="L2223" t="s">
        <v>16</v>
      </c>
      <c r="M2223">
        <f>IF(Table1[[#This Row],[ألغى الاشتراك]]="نعم",1,0)</f>
        <v>1</v>
      </c>
      <c r="N2223">
        <f>IF(Table1[[#This Row],[وسيلة الدفع]]="بطاقة",1,0)</f>
        <v>1</v>
      </c>
      <c r="O2223">
        <f>IF(Table1[[#This Row],[وسيلة الدفع]]="محفظة",1,0)</f>
        <v>0</v>
      </c>
      <c r="P2223">
        <f>IF(Table1[[#This Row],[وسيلة الدفع]]="تحويل",1,0)</f>
        <v>0</v>
      </c>
      <c r="Q2223">
        <f>IF(Table1[[#This Row],[حضر التهيئة]]="نعم",1,0)</f>
        <v>1</v>
      </c>
      <c r="R2223">
        <f>IF(Table1[[#This Row],[دورة الفوترة]]="شهري",1,0)</f>
        <v>0</v>
      </c>
    </row>
    <row r="2224" spans="1:18" x14ac:dyDescent="0.25">
      <c r="A2224" t="s">
        <v>2244</v>
      </c>
      <c r="B2224" s="1">
        <v>45399</v>
      </c>
      <c r="C2224" t="s">
        <v>19</v>
      </c>
      <c r="D2224">
        <v>189</v>
      </c>
      <c r="E2224" t="s">
        <v>14</v>
      </c>
      <c r="F2224">
        <v>16</v>
      </c>
      <c r="G2224" t="s">
        <v>21</v>
      </c>
      <c r="H2224">
        <v>8</v>
      </c>
      <c r="I2224">
        <v>44</v>
      </c>
      <c r="J2224">
        <v>0</v>
      </c>
      <c r="K2224" t="s">
        <v>16</v>
      </c>
      <c r="L2224" t="s">
        <v>17</v>
      </c>
      <c r="M2224">
        <f>IF(Table1[[#This Row],[ألغى الاشتراك]]="نعم",1,0)</f>
        <v>0</v>
      </c>
      <c r="N2224">
        <f>IF(Table1[[#This Row],[وسيلة الدفع]]="بطاقة",1,0)</f>
        <v>0</v>
      </c>
      <c r="O2224">
        <f>IF(Table1[[#This Row],[وسيلة الدفع]]="محفظة",1,0)</f>
        <v>1</v>
      </c>
      <c r="P2224">
        <f>IF(Table1[[#This Row],[وسيلة الدفع]]="تحويل",1,0)</f>
        <v>0</v>
      </c>
      <c r="Q2224">
        <f>IF(Table1[[#This Row],[حضر التهيئة]]="نعم",1,0)</f>
        <v>1</v>
      </c>
      <c r="R2224">
        <f>IF(Table1[[#This Row],[دورة الفوترة]]="شهري",1,0)</f>
        <v>1</v>
      </c>
    </row>
    <row r="2225" spans="1:18" x14ac:dyDescent="0.25">
      <c r="A2225" t="s">
        <v>2245</v>
      </c>
      <c r="B2225" s="1">
        <v>45799</v>
      </c>
      <c r="C2225" t="s">
        <v>28</v>
      </c>
      <c r="D2225">
        <v>39</v>
      </c>
      <c r="E2225" t="s">
        <v>20</v>
      </c>
      <c r="F2225">
        <v>13</v>
      </c>
      <c r="G2225" t="s">
        <v>15</v>
      </c>
      <c r="H2225">
        <v>1</v>
      </c>
      <c r="I2225">
        <v>11</v>
      </c>
      <c r="J2225">
        <v>0</v>
      </c>
      <c r="K2225" t="s">
        <v>17</v>
      </c>
      <c r="L2225" t="s">
        <v>17</v>
      </c>
      <c r="M2225">
        <f>IF(Table1[[#This Row],[ألغى الاشتراك]]="نعم",1,0)</f>
        <v>0</v>
      </c>
      <c r="N2225">
        <f>IF(Table1[[#This Row],[وسيلة الدفع]]="بطاقة",1,0)</f>
        <v>1</v>
      </c>
      <c r="O2225">
        <f>IF(Table1[[#This Row],[وسيلة الدفع]]="محفظة",1,0)</f>
        <v>0</v>
      </c>
      <c r="P2225">
        <f>IF(Table1[[#This Row],[وسيلة الدفع]]="تحويل",1,0)</f>
        <v>0</v>
      </c>
      <c r="Q2225">
        <f>IF(Table1[[#This Row],[حضر التهيئة]]="نعم",1,0)</f>
        <v>0</v>
      </c>
      <c r="R2225">
        <f>IF(Table1[[#This Row],[دورة الفوترة]]="شهري",1,0)</f>
        <v>0</v>
      </c>
    </row>
    <row r="2226" spans="1:18" x14ac:dyDescent="0.25">
      <c r="A2226" t="s">
        <v>2246</v>
      </c>
      <c r="B2226" s="1">
        <v>45349</v>
      </c>
      <c r="C2226" t="s">
        <v>13</v>
      </c>
      <c r="D2226">
        <v>89</v>
      </c>
      <c r="E2226" t="s">
        <v>14</v>
      </c>
      <c r="F2226">
        <v>18</v>
      </c>
      <c r="G2226" t="s">
        <v>21</v>
      </c>
      <c r="H2226">
        <v>0</v>
      </c>
      <c r="I2226">
        <v>44</v>
      </c>
      <c r="J2226">
        <v>0</v>
      </c>
      <c r="K2226" t="s">
        <v>17</v>
      </c>
      <c r="L2226" t="s">
        <v>17</v>
      </c>
      <c r="M2226">
        <f>IF(Table1[[#This Row],[ألغى الاشتراك]]="نعم",1,0)</f>
        <v>0</v>
      </c>
      <c r="N2226">
        <f>IF(Table1[[#This Row],[وسيلة الدفع]]="بطاقة",1,0)</f>
        <v>0</v>
      </c>
      <c r="O2226">
        <f>IF(Table1[[#This Row],[وسيلة الدفع]]="محفظة",1,0)</f>
        <v>1</v>
      </c>
      <c r="P2226">
        <f>IF(Table1[[#This Row],[وسيلة الدفع]]="تحويل",1,0)</f>
        <v>0</v>
      </c>
      <c r="Q2226">
        <f>IF(Table1[[#This Row],[حضر التهيئة]]="نعم",1,0)</f>
        <v>0</v>
      </c>
      <c r="R2226">
        <f>IF(Table1[[#This Row],[دورة الفوترة]]="شهري",1,0)</f>
        <v>1</v>
      </c>
    </row>
    <row r="2227" spans="1:18" x14ac:dyDescent="0.25">
      <c r="A2227" t="s">
        <v>2247</v>
      </c>
      <c r="B2227" s="1">
        <v>45977</v>
      </c>
      <c r="C2227" t="s">
        <v>13</v>
      </c>
      <c r="D2227">
        <v>89</v>
      </c>
      <c r="E2227" t="s">
        <v>14</v>
      </c>
      <c r="F2227">
        <v>19</v>
      </c>
      <c r="G2227" t="s">
        <v>15</v>
      </c>
      <c r="H2227">
        <v>2</v>
      </c>
      <c r="I2227">
        <v>33</v>
      </c>
      <c r="J2227">
        <v>0</v>
      </c>
      <c r="K2227" t="s">
        <v>17</v>
      </c>
      <c r="L2227" t="s">
        <v>17</v>
      </c>
      <c r="M2227">
        <f>IF(Table1[[#This Row],[ألغى الاشتراك]]="نعم",1,0)</f>
        <v>0</v>
      </c>
      <c r="N2227">
        <f>IF(Table1[[#This Row],[وسيلة الدفع]]="بطاقة",1,0)</f>
        <v>1</v>
      </c>
      <c r="O2227">
        <f>IF(Table1[[#This Row],[وسيلة الدفع]]="محفظة",1,0)</f>
        <v>0</v>
      </c>
      <c r="P2227">
        <f>IF(Table1[[#This Row],[وسيلة الدفع]]="تحويل",1,0)</f>
        <v>0</v>
      </c>
      <c r="Q2227">
        <f>IF(Table1[[#This Row],[حضر التهيئة]]="نعم",1,0)</f>
        <v>0</v>
      </c>
      <c r="R2227">
        <f>IF(Table1[[#This Row],[دورة الفوترة]]="شهري",1,0)</f>
        <v>1</v>
      </c>
    </row>
    <row r="2228" spans="1:18" x14ac:dyDescent="0.25">
      <c r="A2228" t="s">
        <v>2248</v>
      </c>
      <c r="B2228" s="1">
        <v>45922</v>
      </c>
      <c r="C2228" t="s">
        <v>13</v>
      </c>
      <c r="D2228">
        <v>89</v>
      </c>
      <c r="E2228" t="s">
        <v>20</v>
      </c>
      <c r="F2228">
        <v>30</v>
      </c>
      <c r="G2228" t="s">
        <v>23</v>
      </c>
      <c r="H2228">
        <v>2</v>
      </c>
      <c r="I2228">
        <v>10</v>
      </c>
      <c r="J2228">
        <v>5</v>
      </c>
      <c r="K2228" t="s">
        <v>16</v>
      </c>
      <c r="L2228" t="s">
        <v>17</v>
      </c>
      <c r="M2228">
        <f>IF(Table1[[#This Row],[ألغى الاشتراك]]="نعم",1,0)</f>
        <v>0</v>
      </c>
      <c r="N2228">
        <f>IF(Table1[[#This Row],[وسيلة الدفع]]="بطاقة",1,0)</f>
        <v>0</v>
      </c>
      <c r="O2228">
        <f>IF(Table1[[#This Row],[وسيلة الدفع]]="محفظة",1,0)</f>
        <v>0</v>
      </c>
      <c r="P2228">
        <f>IF(Table1[[#This Row],[وسيلة الدفع]]="تحويل",1,0)</f>
        <v>1</v>
      </c>
      <c r="Q2228">
        <f>IF(Table1[[#This Row],[حضر التهيئة]]="نعم",1,0)</f>
        <v>1</v>
      </c>
      <c r="R2228">
        <f>IF(Table1[[#This Row],[دورة الفوترة]]="شهري",1,0)</f>
        <v>0</v>
      </c>
    </row>
    <row r="2229" spans="1:18" x14ac:dyDescent="0.25">
      <c r="A2229" t="s">
        <v>2249</v>
      </c>
      <c r="B2229" s="1">
        <v>45588</v>
      </c>
      <c r="C2229" t="s">
        <v>28</v>
      </c>
      <c r="D2229">
        <v>39</v>
      </c>
      <c r="E2229" t="s">
        <v>14</v>
      </c>
      <c r="F2229">
        <v>4</v>
      </c>
      <c r="G2229" t="s">
        <v>21</v>
      </c>
      <c r="H2229">
        <v>6</v>
      </c>
      <c r="I2229">
        <v>48</v>
      </c>
      <c r="J2229">
        <v>0</v>
      </c>
      <c r="K2229" t="s">
        <v>16</v>
      </c>
      <c r="L2229" t="s">
        <v>16</v>
      </c>
      <c r="M2229">
        <f>IF(Table1[[#This Row],[ألغى الاشتراك]]="نعم",1,0)</f>
        <v>1</v>
      </c>
      <c r="N2229">
        <f>IF(Table1[[#This Row],[وسيلة الدفع]]="بطاقة",1,0)</f>
        <v>0</v>
      </c>
      <c r="O2229">
        <f>IF(Table1[[#This Row],[وسيلة الدفع]]="محفظة",1,0)</f>
        <v>1</v>
      </c>
      <c r="P2229">
        <f>IF(Table1[[#This Row],[وسيلة الدفع]]="تحويل",1,0)</f>
        <v>0</v>
      </c>
      <c r="Q2229">
        <f>IF(Table1[[#This Row],[حضر التهيئة]]="نعم",1,0)</f>
        <v>1</v>
      </c>
      <c r="R2229">
        <f>IF(Table1[[#This Row],[دورة الفوترة]]="شهري",1,0)</f>
        <v>1</v>
      </c>
    </row>
    <row r="2230" spans="1:18" x14ac:dyDescent="0.25">
      <c r="A2230" t="s">
        <v>2250</v>
      </c>
      <c r="B2230" s="1">
        <v>45521</v>
      </c>
      <c r="C2230" t="s">
        <v>19</v>
      </c>
      <c r="D2230">
        <v>189</v>
      </c>
      <c r="E2230" t="s">
        <v>14</v>
      </c>
      <c r="F2230">
        <v>29</v>
      </c>
      <c r="G2230" t="s">
        <v>21</v>
      </c>
      <c r="H2230">
        <v>4</v>
      </c>
      <c r="I2230">
        <v>43</v>
      </c>
      <c r="J2230">
        <v>25</v>
      </c>
      <c r="K2230" t="s">
        <v>16</v>
      </c>
      <c r="L2230" t="s">
        <v>17</v>
      </c>
      <c r="M2230">
        <f>IF(Table1[[#This Row],[ألغى الاشتراك]]="نعم",1,0)</f>
        <v>0</v>
      </c>
      <c r="N2230">
        <f>IF(Table1[[#This Row],[وسيلة الدفع]]="بطاقة",1,0)</f>
        <v>0</v>
      </c>
      <c r="O2230">
        <f>IF(Table1[[#This Row],[وسيلة الدفع]]="محفظة",1,0)</f>
        <v>1</v>
      </c>
      <c r="P2230">
        <f>IF(Table1[[#This Row],[وسيلة الدفع]]="تحويل",1,0)</f>
        <v>0</v>
      </c>
      <c r="Q2230">
        <f>IF(Table1[[#This Row],[حضر التهيئة]]="نعم",1,0)</f>
        <v>1</v>
      </c>
      <c r="R2230">
        <f>IF(Table1[[#This Row],[دورة الفوترة]]="شهري",1,0)</f>
        <v>1</v>
      </c>
    </row>
    <row r="2231" spans="1:18" x14ac:dyDescent="0.25">
      <c r="A2231" t="s">
        <v>2251</v>
      </c>
      <c r="B2231" s="1">
        <v>45458</v>
      </c>
      <c r="C2231" t="s">
        <v>13</v>
      </c>
      <c r="D2231">
        <v>89</v>
      </c>
      <c r="E2231" t="s">
        <v>14</v>
      </c>
      <c r="F2231">
        <v>9</v>
      </c>
      <c r="G2231" t="s">
        <v>15</v>
      </c>
      <c r="H2231">
        <v>1</v>
      </c>
      <c r="I2231">
        <v>59</v>
      </c>
      <c r="J2231">
        <v>10</v>
      </c>
      <c r="K2231" t="s">
        <v>16</v>
      </c>
      <c r="L2231" t="s">
        <v>17</v>
      </c>
      <c r="M2231">
        <f>IF(Table1[[#This Row],[ألغى الاشتراك]]="نعم",1,0)</f>
        <v>0</v>
      </c>
      <c r="N2231">
        <f>IF(Table1[[#This Row],[وسيلة الدفع]]="بطاقة",1,0)</f>
        <v>1</v>
      </c>
      <c r="O2231">
        <f>IF(Table1[[#This Row],[وسيلة الدفع]]="محفظة",1,0)</f>
        <v>0</v>
      </c>
      <c r="P2231">
        <f>IF(Table1[[#This Row],[وسيلة الدفع]]="تحويل",1,0)</f>
        <v>0</v>
      </c>
      <c r="Q2231">
        <f>IF(Table1[[#This Row],[حضر التهيئة]]="نعم",1,0)</f>
        <v>1</v>
      </c>
      <c r="R2231">
        <f>IF(Table1[[#This Row],[دورة الفوترة]]="شهري",1,0)</f>
        <v>1</v>
      </c>
    </row>
    <row r="2232" spans="1:18" x14ac:dyDescent="0.25">
      <c r="A2232" t="s">
        <v>2252</v>
      </c>
      <c r="B2232" s="1">
        <v>45969</v>
      </c>
      <c r="C2232" t="s">
        <v>13</v>
      </c>
      <c r="D2232">
        <v>89</v>
      </c>
      <c r="E2232" t="s">
        <v>20</v>
      </c>
      <c r="F2232">
        <v>1</v>
      </c>
      <c r="G2232" t="s">
        <v>15</v>
      </c>
      <c r="H2232">
        <v>2</v>
      </c>
      <c r="I2232">
        <v>13</v>
      </c>
      <c r="J2232">
        <v>0</v>
      </c>
      <c r="K2232" t="s">
        <v>17</v>
      </c>
      <c r="L2232" t="s">
        <v>17</v>
      </c>
      <c r="M2232">
        <f>IF(Table1[[#This Row],[ألغى الاشتراك]]="نعم",1,0)</f>
        <v>0</v>
      </c>
      <c r="N2232">
        <f>IF(Table1[[#This Row],[وسيلة الدفع]]="بطاقة",1,0)</f>
        <v>1</v>
      </c>
      <c r="O2232">
        <f>IF(Table1[[#This Row],[وسيلة الدفع]]="محفظة",1,0)</f>
        <v>0</v>
      </c>
      <c r="P2232">
        <f>IF(Table1[[#This Row],[وسيلة الدفع]]="تحويل",1,0)</f>
        <v>0</v>
      </c>
      <c r="Q2232">
        <f>IF(Table1[[#This Row],[حضر التهيئة]]="نعم",1,0)</f>
        <v>0</v>
      </c>
      <c r="R2232">
        <f>IF(Table1[[#This Row],[دورة الفوترة]]="شهري",1,0)</f>
        <v>0</v>
      </c>
    </row>
    <row r="2233" spans="1:18" x14ac:dyDescent="0.25">
      <c r="A2233" t="s">
        <v>2253</v>
      </c>
      <c r="B2233" s="1">
        <v>45403</v>
      </c>
      <c r="C2233" t="s">
        <v>28</v>
      </c>
      <c r="D2233">
        <v>39</v>
      </c>
      <c r="E2233" t="s">
        <v>14</v>
      </c>
      <c r="F2233">
        <v>10</v>
      </c>
      <c r="G2233" t="s">
        <v>21</v>
      </c>
      <c r="H2233">
        <v>2</v>
      </c>
      <c r="I2233">
        <v>44</v>
      </c>
      <c r="J2233">
        <v>0</v>
      </c>
      <c r="K2233" t="s">
        <v>17</v>
      </c>
      <c r="L2233" t="s">
        <v>17</v>
      </c>
      <c r="M2233">
        <f>IF(Table1[[#This Row],[ألغى الاشتراك]]="نعم",1,0)</f>
        <v>0</v>
      </c>
      <c r="N2233">
        <f>IF(Table1[[#This Row],[وسيلة الدفع]]="بطاقة",1,0)</f>
        <v>0</v>
      </c>
      <c r="O2233">
        <f>IF(Table1[[#This Row],[وسيلة الدفع]]="محفظة",1,0)</f>
        <v>1</v>
      </c>
      <c r="P2233">
        <f>IF(Table1[[#This Row],[وسيلة الدفع]]="تحويل",1,0)</f>
        <v>0</v>
      </c>
      <c r="Q2233">
        <f>IF(Table1[[#This Row],[حضر التهيئة]]="نعم",1,0)</f>
        <v>0</v>
      </c>
      <c r="R2233">
        <f>IF(Table1[[#This Row],[دورة الفوترة]]="شهري",1,0)</f>
        <v>1</v>
      </c>
    </row>
    <row r="2234" spans="1:18" x14ac:dyDescent="0.25">
      <c r="A2234" t="s">
        <v>2254</v>
      </c>
      <c r="B2234" s="1">
        <v>45799</v>
      </c>
      <c r="C2234" t="s">
        <v>19</v>
      </c>
      <c r="D2234">
        <v>189</v>
      </c>
      <c r="E2234" t="s">
        <v>20</v>
      </c>
      <c r="F2234">
        <v>3</v>
      </c>
      <c r="G2234" t="s">
        <v>21</v>
      </c>
      <c r="H2234">
        <v>2</v>
      </c>
      <c r="I2234">
        <v>9</v>
      </c>
      <c r="J2234">
        <v>0</v>
      </c>
      <c r="K2234" t="s">
        <v>17</v>
      </c>
      <c r="L2234" t="s">
        <v>17</v>
      </c>
      <c r="M2234">
        <f>IF(Table1[[#This Row],[ألغى الاشتراك]]="نعم",1,0)</f>
        <v>0</v>
      </c>
      <c r="N2234">
        <f>IF(Table1[[#This Row],[وسيلة الدفع]]="بطاقة",1,0)</f>
        <v>0</v>
      </c>
      <c r="O2234">
        <f>IF(Table1[[#This Row],[وسيلة الدفع]]="محفظة",1,0)</f>
        <v>1</v>
      </c>
      <c r="P2234">
        <f>IF(Table1[[#This Row],[وسيلة الدفع]]="تحويل",1,0)</f>
        <v>0</v>
      </c>
      <c r="Q2234">
        <f>IF(Table1[[#This Row],[حضر التهيئة]]="نعم",1,0)</f>
        <v>0</v>
      </c>
      <c r="R2234">
        <f>IF(Table1[[#This Row],[دورة الفوترة]]="شهري",1,0)</f>
        <v>0</v>
      </c>
    </row>
    <row r="2235" spans="1:18" x14ac:dyDescent="0.25">
      <c r="A2235" t="s">
        <v>2255</v>
      </c>
      <c r="B2235" s="1">
        <v>45965</v>
      </c>
      <c r="C2235" t="s">
        <v>28</v>
      </c>
      <c r="D2235">
        <v>39</v>
      </c>
      <c r="E2235" t="s">
        <v>14</v>
      </c>
      <c r="F2235">
        <v>8</v>
      </c>
      <c r="G2235" t="s">
        <v>23</v>
      </c>
      <c r="H2235">
        <v>1</v>
      </c>
      <c r="I2235">
        <v>10</v>
      </c>
      <c r="J2235">
        <v>15</v>
      </c>
      <c r="K2235" t="s">
        <v>17</v>
      </c>
      <c r="L2235" t="s">
        <v>17</v>
      </c>
      <c r="M2235">
        <f>IF(Table1[[#This Row],[ألغى الاشتراك]]="نعم",1,0)</f>
        <v>0</v>
      </c>
      <c r="N2235">
        <f>IF(Table1[[#This Row],[وسيلة الدفع]]="بطاقة",1,0)</f>
        <v>0</v>
      </c>
      <c r="O2235">
        <f>IF(Table1[[#This Row],[وسيلة الدفع]]="محفظة",1,0)</f>
        <v>0</v>
      </c>
      <c r="P2235">
        <f>IF(Table1[[#This Row],[وسيلة الدفع]]="تحويل",1,0)</f>
        <v>1</v>
      </c>
      <c r="Q2235">
        <f>IF(Table1[[#This Row],[حضر التهيئة]]="نعم",1,0)</f>
        <v>0</v>
      </c>
      <c r="R2235">
        <f>IF(Table1[[#This Row],[دورة الفوترة]]="شهري",1,0)</f>
        <v>1</v>
      </c>
    </row>
    <row r="2236" spans="1:18" x14ac:dyDescent="0.25">
      <c r="A2236" t="s">
        <v>2256</v>
      </c>
      <c r="B2236" s="1">
        <v>45399</v>
      </c>
      <c r="C2236" t="s">
        <v>13</v>
      </c>
      <c r="D2236">
        <v>89</v>
      </c>
      <c r="E2236" t="s">
        <v>14</v>
      </c>
      <c r="F2236">
        <v>30</v>
      </c>
      <c r="G2236" t="s">
        <v>23</v>
      </c>
      <c r="H2236">
        <v>11</v>
      </c>
      <c r="I2236">
        <v>28</v>
      </c>
      <c r="J2236">
        <v>0</v>
      </c>
      <c r="K2236" t="s">
        <v>16</v>
      </c>
      <c r="L2236" t="s">
        <v>17</v>
      </c>
      <c r="M2236">
        <f>IF(Table1[[#This Row],[ألغى الاشتراك]]="نعم",1,0)</f>
        <v>0</v>
      </c>
      <c r="N2236">
        <f>IF(Table1[[#This Row],[وسيلة الدفع]]="بطاقة",1,0)</f>
        <v>0</v>
      </c>
      <c r="O2236">
        <f>IF(Table1[[#This Row],[وسيلة الدفع]]="محفظة",1,0)</f>
        <v>0</v>
      </c>
      <c r="P2236">
        <f>IF(Table1[[#This Row],[وسيلة الدفع]]="تحويل",1,0)</f>
        <v>1</v>
      </c>
      <c r="Q2236">
        <f>IF(Table1[[#This Row],[حضر التهيئة]]="نعم",1,0)</f>
        <v>1</v>
      </c>
      <c r="R2236">
        <f>IF(Table1[[#This Row],[دورة الفوترة]]="شهري",1,0)</f>
        <v>1</v>
      </c>
    </row>
    <row r="2237" spans="1:18" x14ac:dyDescent="0.25">
      <c r="A2237" t="s">
        <v>2257</v>
      </c>
      <c r="B2237" s="1">
        <v>45902</v>
      </c>
      <c r="C2237" t="s">
        <v>13</v>
      </c>
      <c r="D2237">
        <v>89</v>
      </c>
      <c r="E2237" t="s">
        <v>14</v>
      </c>
      <c r="F2237">
        <v>29</v>
      </c>
      <c r="G2237" t="s">
        <v>15</v>
      </c>
      <c r="H2237">
        <v>3</v>
      </c>
      <c r="I2237">
        <v>33</v>
      </c>
      <c r="J2237">
        <v>0</v>
      </c>
      <c r="K2237" t="s">
        <v>17</v>
      </c>
      <c r="L2237" t="s">
        <v>17</v>
      </c>
      <c r="M2237">
        <f>IF(Table1[[#This Row],[ألغى الاشتراك]]="نعم",1,0)</f>
        <v>0</v>
      </c>
      <c r="N2237">
        <f>IF(Table1[[#This Row],[وسيلة الدفع]]="بطاقة",1,0)</f>
        <v>1</v>
      </c>
      <c r="O2237">
        <f>IF(Table1[[#This Row],[وسيلة الدفع]]="محفظة",1,0)</f>
        <v>0</v>
      </c>
      <c r="P2237">
        <f>IF(Table1[[#This Row],[وسيلة الدفع]]="تحويل",1,0)</f>
        <v>0</v>
      </c>
      <c r="Q2237">
        <f>IF(Table1[[#This Row],[حضر التهيئة]]="نعم",1,0)</f>
        <v>0</v>
      </c>
      <c r="R2237">
        <f>IF(Table1[[#This Row],[دورة الفوترة]]="شهري",1,0)</f>
        <v>1</v>
      </c>
    </row>
    <row r="2238" spans="1:18" x14ac:dyDescent="0.25">
      <c r="A2238" t="s">
        <v>2258</v>
      </c>
      <c r="B2238" s="1">
        <v>45333</v>
      </c>
      <c r="C2238" t="s">
        <v>19</v>
      </c>
      <c r="D2238">
        <v>189</v>
      </c>
      <c r="E2238" t="s">
        <v>20</v>
      </c>
      <c r="F2238">
        <v>30</v>
      </c>
      <c r="G2238" t="s">
        <v>23</v>
      </c>
      <c r="H2238">
        <v>0</v>
      </c>
      <c r="I2238">
        <v>20</v>
      </c>
      <c r="J2238">
        <v>0</v>
      </c>
      <c r="K2238" t="s">
        <v>17</v>
      </c>
      <c r="L2238" t="s">
        <v>17</v>
      </c>
      <c r="M2238">
        <f>IF(Table1[[#This Row],[ألغى الاشتراك]]="نعم",1,0)</f>
        <v>0</v>
      </c>
      <c r="N2238">
        <f>IF(Table1[[#This Row],[وسيلة الدفع]]="بطاقة",1,0)</f>
        <v>0</v>
      </c>
      <c r="O2238">
        <f>IF(Table1[[#This Row],[وسيلة الدفع]]="محفظة",1,0)</f>
        <v>0</v>
      </c>
      <c r="P2238">
        <f>IF(Table1[[#This Row],[وسيلة الدفع]]="تحويل",1,0)</f>
        <v>1</v>
      </c>
      <c r="Q2238">
        <f>IF(Table1[[#This Row],[حضر التهيئة]]="نعم",1,0)</f>
        <v>0</v>
      </c>
      <c r="R2238">
        <f>IF(Table1[[#This Row],[دورة الفوترة]]="شهري",1,0)</f>
        <v>0</v>
      </c>
    </row>
    <row r="2239" spans="1:18" x14ac:dyDescent="0.25">
      <c r="A2239" t="s">
        <v>2259</v>
      </c>
      <c r="B2239" s="1">
        <v>45744</v>
      </c>
      <c r="C2239" t="s">
        <v>28</v>
      </c>
      <c r="D2239">
        <v>39</v>
      </c>
      <c r="E2239" t="s">
        <v>20</v>
      </c>
      <c r="F2239">
        <v>17</v>
      </c>
      <c r="G2239" t="s">
        <v>15</v>
      </c>
      <c r="H2239">
        <v>2</v>
      </c>
      <c r="I2239">
        <v>51</v>
      </c>
      <c r="J2239">
        <v>0</v>
      </c>
      <c r="K2239" t="s">
        <v>16</v>
      </c>
      <c r="L2239" t="s">
        <v>17</v>
      </c>
      <c r="M2239">
        <f>IF(Table1[[#This Row],[ألغى الاشتراك]]="نعم",1,0)</f>
        <v>0</v>
      </c>
      <c r="N2239">
        <f>IF(Table1[[#This Row],[وسيلة الدفع]]="بطاقة",1,0)</f>
        <v>1</v>
      </c>
      <c r="O2239">
        <f>IF(Table1[[#This Row],[وسيلة الدفع]]="محفظة",1,0)</f>
        <v>0</v>
      </c>
      <c r="P2239">
        <f>IF(Table1[[#This Row],[وسيلة الدفع]]="تحويل",1,0)</f>
        <v>0</v>
      </c>
      <c r="Q2239">
        <f>IF(Table1[[#This Row],[حضر التهيئة]]="نعم",1,0)</f>
        <v>1</v>
      </c>
      <c r="R2239">
        <f>IF(Table1[[#This Row],[دورة الفوترة]]="شهري",1,0)</f>
        <v>0</v>
      </c>
    </row>
    <row r="2240" spans="1:18" x14ac:dyDescent="0.25">
      <c r="A2240" t="s">
        <v>2260</v>
      </c>
      <c r="B2240" s="1">
        <v>45631</v>
      </c>
      <c r="C2240" t="s">
        <v>13</v>
      </c>
      <c r="D2240">
        <v>89</v>
      </c>
      <c r="E2240" t="s">
        <v>14</v>
      </c>
      <c r="F2240">
        <v>6</v>
      </c>
      <c r="G2240" t="s">
        <v>21</v>
      </c>
      <c r="H2240">
        <v>0</v>
      </c>
      <c r="I2240">
        <v>34</v>
      </c>
      <c r="J2240">
        <v>0</v>
      </c>
      <c r="K2240" t="s">
        <v>16</v>
      </c>
      <c r="L2240" t="s">
        <v>17</v>
      </c>
      <c r="M2240">
        <f>IF(Table1[[#This Row],[ألغى الاشتراك]]="نعم",1,0)</f>
        <v>0</v>
      </c>
      <c r="N2240">
        <f>IF(Table1[[#This Row],[وسيلة الدفع]]="بطاقة",1,0)</f>
        <v>0</v>
      </c>
      <c r="O2240">
        <f>IF(Table1[[#This Row],[وسيلة الدفع]]="محفظة",1,0)</f>
        <v>1</v>
      </c>
      <c r="P2240">
        <f>IF(Table1[[#This Row],[وسيلة الدفع]]="تحويل",1,0)</f>
        <v>0</v>
      </c>
      <c r="Q2240">
        <f>IF(Table1[[#This Row],[حضر التهيئة]]="نعم",1,0)</f>
        <v>1</v>
      </c>
      <c r="R2240">
        <f>IF(Table1[[#This Row],[دورة الفوترة]]="شهري",1,0)</f>
        <v>1</v>
      </c>
    </row>
    <row r="2241" spans="1:18" x14ac:dyDescent="0.25">
      <c r="A2241" t="s">
        <v>2261</v>
      </c>
      <c r="B2241" s="1">
        <v>45663</v>
      </c>
      <c r="C2241" t="s">
        <v>13</v>
      </c>
      <c r="D2241">
        <v>89</v>
      </c>
      <c r="E2241" t="s">
        <v>20</v>
      </c>
      <c r="F2241">
        <v>17</v>
      </c>
      <c r="G2241" t="s">
        <v>23</v>
      </c>
      <c r="H2241">
        <v>0</v>
      </c>
      <c r="I2241">
        <v>33</v>
      </c>
      <c r="J2241">
        <v>0</v>
      </c>
      <c r="K2241" t="s">
        <v>17</v>
      </c>
      <c r="L2241" t="s">
        <v>17</v>
      </c>
      <c r="M2241">
        <f>IF(Table1[[#This Row],[ألغى الاشتراك]]="نعم",1,0)</f>
        <v>0</v>
      </c>
      <c r="N2241">
        <f>IF(Table1[[#This Row],[وسيلة الدفع]]="بطاقة",1,0)</f>
        <v>0</v>
      </c>
      <c r="O2241">
        <f>IF(Table1[[#This Row],[وسيلة الدفع]]="محفظة",1,0)</f>
        <v>0</v>
      </c>
      <c r="P2241">
        <f>IF(Table1[[#This Row],[وسيلة الدفع]]="تحويل",1,0)</f>
        <v>1</v>
      </c>
      <c r="Q2241">
        <f>IF(Table1[[#This Row],[حضر التهيئة]]="نعم",1,0)</f>
        <v>0</v>
      </c>
      <c r="R2241">
        <f>IF(Table1[[#This Row],[دورة الفوترة]]="شهري",1,0)</f>
        <v>0</v>
      </c>
    </row>
    <row r="2242" spans="1:18" x14ac:dyDescent="0.25">
      <c r="A2242" t="s">
        <v>2262</v>
      </c>
      <c r="B2242" s="1">
        <v>45470</v>
      </c>
      <c r="C2242" t="s">
        <v>28</v>
      </c>
      <c r="D2242">
        <v>39</v>
      </c>
      <c r="E2242" t="s">
        <v>20</v>
      </c>
      <c r="F2242">
        <v>18</v>
      </c>
      <c r="G2242" t="s">
        <v>23</v>
      </c>
      <c r="H2242">
        <v>6</v>
      </c>
      <c r="I2242">
        <v>12</v>
      </c>
      <c r="J2242">
        <v>0</v>
      </c>
      <c r="K2242" t="s">
        <v>16</v>
      </c>
      <c r="L2242" t="s">
        <v>16</v>
      </c>
      <c r="M2242">
        <f>IF(Table1[[#This Row],[ألغى الاشتراك]]="نعم",1,0)</f>
        <v>1</v>
      </c>
      <c r="N2242">
        <f>IF(Table1[[#This Row],[وسيلة الدفع]]="بطاقة",1,0)</f>
        <v>0</v>
      </c>
      <c r="O2242">
        <f>IF(Table1[[#This Row],[وسيلة الدفع]]="محفظة",1,0)</f>
        <v>0</v>
      </c>
      <c r="P2242">
        <f>IF(Table1[[#This Row],[وسيلة الدفع]]="تحويل",1,0)</f>
        <v>1</v>
      </c>
      <c r="Q2242">
        <f>IF(Table1[[#This Row],[حضر التهيئة]]="نعم",1,0)</f>
        <v>1</v>
      </c>
      <c r="R2242">
        <f>IF(Table1[[#This Row],[دورة الفوترة]]="شهري",1,0)</f>
        <v>0</v>
      </c>
    </row>
    <row r="2243" spans="1:18" x14ac:dyDescent="0.25">
      <c r="A2243" t="s">
        <v>2263</v>
      </c>
      <c r="B2243" s="1">
        <v>45985</v>
      </c>
      <c r="C2243" t="s">
        <v>19</v>
      </c>
      <c r="D2243">
        <v>189</v>
      </c>
      <c r="E2243" t="s">
        <v>14</v>
      </c>
      <c r="F2243">
        <v>23</v>
      </c>
      <c r="G2243" t="s">
        <v>15</v>
      </c>
      <c r="H2243">
        <v>1</v>
      </c>
      <c r="I2243">
        <v>59</v>
      </c>
      <c r="J2243">
        <v>0</v>
      </c>
      <c r="K2243" t="s">
        <v>17</v>
      </c>
      <c r="L2243" t="s">
        <v>17</v>
      </c>
      <c r="M2243">
        <f>IF(Table1[[#This Row],[ألغى الاشتراك]]="نعم",1,0)</f>
        <v>0</v>
      </c>
      <c r="N2243">
        <f>IF(Table1[[#This Row],[وسيلة الدفع]]="بطاقة",1,0)</f>
        <v>1</v>
      </c>
      <c r="O2243">
        <f>IF(Table1[[#This Row],[وسيلة الدفع]]="محفظة",1,0)</f>
        <v>0</v>
      </c>
      <c r="P2243">
        <f>IF(Table1[[#This Row],[وسيلة الدفع]]="تحويل",1,0)</f>
        <v>0</v>
      </c>
      <c r="Q2243">
        <f>IF(Table1[[#This Row],[حضر التهيئة]]="نعم",1,0)</f>
        <v>0</v>
      </c>
      <c r="R2243">
        <f>IF(Table1[[#This Row],[دورة الفوترة]]="شهري",1,0)</f>
        <v>1</v>
      </c>
    </row>
    <row r="2244" spans="1:18" x14ac:dyDescent="0.25">
      <c r="A2244" t="s">
        <v>2264</v>
      </c>
      <c r="B2244" s="1">
        <v>45517</v>
      </c>
      <c r="C2244" t="s">
        <v>19</v>
      </c>
      <c r="D2244">
        <v>189</v>
      </c>
      <c r="E2244" t="s">
        <v>20</v>
      </c>
      <c r="F2244">
        <v>24</v>
      </c>
      <c r="G2244" t="s">
        <v>15</v>
      </c>
      <c r="H2244">
        <v>2</v>
      </c>
      <c r="I2244">
        <v>2</v>
      </c>
      <c r="J2244">
        <v>0</v>
      </c>
      <c r="K2244" t="s">
        <v>16</v>
      </c>
      <c r="L2244" t="s">
        <v>17</v>
      </c>
      <c r="M2244">
        <f>IF(Table1[[#This Row],[ألغى الاشتراك]]="نعم",1,0)</f>
        <v>0</v>
      </c>
      <c r="N2244">
        <f>IF(Table1[[#This Row],[وسيلة الدفع]]="بطاقة",1,0)</f>
        <v>1</v>
      </c>
      <c r="O2244">
        <f>IF(Table1[[#This Row],[وسيلة الدفع]]="محفظة",1,0)</f>
        <v>0</v>
      </c>
      <c r="P2244">
        <f>IF(Table1[[#This Row],[وسيلة الدفع]]="تحويل",1,0)</f>
        <v>0</v>
      </c>
      <c r="Q2244">
        <f>IF(Table1[[#This Row],[حضر التهيئة]]="نعم",1,0)</f>
        <v>1</v>
      </c>
      <c r="R2244">
        <f>IF(Table1[[#This Row],[دورة الفوترة]]="شهري",1,0)</f>
        <v>0</v>
      </c>
    </row>
    <row r="2245" spans="1:18" x14ac:dyDescent="0.25">
      <c r="A2245" t="s">
        <v>2265</v>
      </c>
      <c r="B2245" s="1">
        <v>45580</v>
      </c>
      <c r="C2245" t="s">
        <v>19</v>
      </c>
      <c r="D2245">
        <v>189</v>
      </c>
      <c r="E2245" t="s">
        <v>20</v>
      </c>
      <c r="F2245">
        <v>5</v>
      </c>
      <c r="G2245" t="s">
        <v>23</v>
      </c>
      <c r="H2245">
        <v>9</v>
      </c>
      <c r="I2245">
        <v>57</v>
      </c>
      <c r="J2245">
        <v>10</v>
      </c>
      <c r="K2245" t="s">
        <v>17</v>
      </c>
      <c r="L2245" t="s">
        <v>17</v>
      </c>
      <c r="M2245">
        <f>IF(Table1[[#This Row],[ألغى الاشتراك]]="نعم",1,0)</f>
        <v>0</v>
      </c>
      <c r="N2245">
        <f>IF(Table1[[#This Row],[وسيلة الدفع]]="بطاقة",1,0)</f>
        <v>0</v>
      </c>
      <c r="O2245">
        <f>IF(Table1[[#This Row],[وسيلة الدفع]]="محفظة",1,0)</f>
        <v>0</v>
      </c>
      <c r="P2245">
        <f>IF(Table1[[#This Row],[وسيلة الدفع]]="تحويل",1,0)</f>
        <v>1</v>
      </c>
      <c r="Q2245">
        <f>IF(Table1[[#This Row],[حضر التهيئة]]="نعم",1,0)</f>
        <v>0</v>
      </c>
      <c r="R2245">
        <f>IF(Table1[[#This Row],[دورة الفوترة]]="شهري",1,0)</f>
        <v>0</v>
      </c>
    </row>
    <row r="2246" spans="1:18" x14ac:dyDescent="0.25">
      <c r="A2246" t="s">
        <v>2266</v>
      </c>
      <c r="B2246" s="1">
        <v>45850</v>
      </c>
      <c r="C2246" t="s">
        <v>19</v>
      </c>
      <c r="D2246">
        <v>189</v>
      </c>
      <c r="E2246" t="s">
        <v>14</v>
      </c>
      <c r="F2246">
        <v>21</v>
      </c>
      <c r="G2246" t="s">
        <v>21</v>
      </c>
      <c r="H2246">
        <v>1</v>
      </c>
      <c r="I2246">
        <v>7</v>
      </c>
      <c r="J2246">
        <v>0</v>
      </c>
      <c r="K2246" t="s">
        <v>17</v>
      </c>
      <c r="L2246" t="s">
        <v>17</v>
      </c>
      <c r="M2246">
        <f>IF(Table1[[#This Row],[ألغى الاشتراك]]="نعم",1,0)</f>
        <v>0</v>
      </c>
      <c r="N2246">
        <f>IF(Table1[[#This Row],[وسيلة الدفع]]="بطاقة",1,0)</f>
        <v>0</v>
      </c>
      <c r="O2246">
        <f>IF(Table1[[#This Row],[وسيلة الدفع]]="محفظة",1,0)</f>
        <v>1</v>
      </c>
      <c r="P2246">
        <f>IF(Table1[[#This Row],[وسيلة الدفع]]="تحويل",1,0)</f>
        <v>0</v>
      </c>
      <c r="Q2246">
        <f>IF(Table1[[#This Row],[حضر التهيئة]]="نعم",1,0)</f>
        <v>0</v>
      </c>
      <c r="R2246">
        <f>IF(Table1[[#This Row],[دورة الفوترة]]="شهري",1,0)</f>
        <v>1</v>
      </c>
    </row>
    <row r="2247" spans="1:18" x14ac:dyDescent="0.25">
      <c r="A2247" t="s">
        <v>2267</v>
      </c>
      <c r="B2247" s="1">
        <v>45513</v>
      </c>
      <c r="C2247" t="s">
        <v>19</v>
      </c>
      <c r="D2247">
        <v>189</v>
      </c>
      <c r="E2247" t="s">
        <v>14</v>
      </c>
      <c r="F2247">
        <v>10</v>
      </c>
      <c r="G2247" t="s">
        <v>23</v>
      </c>
      <c r="H2247">
        <v>0</v>
      </c>
      <c r="I2247">
        <v>58</v>
      </c>
      <c r="J2247">
        <v>0</v>
      </c>
      <c r="K2247" t="s">
        <v>16</v>
      </c>
      <c r="L2247" t="s">
        <v>17</v>
      </c>
      <c r="M2247">
        <f>IF(Table1[[#This Row],[ألغى الاشتراك]]="نعم",1,0)</f>
        <v>0</v>
      </c>
      <c r="N2247">
        <f>IF(Table1[[#This Row],[وسيلة الدفع]]="بطاقة",1,0)</f>
        <v>0</v>
      </c>
      <c r="O2247">
        <f>IF(Table1[[#This Row],[وسيلة الدفع]]="محفظة",1,0)</f>
        <v>0</v>
      </c>
      <c r="P2247">
        <f>IF(Table1[[#This Row],[وسيلة الدفع]]="تحويل",1,0)</f>
        <v>1</v>
      </c>
      <c r="Q2247">
        <f>IF(Table1[[#This Row],[حضر التهيئة]]="نعم",1,0)</f>
        <v>1</v>
      </c>
      <c r="R2247">
        <f>IF(Table1[[#This Row],[دورة الفوترة]]="شهري",1,0)</f>
        <v>1</v>
      </c>
    </row>
    <row r="2248" spans="1:18" x14ac:dyDescent="0.25">
      <c r="A2248" t="s">
        <v>2268</v>
      </c>
      <c r="B2248" s="1">
        <v>45779</v>
      </c>
      <c r="C2248" t="s">
        <v>28</v>
      </c>
      <c r="D2248">
        <v>39</v>
      </c>
      <c r="E2248" t="s">
        <v>14</v>
      </c>
      <c r="F2248">
        <v>21</v>
      </c>
      <c r="G2248" t="s">
        <v>21</v>
      </c>
      <c r="H2248">
        <v>0</v>
      </c>
      <c r="I2248">
        <v>15</v>
      </c>
      <c r="J2248">
        <v>0</v>
      </c>
      <c r="K2248" t="s">
        <v>16</v>
      </c>
      <c r="L2248" t="s">
        <v>17</v>
      </c>
      <c r="M2248">
        <f>IF(Table1[[#This Row],[ألغى الاشتراك]]="نعم",1,0)</f>
        <v>0</v>
      </c>
      <c r="N2248">
        <f>IF(Table1[[#This Row],[وسيلة الدفع]]="بطاقة",1,0)</f>
        <v>0</v>
      </c>
      <c r="O2248">
        <f>IF(Table1[[#This Row],[وسيلة الدفع]]="محفظة",1,0)</f>
        <v>1</v>
      </c>
      <c r="P2248">
        <f>IF(Table1[[#This Row],[وسيلة الدفع]]="تحويل",1,0)</f>
        <v>0</v>
      </c>
      <c r="Q2248">
        <f>IF(Table1[[#This Row],[حضر التهيئة]]="نعم",1,0)</f>
        <v>1</v>
      </c>
      <c r="R2248">
        <f>IF(Table1[[#This Row],[دورة الفوترة]]="شهري",1,0)</f>
        <v>1</v>
      </c>
    </row>
    <row r="2249" spans="1:18" x14ac:dyDescent="0.25">
      <c r="A2249" t="s">
        <v>2269</v>
      </c>
      <c r="B2249" s="1">
        <v>45454</v>
      </c>
      <c r="C2249" t="s">
        <v>19</v>
      </c>
      <c r="D2249">
        <v>189</v>
      </c>
      <c r="E2249" t="s">
        <v>20</v>
      </c>
      <c r="F2249">
        <v>20</v>
      </c>
      <c r="G2249" t="s">
        <v>21</v>
      </c>
      <c r="H2249">
        <v>1</v>
      </c>
      <c r="I2249">
        <v>18</v>
      </c>
      <c r="J2249">
        <v>0</v>
      </c>
      <c r="K2249" t="s">
        <v>17</v>
      </c>
      <c r="L2249" t="s">
        <v>17</v>
      </c>
      <c r="M2249">
        <f>IF(Table1[[#This Row],[ألغى الاشتراك]]="نعم",1,0)</f>
        <v>0</v>
      </c>
      <c r="N2249">
        <f>IF(Table1[[#This Row],[وسيلة الدفع]]="بطاقة",1,0)</f>
        <v>0</v>
      </c>
      <c r="O2249">
        <f>IF(Table1[[#This Row],[وسيلة الدفع]]="محفظة",1,0)</f>
        <v>1</v>
      </c>
      <c r="P2249">
        <f>IF(Table1[[#This Row],[وسيلة الدفع]]="تحويل",1,0)</f>
        <v>0</v>
      </c>
      <c r="Q2249">
        <f>IF(Table1[[#This Row],[حضر التهيئة]]="نعم",1,0)</f>
        <v>0</v>
      </c>
      <c r="R2249">
        <f>IF(Table1[[#This Row],[دورة الفوترة]]="شهري",1,0)</f>
        <v>0</v>
      </c>
    </row>
    <row r="2250" spans="1:18" x14ac:dyDescent="0.25">
      <c r="A2250" t="s">
        <v>2270</v>
      </c>
      <c r="B2250" s="1">
        <v>45513</v>
      </c>
      <c r="C2250" t="s">
        <v>13</v>
      </c>
      <c r="D2250">
        <v>89</v>
      </c>
      <c r="E2250" t="s">
        <v>14</v>
      </c>
      <c r="F2250">
        <v>5</v>
      </c>
      <c r="G2250" t="s">
        <v>15</v>
      </c>
      <c r="H2250">
        <v>1</v>
      </c>
      <c r="I2250">
        <v>17</v>
      </c>
      <c r="J2250">
        <v>25</v>
      </c>
      <c r="K2250" t="s">
        <v>17</v>
      </c>
      <c r="L2250" t="s">
        <v>17</v>
      </c>
      <c r="M2250">
        <f>IF(Table1[[#This Row],[ألغى الاشتراك]]="نعم",1,0)</f>
        <v>0</v>
      </c>
      <c r="N2250">
        <f>IF(Table1[[#This Row],[وسيلة الدفع]]="بطاقة",1,0)</f>
        <v>1</v>
      </c>
      <c r="O2250">
        <f>IF(Table1[[#This Row],[وسيلة الدفع]]="محفظة",1,0)</f>
        <v>0</v>
      </c>
      <c r="P2250">
        <f>IF(Table1[[#This Row],[وسيلة الدفع]]="تحويل",1,0)</f>
        <v>0</v>
      </c>
      <c r="Q2250">
        <f>IF(Table1[[#This Row],[حضر التهيئة]]="نعم",1,0)</f>
        <v>0</v>
      </c>
      <c r="R2250">
        <f>IF(Table1[[#This Row],[دورة الفوترة]]="شهري",1,0)</f>
        <v>1</v>
      </c>
    </row>
    <row r="2251" spans="1:18" x14ac:dyDescent="0.25">
      <c r="A2251" t="s">
        <v>2271</v>
      </c>
      <c r="B2251" s="1">
        <v>45914</v>
      </c>
      <c r="C2251" t="s">
        <v>19</v>
      </c>
      <c r="D2251">
        <v>189</v>
      </c>
      <c r="E2251" t="s">
        <v>14</v>
      </c>
      <c r="F2251">
        <v>23</v>
      </c>
      <c r="G2251" t="s">
        <v>21</v>
      </c>
      <c r="H2251">
        <v>0</v>
      </c>
      <c r="I2251">
        <v>53</v>
      </c>
      <c r="J2251">
        <v>0</v>
      </c>
      <c r="K2251" t="s">
        <v>17</v>
      </c>
      <c r="L2251" t="s">
        <v>17</v>
      </c>
      <c r="M2251">
        <f>IF(Table1[[#This Row],[ألغى الاشتراك]]="نعم",1,0)</f>
        <v>0</v>
      </c>
      <c r="N2251">
        <f>IF(Table1[[#This Row],[وسيلة الدفع]]="بطاقة",1,0)</f>
        <v>0</v>
      </c>
      <c r="O2251">
        <f>IF(Table1[[#This Row],[وسيلة الدفع]]="محفظة",1,0)</f>
        <v>1</v>
      </c>
      <c r="P2251">
        <f>IF(Table1[[#This Row],[وسيلة الدفع]]="تحويل",1,0)</f>
        <v>0</v>
      </c>
      <c r="Q2251">
        <f>IF(Table1[[#This Row],[حضر التهيئة]]="نعم",1,0)</f>
        <v>0</v>
      </c>
      <c r="R2251">
        <f>IF(Table1[[#This Row],[دورة الفوترة]]="شهري",1,0)</f>
        <v>1</v>
      </c>
    </row>
    <row r="2252" spans="1:18" x14ac:dyDescent="0.25">
      <c r="A2252" t="s">
        <v>2272</v>
      </c>
      <c r="B2252" s="1">
        <v>45985</v>
      </c>
      <c r="C2252" t="s">
        <v>28</v>
      </c>
      <c r="D2252">
        <v>39</v>
      </c>
      <c r="E2252" t="s">
        <v>20</v>
      </c>
      <c r="F2252">
        <v>10</v>
      </c>
      <c r="G2252" t="s">
        <v>15</v>
      </c>
      <c r="H2252">
        <v>11</v>
      </c>
      <c r="I2252">
        <v>10</v>
      </c>
      <c r="J2252">
        <v>15</v>
      </c>
      <c r="K2252" t="s">
        <v>16</v>
      </c>
      <c r="L2252" t="s">
        <v>16</v>
      </c>
      <c r="M2252">
        <f>IF(Table1[[#This Row],[ألغى الاشتراك]]="نعم",1,0)</f>
        <v>1</v>
      </c>
      <c r="N2252">
        <f>IF(Table1[[#This Row],[وسيلة الدفع]]="بطاقة",1,0)</f>
        <v>1</v>
      </c>
      <c r="O2252">
        <f>IF(Table1[[#This Row],[وسيلة الدفع]]="محفظة",1,0)</f>
        <v>0</v>
      </c>
      <c r="P2252">
        <f>IF(Table1[[#This Row],[وسيلة الدفع]]="تحويل",1,0)</f>
        <v>0</v>
      </c>
      <c r="Q2252">
        <f>IF(Table1[[#This Row],[حضر التهيئة]]="نعم",1,0)</f>
        <v>1</v>
      </c>
      <c r="R2252">
        <f>IF(Table1[[#This Row],[دورة الفوترة]]="شهري",1,0)</f>
        <v>0</v>
      </c>
    </row>
    <row r="2253" spans="1:18" x14ac:dyDescent="0.25">
      <c r="A2253" t="s">
        <v>2273</v>
      </c>
      <c r="B2253" s="1">
        <v>45517</v>
      </c>
      <c r="C2253" t="s">
        <v>13</v>
      </c>
      <c r="D2253">
        <v>89</v>
      </c>
      <c r="E2253" t="s">
        <v>14</v>
      </c>
      <c r="F2253">
        <v>8</v>
      </c>
      <c r="G2253" t="s">
        <v>15</v>
      </c>
      <c r="H2253">
        <v>0</v>
      </c>
      <c r="I2253">
        <v>44</v>
      </c>
      <c r="J2253">
        <v>0</v>
      </c>
      <c r="K2253" t="s">
        <v>17</v>
      </c>
      <c r="L2253" t="s">
        <v>17</v>
      </c>
      <c r="M2253">
        <f>IF(Table1[[#This Row],[ألغى الاشتراك]]="نعم",1,0)</f>
        <v>0</v>
      </c>
      <c r="N2253">
        <f>IF(Table1[[#This Row],[وسيلة الدفع]]="بطاقة",1,0)</f>
        <v>1</v>
      </c>
      <c r="O2253">
        <f>IF(Table1[[#This Row],[وسيلة الدفع]]="محفظة",1,0)</f>
        <v>0</v>
      </c>
      <c r="P2253">
        <f>IF(Table1[[#This Row],[وسيلة الدفع]]="تحويل",1,0)</f>
        <v>0</v>
      </c>
      <c r="Q2253">
        <f>IF(Table1[[#This Row],[حضر التهيئة]]="نعم",1,0)</f>
        <v>0</v>
      </c>
      <c r="R2253">
        <f>IF(Table1[[#This Row],[دورة الفوترة]]="شهري",1,0)</f>
        <v>1</v>
      </c>
    </row>
    <row r="2254" spans="1:18" x14ac:dyDescent="0.25">
      <c r="A2254" t="s">
        <v>2274</v>
      </c>
      <c r="B2254" s="1">
        <v>45683</v>
      </c>
      <c r="C2254" t="s">
        <v>28</v>
      </c>
      <c r="D2254">
        <v>39</v>
      </c>
      <c r="E2254" t="s">
        <v>14</v>
      </c>
      <c r="F2254">
        <v>9</v>
      </c>
      <c r="G2254" t="s">
        <v>21</v>
      </c>
      <c r="H2254">
        <v>3</v>
      </c>
      <c r="I2254">
        <v>23</v>
      </c>
      <c r="J2254">
        <v>0</v>
      </c>
      <c r="K2254" t="s">
        <v>17</v>
      </c>
      <c r="L2254" t="s">
        <v>17</v>
      </c>
      <c r="M2254">
        <f>IF(Table1[[#This Row],[ألغى الاشتراك]]="نعم",1,0)</f>
        <v>0</v>
      </c>
      <c r="N2254">
        <f>IF(Table1[[#This Row],[وسيلة الدفع]]="بطاقة",1,0)</f>
        <v>0</v>
      </c>
      <c r="O2254">
        <f>IF(Table1[[#This Row],[وسيلة الدفع]]="محفظة",1,0)</f>
        <v>1</v>
      </c>
      <c r="P2254">
        <f>IF(Table1[[#This Row],[وسيلة الدفع]]="تحويل",1,0)</f>
        <v>0</v>
      </c>
      <c r="Q2254">
        <f>IF(Table1[[#This Row],[حضر التهيئة]]="نعم",1,0)</f>
        <v>0</v>
      </c>
      <c r="R2254">
        <f>IF(Table1[[#This Row],[دورة الفوترة]]="شهري",1,0)</f>
        <v>1</v>
      </c>
    </row>
    <row r="2255" spans="1:18" x14ac:dyDescent="0.25">
      <c r="A2255" t="s">
        <v>2275</v>
      </c>
      <c r="B2255" s="1">
        <v>45341</v>
      </c>
      <c r="C2255" t="s">
        <v>28</v>
      </c>
      <c r="D2255">
        <v>39</v>
      </c>
      <c r="E2255" t="s">
        <v>14</v>
      </c>
      <c r="F2255">
        <v>18</v>
      </c>
      <c r="G2255" t="s">
        <v>15</v>
      </c>
      <c r="H2255">
        <v>0</v>
      </c>
      <c r="I2255">
        <v>16</v>
      </c>
      <c r="J2255">
        <v>0</v>
      </c>
      <c r="K2255" t="s">
        <v>16</v>
      </c>
      <c r="L2255" t="s">
        <v>17</v>
      </c>
      <c r="M2255">
        <f>IF(Table1[[#This Row],[ألغى الاشتراك]]="نعم",1,0)</f>
        <v>0</v>
      </c>
      <c r="N2255">
        <f>IF(Table1[[#This Row],[وسيلة الدفع]]="بطاقة",1,0)</f>
        <v>1</v>
      </c>
      <c r="O2255">
        <f>IF(Table1[[#This Row],[وسيلة الدفع]]="محفظة",1,0)</f>
        <v>0</v>
      </c>
      <c r="P2255">
        <f>IF(Table1[[#This Row],[وسيلة الدفع]]="تحويل",1,0)</f>
        <v>0</v>
      </c>
      <c r="Q2255">
        <f>IF(Table1[[#This Row],[حضر التهيئة]]="نعم",1,0)</f>
        <v>1</v>
      </c>
      <c r="R2255">
        <f>IF(Table1[[#This Row],[دورة الفوترة]]="شهري",1,0)</f>
        <v>1</v>
      </c>
    </row>
    <row r="2256" spans="1:18" x14ac:dyDescent="0.25">
      <c r="A2256" t="s">
        <v>2276</v>
      </c>
      <c r="B2256" s="1">
        <v>45521</v>
      </c>
      <c r="C2256" t="s">
        <v>28</v>
      </c>
      <c r="D2256">
        <v>39</v>
      </c>
      <c r="E2256" t="s">
        <v>14</v>
      </c>
      <c r="F2256">
        <v>5</v>
      </c>
      <c r="G2256" t="s">
        <v>15</v>
      </c>
      <c r="H2256">
        <v>1</v>
      </c>
      <c r="I2256">
        <v>37</v>
      </c>
      <c r="J2256">
        <v>25</v>
      </c>
      <c r="K2256" t="s">
        <v>17</v>
      </c>
      <c r="L2256" t="s">
        <v>17</v>
      </c>
      <c r="M2256">
        <f>IF(Table1[[#This Row],[ألغى الاشتراك]]="نعم",1,0)</f>
        <v>0</v>
      </c>
      <c r="N2256">
        <f>IF(Table1[[#This Row],[وسيلة الدفع]]="بطاقة",1,0)</f>
        <v>1</v>
      </c>
      <c r="O2256">
        <f>IF(Table1[[#This Row],[وسيلة الدفع]]="محفظة",1,0)</f>
        <v>0</v>
      </c>
      <c r="P2256">
        <f>IF(Table1[[#This Row],[وسيلة الدفع]]="تحويل",1,0)</f>
        <v>0</v>
      </c>
      <c r="Q2256">
        <f>IF(Table1[[#This Row],[حضر التهيئة]]="نعم",1,0)</f>
        <v>0</v>
      </c>
      <c r="R2256">
        <f>IF(Table1[[#This Row],[دورة الفوترة]]="شهري",1,0)</f>
        <v>1</v>
      </c>
    </row>
    <row r="2257" spans="1:18" x14ac:dyDescent="0.25">
      <c r="A2257" t="s">
        <v>2277</v>
      </c>
      <c r="B2257" s="1">
        <v>45783</v>
      </c>
      <c r="C2257" t="s">
        <v>19</v>
      </c>
      <c r="D2257">
        <v>189</v>
      </c>
      <c r="E2257" t="s">
        <v>14</v>
      </c>
      <c r="F2257">
        <v>9</v>
      </c>
      <c r="G2257" t="s">
        <v>15</v>
      </c>
      <c r="H2257">
        <v>0</v>
      </c>
      <c r="I2257">
        <v>5</v>
      </c>
      <c r="J2257">
        <v>0</v>
      </c>
      <c r="K2257" t="s">
        <v>17</v>
      </c>
      <c r="L2257" t="s">
        <v>17</v>
      </c>
      <c r="M2257">
        <f>IF(Table1[[#This Row],[ألغى الاشتراك]]="نعم",1,0)</f>
        <v>0</v>
      </c>
      <c r="N2257">
        <f>IF(Table1[[#This Row],[وسيلة الدفع]]="بطاقة",1,0)</f>
        <v>1</v>
      </c>
      <c r="O2257">
        <f>IF(Table1[[#This Row],[وسيلة الدفع]]="محفظة",1,0)</f>
        <v>0</v>
      </c>
      <c r="P2257">
        <f>IF(Table1[[#This Row],[وسيلة الدفع]]="تحويل",1,0)</f>
        <v>0</v>
      </c>
      <c r="Q2257">
        <f>IF(Table1[[#This Row],[حضر التهيئة]]="نعم",1,0)</f>
        <v>0</v>
      </c>
      <c r="R2257">
        <f>IF(Table1[[#This Row],[دورة الفوترة]]="شهري",1,0)</f>
        <v>1</v>
      </c>
    </row>
    <row r="2258" spans="1:18" x14ac:dyDescent="0.25">
      <c r="A2258" t="s">
        <v>2278</v>
      </c>
      <c r="B2258" s="1">
        <v>45728</v>
      </c>
      <c r="C2258" t="s">
        <v>19</v>
      </c>
      <c r="D2258">
        <v>189</v>
      </c>
      <c r="E2258" t="s">
        <v>20</v>
      </c>
      <c r="F2258">
        <v>20</v>
      </c>
      <c r="G2258" t="s">
        <v>21</v>
      </c>
      <c r="H2258">
        <v>0</v>
      </c>
      <c r="I2258">
        <v>40</v>
      </c>
      <c r="J2258">
        <v>15</v>
      </c>
      <c r="K2258" t="s">
        <v>16</v>
      </c>
      <c r="L2258" t="s">
        <v>17</v>
      </c>
      <c r="M2258">
        <f>IF(Table1[[#This Row],[ألغى الاشتراك]]="نعم",1,0)</f>
        <v>0</v>
      </c>
      <c r="N2258">
        <f>IF(Table1[[#This Row],[وسيلة الدفع]]="بطاقة",1,0)</f>
        <v>0</v>
      </c>
      <c r="O2258">
        <f>IF(Table1[[#This Row],[وسيلة الدفع]]="محفظة",1,0)</f>
        <v>1</v>
      </c>
      <c r="P2258">
        <f>IF(Table1[[#This Row],[وسيلة الدفع]]="تحويل",1,0)</f>
        <v>0</v>
      </c>
      <c r="Q2258">
        <f>IF(Table1[[#This Row],[حضر التهيئة]]="نعم",1,0)</f>
        <v>1</v>
      </c>
      <c r="R2258">
        <f>IF(Table1[[#This Row],[دورة الفوترة]]="شهري",1,0)</f>
        <v>0</v>
      </c>
    </row>
    <row r="2259" spans="1:18" x14ac:dyDescent="0.25">
      <c r="A2259" t="s">
        <v>2279</v>
      </c>
      <c r="B2259" s="1">
        <v>45635</v>
      </c>
      <c r="C2259" t="s">
        <v>28</v>
      </c>
      <c r="D2259">
        <v>39</v>
      </c>
      <c r="E2259" t="s">
        <v>14</v>
      </c>
      <c r="F2259">
        <v>20</v>
      </c>
      <c r="G2259" t="s">
        <v>21</v>
      </c>
      <c r="H2259">
        <v>3</v>
      </c>
      <c r="I2259">
        <v>32</v>
      </c>
      <c r="J2259">
        <v>0</v>
      </c>
      <c r="K2259" t="s">
        <v>17</v>
      </c>
      <c r="L2259" t="s">
        <v>16</v>
      </c>
      <c r="M2259">
        <f>IF(Table1[[#This Row],[ألغى الاشتراك]]="نعم",1,0)</f>
        <v>1</v>
      </c>
      <c r="N2259">
        <f>IF(Table1[[#This Row],[وسيلة الدفع]]="بطاقة",1,0)</f>
        <v>0</v>
      </c>
      <c r="O2259">
        <f>IF(Table1[[#This Row],[وسيلة الدفع]]="محفظة",1,0)</f>
        <v>1</v>
      </c>
      <c r="P2259">
        <f>IF(Table1[[#This Row],[وسيلة الدفع]]="تحويل",1,0)</f>
        <v>0</v>
      </c>
      <c r="Q2259">
        <f>IF(Table1[[#This Row],[حضر التهيئة]]="نعم",1,0)</f>
        <v>0</v>
      </c>
      <c r="R2259">
        <f>IF(Table1[[#This Row],[دورة الفوترة]]="شهري",1,0)</f>
        <v>1</v>
      </c>
    </row>
    <row r="2260" spans="1:18" x14ac:dyDescent="0.25">
      <c r="A2260" t="s">
        <v>2280</v>
      </c>
      <c r="B2260" s="1">
        <v>45345</v>
      </c>
      <c r="C2260" t="s">
        <v>28</v>
      </c>
      <c r="D2260">
        <v>39</v>
      </c>
      <c r="E2260" t="s">
        <v>20</v>
      </c>
      <c r="F2260">
        <v>23</v>
      </c>
      <c r="G2260" t="s">
        <v>23</v>
      </c>
      <c r="H2260">
        <v>2</v>
      </c>
      <c r="I2260">
        <v>3</v>
      </c>
      <c r="J2260">
        <v>10</v>
      </c>
      <c r="K2260" t="s">
        <v>17</v>
      </c>
      <c r="L2260" t="s">
        <v>17</v>
      </c>
      <c r="M2260">
        <f>IF(Table1[[#This Row],[ألغى الاشتراك]]="نعم",1,0)</f>
        <v>0</v>
      </c>
      <c r="N2260">
        <f>IF(Table1[[#This Row],[وسيلة الدفع]]="بطاقة",1,0)</f>
        <v>0</v>
      </c>
      <c r="O2260">
        <f>IF(Table1[[#This Row],[وسيلة الدفع]]="محفظة",1,0)</f>
        <v>0</v>
      </c>
      <c r="P2260">
        <f>IF(Table1[[#This Row],[وسيلة الدفع]]="تحويل",1,0)</f>
        <v>1</v>
      </c>
      <c r="Q2260">
        <f>IF(Table1[[#This Row],[حضر التهيئة]]="نعم",1,0)</f>
        <v>0</v>
      </c>
      <c r="R2260">
        <f>IF(Table1[[#This Row],[دورة الفوترة]]="شهري",1,0)</f>
        <v>0</v>
      </c>
    </row>
    <row r="2261" spans="1:18" x14ac:dyDescent="0.25">
      <c r="A2261" t="s">
        <v>2281</v>
      </c>
      <c r="B2261" s="1">
        <v>45973</v>
      </c>
      <c r="C2261" t="s">
        <v>13</v>
      </c>
      <c r="D2261">
        <v>89</v>
      </c>
      <c r="E2261" t="s">
        <v>20</v>
      </c>
      <c r="F2261">
        <v>19</v>
      </c>
      <c r="G2261" t="s">
        <v>23</v>
      </c>
      <c r="H2261">
        <v>1</v>
      </c>
      <c r="I2261">
        <v>43</v>
      </c>
      <c r="J2261">
        <v>0</v>
      </c>
      <c r="K2261" t="s">
        <v>17</v>
      </c>
      <c r="L2261" t="s">
        <v>17</v>
      </c>
      <c r="M2261">
        <f>IF(Table1[[#This Row],[ألغى الاشتراك]]="نعم",1,0)</f>
        <v>0</v>
      </c>
      <c r="N2261">
        <f>IF(Table1[[#This Row],[وسيلة الدفع]]="بطاقة",1,0)</f>
        <v>0</v>
      </c>
      <c r="O2261">
        <f>IF(Table1[[#This Row],[وسيلة الدفع]]="محفظة",1,0)</f>
        <v>0</v>
      </c>
      <c r="P2261">
        <f>IF(Table1[[#This Row],[وسيلة الدفع]]="تحويل",1,0)</f>
        <v>1</v>
      </c>
      <c r="Q2261">
        <f>IF(Table1[[#This Row],[حضر التهيئة]]="نعم",1,0)</f>
        <v>0</v>
      </c>
      <c r="R2261">
        <f>IF(Table1[[#This Row],[دورة الفوترة]]="شهري",1,0)</f>
        <v>0</v>
      </c>
    </row>
    <row r="2262" spans="1:18" x14ac:dyDescent="0.25">
      <c r="A2262" t="s">
        <v>2282</v>
      </c>
      <c r="B2262" s="1">
        <v>45505</v>
      </c>
      <c r="C2262" t="s">
        <v>13</v>
      </c>
      <c r="D2262">
        <v>89</v>
      </c>
      <c r="E2262" t="s">
        <v>14</v>
      </c>
      <c r="F2262">
        <v>24</v>
      </c>
      <c r="G2262" t="s">
        <v>15</v>
      </c>
      <c r="H2262">
        <v>2</v>
      </c>
      <c r="I2262">
        <v>20</v>
      </c>
      <c r="J2262">
        <v>0</v>
      </c>
      <c r="K2262" t="s">
        <v>17</v>
      </c>
      <c r="L2262" t="s">
        <v>17</v>
      </c>
      <c r="M2262">
        <f>IF(Table1[[#This Row],[ألغى الاشتراك]]="نعم",1,0)</f>
        <v>0</v>
      </c>
      <c r="N2262">
        <f>IF(Table1[[#This Row],[وسيلة الدفع]]="بطاقة",1,0)</f>
        <v>1</v>
      </c>
      <c r="O2262">
        <f>IF(Table1[[#This Row],[وسيلة الدفع]]="محفظة",1,0)</f>
        <v>0</v>
      </c>
      <c r="P2262">
        <f>IF(Table1[[#This Row],[وسيلة الدفع]]="تحويل",1,0)</f>
        <v>0</v>
      </c>
      <c r="Q2262">
        <f>IF(Table1[[#This Row],[حضر التهيئة]]="نعم",1,0)</f>
        <v>0</v>
      </c>
      <c r="R2262">
        <f>IF(Table1[[#This Row],[دورة الفوترة]]="شهري",1,0)</f>
        <v>1</v>
      </c>
    </row>
    <row r="2263" spans="1:18" x14ac:dyDescent="0.25">
      <c r="A2263" t="s">
        <v>2283</v>
      </c>
      <c r="B2263" s="1">
        <v>45675</v>
      </c>
      <c r="C2263" t="s">
        <v>13</v>
      </c>
      <c r="D2263">
        <v>89</v>
      </c>
      <c r="E2263" t="s">
        <v>20</v>
      </c>
      <c r="F2263">
        <v>9</v>
      </c>
      <c r="G2263" t="s">
        <v>15</v>
      </c>
      <c r="H2263">
        <v>0</v>
      </c>
      <c r="I2263">
        <v>37</v>
      </c>
      <c r="J2263">
        <v>0</v>
      </c>
      <c r="K2263" t="s">
        <v>16</v>
      </c>
      <c r="L2263" t="s">
        <v>17</v>
      </c>
      <c r="M2263">
        <f>IF(Table1[[#This Row],[ألغى الاشتراك]]="نعم",1,0)</f>
        <v>0</v>
      </c>
      <c r="N2263">
        <f>IF(Table1[[#This Row],[وسيلة الدفع]]="بطاقة",1,0)</f>
        <v>1</v>
      </c>
      <c r="O2263">
        <f>IF(Table1[[#This Row],[وسيلة الدفع]]="محفظة",1,0)</f>
        <v>0</v>
      </c>
      <c r="P2263">
        <f>IF(Table1[[#This Row],[وسيلة الدفع]]="تحويل",1,0)</f>
        <v>0</v>
      </c>
      <c r="Q2263">
        <f>IF(Table1[[#This Row],[حضر التهيئة]]="نعم",1,0)</f>
        <v>1</v>
      </c>
      <c r="R2263">
        <f>IF(Table1[[#This Row],[دورة الفوترة]]="شهري",1,0)</f>
        <v>0</v>
      </c>
    </row>
    <row r="2264" spans="1:18" x14ac:dyDescent="0.25">
      <c r="A2264" t="s">
        <v>2284</v>
      </c>
      <c r="B2264" s="1">
        <v>45345</v>
      </c>
      <c r="C2264" t="s">
        <v>19</v>
      </c>
      <c r="D2264">
        <v>189</v>
      </c>
      <c r="E2264" t="s">
        <v>14</v>
      </c>
      <c r="F2264">
        <v>18</v>
      </c>
      <c r="G2264" t="s">
        <v>15</v>
      </c>
      <c r="H2264">
        <v>2</v>
      </c>
      <c r="I2264">
        <v>32</v>
      </c>
      <c r="J2264">
        <v>0</v>
      </c>
      <c r="K2264" t="s">
        <v>17</v>
      </c>
      <c r="L2264" t="s">
        <v>17</v>
      </c>
      <c r="M2264">
        <f>IF(Table1[[#This Row],[ألغى الاشتراك]]="نعم",1,0)</f>
        <v>0</v>
      </c>
      <c r="N2264">
        <f>IF(Table1[[#This Row],[وسيلة الدفع]]="بطاقة",1,0)</f>
        <v>1</v>
      </c>
      <c r="O2264">
        <f>IF(Table1[[#This Row],[وسيلة الدفع]]="محفظة",1,0)</f>
        <v>0</v>
      </c>
      <c r="P2264">
        <f>IF(Table1[[#This Row],[وسيلة الدفع]]="تحويل",1,0)</f>
        <v>0</v>
      </c>
      <c r="Q2264">
        <f>IF(Table1[[#This Row],[حضر التهيئة]]="نعم",1,0)</f>
        <v>0</v>
      </c>
      <c r="R2264">
        <f>IF(Table1[[#This Row],[دورة الفوترة]]="شهري",1,0)</f>
        <v>1</v>
      </c>
    </row>
    <row r="2265" spans="1:18" x14ac:dyDescent="0.25">
      <c r="A2265" t="s">
        <v>2285</v>
      </c>
      <c r="B2265" s="1">
        <v>45985</v>
      </c>
      <c r="C2265" t="s">
        <v>19</v>
      </c>
      <c r="D2265">
        <v>189</v>
      </c>
      <c r="E2265" t="s">
        <v>14</v>
      </c>
      <c r="F2265">
        <v>9</v>
      </c>
      <c r="G2265" t="s">
        <v>15</v>
      </c>
      <c r="H2265">
        <v>2</v>
      </c>
      <c r="I2265">
        <v>11</v>
      </c>
      <c r="J2265">
        <v>0</v>
      </c>
      <c r="K2265" t="s">
        <v>17</v>
      </c>
      <c r="L2265" t="s">
        <v>17</v>
      </c>
      <c r="M2265">
        <f>IF(Table1[[#This Row],[ألغى الاشتراك]]="نعم",1,0)</f>
        <v>0</v>
      </c>
      <c r="N2265">
        <f>IF(Table1[[#This Row],[وسيلة الدفع]]="بطاقة",1,0)</f>
        <v>1</v>
      </c>
      <c r="O2265">
        <f>IF(Table1[[#This Row],[وسيلة الدفع]]="محفظة",1,0)</f>
        <v>0</v>
      </c>
      <c r="P2265">
        <f>IF(Table1[[#This Row],[وسيلة الدفع]]="تحويل",1,0)</f>
        <v>0</v>
      </c>
      <c r="Q2265">
        <f>IF(Table1[[#This Row],[حضر التهيئة]]="نعم",1,0)</f>
        <v>0</v>
      </c>
      <c r="R2265">
        <f>IF(Table1[[#This Row],[دورة الفوترة]]="شهري",1,0)</f>
        <v>1</v>
      </c>
    </row>
    <row r="2266" spans="1:18" x14ac:dyDescent="0.25">
      <c r="A2266" t="s">
        <v>2286</v>
      </c>
      <c r="B2266" s="1">
        <v>45651</v>
      </c>
      <c r="C2266" t="s">
        <v>19</v>
      </c>
      <c r="D2266">
        <v>189</v>
      </c>
      <c r="E2266" t="s">
        <v>14</v>
      </c>
      <c r="F2266">
        <v>6</v>
      </c>
      <c r="G2266" t="s">
        <v>23</v>
      </c>
      <c r="H2266">
        <v>3</v>
      </c>
      <c r="I2266">
        <v>52</v>
      </c>
      <c r="J2266">
        <v>0</v>
      </c>
      <c r="K2266" t="s">
        <v>16</v>
      </c>
      <c r="L2266" t="s">
        <v>17</v>
      </c>
      <c r="M2266">
        <f>IF(Table1[[#This Row],[ألغى الاشتراك]]="نعم",1,0)</f>
        <v>0</v>
      </c>
      <c r="N2266">
        <f>IF(Table1[[#This Row],[وسيلة الدفع]]="بطاقة",1,0)</f>
        <v>0</v>
      </c>
      <c r="O2266">
        <f>IF(Table1[[#This Row],[وسيلة الدفع]]="محفظة",1,0)</f>
        <v>0</v>
      </c>
      <c r="P2266">
        <f>IF(Table1[[#This Row],[وسيلة الدفع]]="تحويل",1,0)</f>
        <v>1</v>
      </c>
      <c r="Q2266">
        <f>IF(Table1[[#This Row],[حضر التهيئة]]="نعم",1,0)</f>
        <v>1</v>
      </c>
      <c r="R2266">
        <f>IF(Table1[[#This Row],[دورة الفوترة]]="شهري",1,0)</f>
        <v>1</v>
      </c>
    </row>
    <row r="2267" spans="1:18" x14ac:dyDescent="0.25">
      <c r="A2267" t="s">
        <v>2287</v>
      </c>
      <c r="B2267" s="1">
        <v>45671</v>
      </c>
      <c r="C2267" t="s">
        <v>13</v>
      </c>
      <c r="D2267">
        <v>89</v>
      </c>
      <c r="E2267" t="s">
        <v>14</v>
      </c>
      <c r="F2267">
        <v>21</v>
      </c>
      <c r="G2267" t="s">
        <v>21</v>
      </c>
      <c r="H2267">
        <v>9</v>
      </c>
      <c r="I2267">
        <v>41</v>
      </c>
      <c r="J2267">
        <v>0</v>
      </c>
      <c r="K2267" t="s">
        <v>17</v>
      </c>
      <c r="L2267" t="s">
        <v>17</v>
      </c>
      <c r="M2267">
        <f>IF(Table1[[#This Row],[ألغى الاشتراك]]="نعم",1,0)</f>
        <v>0</v>
      </c>
      <c r="N2267">
        <f>IF(Table1[[#This Row],[وسيلة الدفع]]="بطاقة",1,0)</f>
        <v>0</v>
      </c>
      <c r="O2267">
        <f>IF(Table1[[#This Row],[وسيلة الدفع]]="محفظة",1,0)</f>
        <v>1</v>
      </c>
      <c r="P2267">
        <f>IF(Table1[[#This Row],[وسيلة الدفع]]="تحويل",1,0)</f>
        <v>0</v>
      </c>
      <c r="Q2267">
        <f>IF(Table1[[#This Row],[حضر التهيئة]]="نعم",1,0)</f>
        <v>0</v>
      </c>
      <c r="R2267">
        <f>IF(Table1[[#This Row],[دورة الفوترة]]="شهري",1,0)</f>
        <v>1</v>
      </c>
    </row>
    <row r="2268" spans="1:18" x14ac:dyDescent="0.25">
      <c r="A2268" t="s">
        <v>2288</v>
      </c>
      <c r="B2268" s="1">
        <v>45584</v>
      </c>
      <c r="C2268" t="s">
        <v>19</v>
      </c>
      <c r="D2268">
        <v>189</v>
      </c>
      <c r="E2268" t="s">
        <v>20</v>
      </c>
      <c r="F2268">
        <v>16</v>
      </c>
      <c r="G2268" t="s">
        <v>21</v>
      </c>
      <c r="H2268">
        <v>1</v>
      </c>
      <c r="I2268">
        <v>22</v>
      </c>
      <c r="J2268">
        <v>0</v>
      </c>
      <c r="K2268" t="s">
        <v>16</v>
      </c>
      <c r="L2268" t="s">
        <v>17</v>
      </c>
      <c r="M2268">
        <f>IF(Table1[[#This Row],[ألغى الاشتراك]]="نعم",1,0)</f>
        <v>0</v>
      </c>
      <c r="N2268">
        <f>IF(Table1[[#This Row],[وسيلة الدفع]]="بطاقة",1,0)</f>
        <v>0</v>
      </c>
      <c r="O2268">
        <f>IF(Table1[[#This Row],[وسيلة الدفع]]="محفظة",1,0)</f>
        <v>1</v>
      </c>
      <c r="P2268">
        <f>IF(Table1[[#This Row],[وسيلة الدفع]]="تحويل",1,0)</f>
        <v>0</v>
      </c>
      <c r="Q2268">
        <f>IF(Table1[[#This Row],[حضر التهيئة]]="نعم",1,0)</f>
        <v>1</v>
      </c>
      <c r="R2268">
        <f>IF(Table1[[#This Row],[دورة الفوترة]]="شهري",1,0)</f>
        <v>0</v>
      </c>
    </row>
    <row r="2269" spans="1:18" x14ac:dyDescent="0.25">
      <c r="A2269" t="s">
        <v>2289</v>
      </c>
      <c r="B2269" s="1">
        <v>45732</v>
      </c>
      <c r="C2269" t="s">
        <v>13</v>
      </c>
      <c r="D2269">
        <v>89</v>
      </c>
      <c r="E2269" t="s">
        <v>14</v>
      </c>
      <c r="F2269">
        <v>29</v>
      </c>
      <c r="G2269" t="s">
        <v>21</v>
      </c>
      <c r="H2269">
        <v>1</v>
      </c>
      <c r="I2269">
        <v>43</v>
      </c>
      <c r="J2269">
        <v>0</v>
      </c>
      <c r="K2269" t="s">
        <v>17</v>
      </c>
      <c r="L2269" t="s">
        <v>17</v>
      </c>
      <c r="M2269">
        <f>IF(Table1[[#This Row],[ألغى الاشتراك]]="نعم",1,0)</f>
        <v>0</v>
      </c>
      <c r="N2269">
        <f>IF(Table1[[#This Row],[وسيلة الدفع]]="بطاقة",1,0)</f>
        <v>0</v>
      </c>
      <c r="O2269">
        <f>IF(Table1[[#This Row],[وسيلة الدفع]]="محفظة",1,0)</f>
        <v>1</v>
      </c>
      <c r="P2269">
        <f>IF(Table1[[#This Row],[وسيلة الدفع]]="تحويل",1,0)</f>
        <v>0</v>
      </c>
      <c r="Q2269">
        <f>IF(Table1[[#This Row],[حضر التهيئة]]="نعم",1,0)</f>
        <v>0</v>
      </c>
      <c r="R2269">
        <f>IF(Table1[[#This Row],[دورة الفوترة]]="شهري",1,0)</f>
        <v>1</v>
      </c>
    </row>
    <row r="2270" spans="1:18" x14ac:dyDescent="0.25">
      <c r="A2270" t="s">
        <v>2290</v>
      </c>
      <c r="B2270" s="1">
        <v>45639</v>
      </c>
      <c r="C2270" t="s">
        <v>28</v>
      </c>
      <c r="D2270">
        <v>39</v>
      </c>
      <c r="E2270" t="s">
        <v>14</v>
      </c>
      <c r="F2270">
        <v>26</v>
      </c>
      <c r="G2270" t="s">
        <v>15</v>
      </c>
      <c r="H2270">
        <v>10</v>
      </c>
      <c r="I2270">
        <v>44</v>
      </c>
      <c r="J2270">
        <v>0</v>
      </c>
      <c r="K2270" t="s">
        <v>17</v>
      </c>
      <c r="L2270" t="s">
        <v>17</v>
      </c>
      <c r="M2270">
        <f>IF(Table1[[#This Row],[ألغى الاشتراك]]="نعم",1,0)</f>
        <v>0</v>
      </c>
      <c r="N2270">
        <f>IF(Table1[[#This Row],[وسيلة الدفع]]="بطاقة",1,0)</f>
        <v>1</v>
      </c>
      <c r="O2270">
        <f>IF(Table1[[#This Row],[وسيلة الدفع]]="محفظة",1,0)</f>
        <v>0</v>
      </c>
      <c r="P2270">
        <f>IF(Table1[[#This Row],[وسيلة الدفع]]="تحويل",1,0)</f>
        <v>0</v>
      </c>
      <c r="Q2270">
        <f>IF(Table1[[#This Row],[حضر التهيئة]]="نعم",1,0)</f>
        <v>0</v>
      </c>
      <c r="R2270">
        <f>IF(Table1[[#This Row],[دورة الفوترة]]="شهري",1,0)</f>
        <v>1</v>
      </c>
    </row>
    <row r="2271" spans="1:18" x14ac:dyDescent="0.25">
      <c r="A2271" t="s">
        <v>2291</v>
      </c>
      <c r="B2271" s="1">
        <v>45906</v>
      </c>
      <c r="C2271" t="s">
        <v>13</v>
      </c>
      <c r="D2271">
        <v>89</v>
      </c>
      <c r="E2271" t="s">
        <v>14</v>
      </c>
      <c r="F2271">
        <v>13</v>
      </c>
      <c r="G2271" t="s">
        <v>21</v>
      </c>
      <c r="H2271">
        <v>2</v>
      </c>
      <c r="I2271">
        <v>11</v>
      </c>
      <c r="J2271">
        <v>0</v>
      </c>
      <c r="K2271" t="s">
        <v>16</v>
      </c>
      <c r="L2271" t="s">
        <v>17</v>
      </c>
      <c r="M2271">
        <f>IF(Table1[[#This Row],[ألغى الاشتراك]]="نعم",1,0)</f>
        <v>0</v>
      </c>
      <c r="N2271">
        <f>IF(Table1[[#This Row],[وسيلة الدفع]]="بطاقة",1,0)</f>
        <v>0</v>
      </c>
      <c r="O2271">
        <f>IF(Table1[[#This Row],[وسيلة الدفع]]="محفظة",1,0)</f>
        <v>1</v>
      </c>
      <c r="P2271">
        <f>IF(Table1[[#This Row],[وسيلة الدفع]]="تحويل",1,0)</f>
        <v>0</v>
      </c>
      <c r="Q2271">
        <f>IF(Table1[[#This Row],[حضر التهيئة]]="نعم",1,0)</f>
        <v>1</v>
      </c>
      <c r="R2271">
        <f>IF(Table1[[#This Row],[دورة الفوترة]]="شهري",1,0)</f>
        <v>1</v>
      </c>
    </row>
    <row r="2272" spans="1:18" x14ac:dyDescent="0.25">
      <c r="A2272" t="s">
        <v>2292</v>
      </c>
      <c r="B2272" s="1">
        <v>45744</v>
      </c>
      <c r="C2272" t="s">
        <v>19</v>
      </c>
      <c r="D2272">
        <v>189</v>
      </c>
      <c r="E2272" t="s">
        <v>14</v>
      </c>
      <c r="F2272">
        <v>2</v>
      </c>
      <c r="G2272" t="s">
        <v>23</v>
      </c>
      <c r="H2272">
        <v>1</v>
      </c>
      <c r="I2272">
        <v>32</v>
      </c>
      <c r="J2272">
        <v>15</v>
      </c>
      <c r="K2272" t="s">
        <v>17</v>
      </c>
      <c r="L2272" t="s">
        <v>17</v>
      </c>
      <c r="M2272">
        <f>IF(Table1[[#This Row],[ألغى الاشتراك]]="نعم",1,0)</f>
        <v>0</v>
      </c>
      <c r="N2272">
        <f>IF(Table1[[#This Row],[وسيلة الدفع]]="بطاقة",1,0)</f>
        <v>0</v>
      </c>
      <c r="O2272">
        <f>IF(Table1[[#This Row],[وسيلة الدفع]]="محفظة",1,0)</f>
        <v>0</v>
      </c>
      <c r="P2272">
        <f>IF(Table1[[#This Row],[وسيلة الدفع]]="تحويل",1,0)</f>
        <v>1</v>
      </c>
      <c r="Q2272">
        <f>IF(Table1[[#This Row],[حضر التهيئة]]="نعم",1,0)</f>
        <v>0</v>
      </c>
      <c r="R2272">
        <f>IF(Table1[[#This Row],[دورة الفوترة]]="شهري",1,0)</f>
        <v>1</v>
      </c>
    </row>
    <row r="2273" spans="1:18" x14ac:dyDescent="0.25">
      <c r="A2273" t="s">
        <v>2293</v>
      </c>
      <c r="B2273" s="1">
        <v>45509</v>
      </c>
      <c r="C2273" t="s">
        <v>28</v>
      </c>
      <c r="D2273">
        <v>39</v>
      </c>
      <c r="E2273" t="s">
        <v>14</v>
      </c>
      <c r="F2273">
        <v>28</v>
      </c>
      <c r="G2273" t="s">
        <v>21</v>
      </c>
      <c r="H2273">
        <v>0</v>
      </c>
      <c r="I2273">
        <v>8</v>
      </c>
      <c r="J2273">
        <v>0</v>
      </c>
      <c r="K2273" t="s">
        <v>17</v>
      </c>
      <c r="L2273" t="s">
        <v>17</v>
      </c>
      <c r="M2273">
        <f>IF(Table1[[#This Row],[ألغى الاشتراك]]="نعم",1,0)</f>
        <v>0</v>
      </c>
      <c r="N2273">
        <f>IF(Table1[[#This Row],[وسيلة الدفع]]="بطاقة",1,0)</f>
        <v>0</v>
      </c>
      <c r="O2273">
        <f>IF(Table1[[#This Row],[وسيلة الدفع]]="محفظة",1,0)</f>
        <v>1</v>
      </c>
      <c r="P2273">
        <f>IF(Table1[[#This Row],[وسيلة الدفع]]="تحويل",1,0)</f>
        <v>0</v>
      </c>
      <c r="Q2273">
        <f>IF(Table1[[#This Row],[حضر التهيئة]]="نعم",1,0)</f>
        <v>0</v>
      </c>
      <c r="R2273">
        <f>IF(Table1[[#This Row],[دورة الفوترة]]="شهري",1,0)</f>
        <v>1</v>
      </c>
    </row>
    <row r="2274" spans="1:18" x14ac:dyDescent="0.25">
      <c r="A2274" t="s">
        <v>2294</v>
      </c>
      <c r="B2274" s="1">
        <v>45663</v>
      </c>
      <c r="C2274" t="s">
        <v>13</v>
      </c>
      <c r="D2274">
        <v>89</v>
      </c>
      <c r="E2274" t="s">
        <v>14</v>
      </c>
      <c r="F2274">
        <v>3</v>
      </c>
      <c r="G2274" t="s">
        <v>15</v>
      </c>
      <c r="H2274">
        <v>0</v>
      </c>
      <c r="I2274">
        <v>29</v>
      </c>
      <c r="J2274">
        <v>0</v>
      </c>
      <c r="K2274" t="s">
        <v>16</v>
      </c>
      <c r="L2274" t="s">
        <v>17</v>
      </c>
      <c r="M2274">
        <f>IF(Table1[[#This Row],[ألغى الاشتراك]]="نعم",1,0)</f>
        <v>0</v>
      </c>
      <c r="N2274">
        <f>IF(Table1[[#This Row],[وسيلة الدفع]]="بطاقة",1,0)</f>
        <v>1</v>
      </c>
      <c r="O2274">
        <f>IF(Table1[[#This Row],[وسيلة الدفع]]="محفظة",1,0)</f>
        <v>0</v>
      </c>
      <c r="P2274">
        <f>IF(Table1[[#This Row],[وسيلة الدفع]]="تحويل",1,0)</f>
        <v>0</v>
      </c>
      <c r="Q2274">
        <f>IF(Table1[[#This Row],[حضر التهيئة]]="نعم",1,0)</f>
        <v>1</v>
      </c>
      <c r="R2274">
        <f>IF(Table1[[#This Row],[دورة الفوترة]]="شهري",1,0)</f>
        <v>1</v>
      </c>
    </row>
    <row r="2275" spans="1:18" x14ac:dyDescent="0.25">
      <c r="A2275" t="s">
        <v>2295</v>
      </c>
      <c r="B2275" s="1">
        <v>45462</v>
      </c>
      <c r="C2275" t="s">
        <v>19</v>
      </c>
      <c r="D2275">
        <v>189</v>
      </c>
      <c r="E2275" t="s">
        <v>14</v>
      </c>
      <c r="F2275">
        <v>2</v>
      </c>
      <c r="G2275" t="s">
        <v>15</v>
      </c>
      <c r="H2275">
        <v>5</v>
      </c>
      <c r="I2275">
        <v>4</v>
      </c>
      <c r="J2275">
        <v>0</v>
      </c>
      <c r="K2275" t="s">
        <v>17</v>
      </c>
      <c r="L2275" t="s">
        <v>16</v>
      </c>
      <c r="M2275">
        <f>IF(Table1[[#This Row],[ألغى الاشتراك]]="نعم",1,0)</f>
        <v>1</v>
      </c>
      <c r="N2275">
        <f>IF(Table1[[#This Row],[وسيلة الدفع]]="بطاقة",1,0)</f>
        <v>1</v>
      </c>
      <c r="O2275">
        <f>IF(Table1[[#This Row],[وسيلة الدفع]]="محفظة",1,0)</f>
        <v>0</v>
      </c>
      <c r="P2275">
        <f>IF(Table1[[#This Row],[وسيلة الدفع]]="تحويل",1,0)</f>
        <v>0</v>
      </c>
      <c r="Q2275">
        <f>IF(Table1[[#This Row],[حضر التهيئة]]="نعم",1,0)</f>
        <v>0</v>
      </c>
      <c r="R2275">
        <f>IF(Table1[[#This Row],[دورة الفوترة]]="شهري",1,0)</f>
        <v>1</v>
      </c>
    </row>
    <row r="2276" spans="1:18" x14ac:dyDescent="0.25">
      <c r="A2276" t="s">
        <v>2296</v>
      </c>
      <c r="B2276" s="1">
        <v>45383</v>
      </c>
      <c r="C2276" t="s">
        <v>13</v>
      </c>
      <c r="D2276">
        <v>89</v>
      </c>
      <c r="E2276" t="s">
        <v>20</v>
      </c>
      <c r="F2276">
        <v>13</v>
      </c>
      <c r="G2276" t="s">
        <v>15</v>
      </c>
      <c r="H2276">
        <v>1</v>
      </c>
      <c r="I2276">
        <v>27</v>
      </c>
      <c r="J2276">
        <v>25</v>
      </c>
      <c r="K2276" t="s">
        <v>16</v>
      </c>
      <c r="L2276" t="s">
        <v>17</v>
      </c>
      <c r="M2276">
        <f>IF(Table1[[#This Row],[ألغى الاشتراك]]="نعم",1,0)</f>
        <v>0</v>
      </c>
      <c r="N2276">
        <f>IF(Table1[[#This Row],[وسيلة الدفع]]="بطاقة",1,0)</f>
        <v>1</v>
      </c>
      <c r="O2276">
        <f>IF(Table1[[#This Row],[وسيلة الدفع]]="محفظة",1,0)</f>
        <v>0</v>
      </c>
      <c r="P2276">
        <f>IF(Table1[[#This Row],[وسيلة الدفع]]="تحويل",1,0)</f>
        <v>0</v>
      </c>
      <c r="Q2276">
        <f>IF(Table1[[#This Row],[حضر التهيئة]]="نعم",1,0)</f>
        <v>1</v>
      </c>
      <c r="R2276">
        <f>IF(Table1[[#This Row],[دورة الفوترة]]="شهري",1,0)</f>
        <v>0</v>
      </c>
    </row>
    <row r="2277" spans="1:18" x14ac:dyDescent="0.25">
      <c r="A2277" t="s">
        <v>2297</v>
      </c>
      <c r="B2277" s="1">
        <v>45918</v>
      </c>
      <c r="C2277" t="s">
        <v>28</v>
      </c>
      <c r="D2277">
        <v>39</v>
      </c>
      <c r="E2277" t="s">
        <v>14</v>
      </c>
      <c r="F2277">
        <v>1</v>
      </c>
      <c r="G2277" t="s">
        <v>15</v>
      </c>
      <c r="H2277">
        <v>8</v>
      </c>
      <c r="I2277">
        <v>57</v>
      </c>
      <c r="J2277">
        <v>0</v>
      </c>
      <c r="K2277" t="s">
        <v>16</v>
      </c>
      <c r="L2277" t="s">
        <v>16</v>
      </c>
      <c r="M2277">
        <f>IF(Table1[[#This Row],[ألغى الاشتراك]]="نعم",1,0)</f>
        <v>1</v>
      </c>
      <c r="N2277">
        <f>IF(Table1[[#This Row],[وسيلة الدفع]]="بطاقة",1,0)</f>
        <v>1</v>
      </c>
      <c r="O2277">
        <f>IF(Table1[[#This Row],[وسيلة الدفع]]="محفظة",1,0)</f>
        <v>0</v>
      </c>
      <c r="P2277">
        <f>IF(Table1[[#This Row],[وسيلة الدفع]]="تحويل",1,0)</f>
        <v>0</v>
      </c>
      <c r="Q2277">
        <f>IF(Table1[[#This Row],[حضر التهيئة]]="نعم",1,0)</f>
        <v>1</v>
      </c>
      <c r="R2277">
        <f>IF(Table1[[#This Row],[دورة الفوترة]]="شهري",1,0)</f>
        <v>1</v>
      </c>
    </row>
    <row r="2278" spans="1:18" x14ac:dyDescent="0.25">
      <c r="A2278" t="s">
        <v>2298</v>
      </c>
      <c r="B2278" s="1">
        <v>45462</v>
      </c>
      <c r="C2278" t="s">
        <v>13</v>
      </c>
      <c r="D2278">
        <v>89</v>
      </c>
      <c r="E2278" t="s">
        <v>20</v>
      </c>
      <c r="F2278">
        <v>12</v>
      </c>
      <c r="G2278" t="s">
        <v>23</v>
      </c>
      <c r="H2278">
        <v>1</v>
      </c>
      <c r="I2278">
        <v>6</v>
      </c>
      <c r="J2278">
        <v>0</v>
      </c>
      <c r="K2278" t="s">
        <v>17</v>
      </c>
      <c r="L2278" t="s">
        <v>17</v>
      </c>
      <c r="M2278">
        <f>IF(Table1[[#This Row],[ألغى الاشتراك]]="نعم",1,0)</f>
        <v>0</v>
      </c>
      <c r="N2278">
        <f>IF(Table1[[#This Row],[وسيلة الدفع]]="بطاقة",1,0)</f>
        <v>0</v>
      </c>
      <c r="O2278">
        <f>IF(Table1[[#This Row],[وسيلة الدفع]]="محفظة",1,0)</f>
        <v>0</v>
      </c>
      <c r="P2278">
        <f>IF(Table1[[#This Row],[وسيلة الدفع]]="تحويل",1,0)</f>
        <v>1</v>
      </c>
      <c r="Q2278">
        <f>IF(Table1[[#This Row],[حضر التهيئة]]="نعم",1,0)</f>
        <v>0</v>
      </c>
      <c r="R2278">
        <f>IF(Table1[[#This Row],[دورة الفوترة]]="شهري",1,0)</f>
        <v>0</v>
      </c>
    </row>
    <row r="2279" spans="1:18" x14ac:dyDescent="0.25">
      <c r="A2279" t="s">
        <v>2299</v>
      </c>
      <c r="B2279" s="1">
        <v>45850</v>
      </c>
      <c r="C2279" t="s">
        <v>28</v>
      </c>
      <c r="D2279">
        <v>39</v>
      </c>
      <c r="E2279" t="s">
        <v>14</v>
      </c>
      <c r="F2279">
        <v>25</v>
      </c>
      <c r="G2279" t="s">
        <v>23</v>
      </c>
      <c r="H2279">
        <v>8</v>
      </c>
      <c r="I2279">
        <v>23</v>
      </c>
      <c r="J2279">
        <v>0</v>
      </c>
      <c r="K2279" t="s">
        <v>16</v>
      </c>
      <c r="L2279" t="s">
        <v>17</v>
      </c>
      <c r="M2279">
        <f>IF(Table1[[#This Row],[ألغى الاشتراك]]="نعم",1,0)</f>
        <v>0</v>
      </c>
      <c r="N2279">
        <f>IF(Table1[[#This Row],[وسيلة الدفع]]="بطاقة",1,0)</f>
        <v>0</v>
      </c>
      <c r="O2279">
        <f>IF(Table1[[#This Row],[وسيلة الدفع]]="محفظة",1,0)</f>
        <v>0</v>
      </c>
      <c r="P2279">
        <f>IF(Table1[[#This Row],[وسيلة الدفع]]="تحويل",1,0)</f>
        <v>1</v>
      </c>
      <c r="Q2279">
        <f>IF(Table1[[#This Row],[حضر التهيئة]]="نعم",1,0)</f>
        <v>1</v>
      </c>
      <c r="R2279">
        <f>IF(Table1[[#This Row],[دورة الفوترة]]="شهري",1,0)</f>
        <v>1</v>
      </c>
    </row>
    <row r="2280" spans="1:18" x14ac:dyDescent="0.25">
      <c r="A2280" t="s">
        <v>2300</v>
      </c>
      <c r="B2280" s="1">
        <v>45505</v>
      </c>
      <c r="C2280" t="s">
        <v>28</v>
      </c>
      <c r="D2280">
        <v>39</v>
      </c>
      <c r="E2280" t="s">
        <v>14</v>
      </c>
      <c r="F2280">
        <v>26</v>
      </c>
      <c r="G2280" t="s">
        <v>15</v>
      </c>
      <c r="H2280">
        <v>2</v>
      </c>
      <c r="I2280">
        <v>6</v>
      </c>
      <c r="J2280">
        <v>0</v>
      </c>
      <c r="K2280" t="s">
        <v>16</v>
      </c>
      <c r="L2280" t="s">
        <v>17</v>
      </c>
      <c r="M2280">
        <f>IF(Table1[[#This Row],[ألغى الاشتراك]]="نعم",1,0)</f>
        <v>0</v>
      </c>
      <c r="N2280">
        <f>IF(Table1[[#This Row],[وسيلة الدفع]]="بطاقة",1,0)</f>
        <v>1</v>
      </c>
      <c r="O2280">
        <f>IF(Table1[[#This Row],[وسيلة الدفع]]="محفظة",1,0)</f>
        <v>0</v>
      </c>
      <c r="P2280">
        <f>IF(Table1[[#This Row],[وسيلة الدفع]]="تحويل",1,0)</f>
        <v>0</v>
      </c>
      <c r="Q2280">
        <f>IF(Table1[[#This Row],[حضر التهيئة]]="نعم",1,0)</f>
        <v>1</v>
      </c>
      <c r="R2280">
        <f>IF(Table1[[#This Row],[دورة الفوترة]]="شهري",1,0)</f>
        <v>1</v>
      </c>
    </row>
    <row r="2281" spans="1:18" x14ac:dyDescent="0.25">
      <c r="A2281" t="s">
        <v>2301</v>
      </c>
      <c r="B2281" s="1">
        <v>45795</v>
      </c>
      <c r="C2281" t="s">
        <v>19</v>
      </c>
      <c r="D2281">
        <v>189</v>
      </c>
      <c r="E2281" t="s">
        <v>20</v>
      </c>
      <c r="F2281">
        <v>11</v>
      </c>
      <c r="G2281" t="s">
        <v>21</v>
      </c>
      <c r="H2281">
        <v>5</v>
      </c>
      <c r="I2281">
        <v>15</v>
      </c>
      <c r="J2281">
        <v>0</v>
      </c>
      <c r="K2281" t="s">
        <v>16</v>
      </c>
      <c r="L2281" t="s">
        <v>17</v>
      </c>
      <c r="M2281">
        <f>IF(Table1[[#This Row],[ألغى الاشتراك]]="نعم",1,0)</f>
        <v>0</v>
      </c>
      <c r="N2281">
        <f>IF(Table1[[#This Row],[وسيلة الدفع]]="بطاقة",1,0)</f>
        <v>0</v>
      </c>
      <c r="O2281">
        <f>IF(Table1[[#This Row],[وسيلة الدفع]]="محفظة",1,0)</f>
        <v>1</v>
      </c>
      <c r="P2281">
        <f>IF(Table1[[#This Row],[وسيلة الدفع]]="تحويل",1,0)</f>
        <v>0</v>
      </c>
      <c r="Q2281">
        <f>IF(Table1[[#This Row],[حضر التهيئة]]="نعم",1,0)</f>
        <v>1</v>
      </c>
      <c r="R2281">
        <f>IF(Table1[[#This Row],[دورة الفوترة]]="شهري",1,0)</f>
        <v>0</v>
      </c>
    </row>
    <row r="2282" spans="1:18" x14ac:dyDescent="0.25">
      <c r="A2282" t="s">
        <v>2302</v>
      </c>
      <c r="B2282" s="1">
        <v>45854</v>
      </c>
      <c r="C2282" t="s">
        <v>28</v>
      </c>
      <c r="D2282">
        <v>39</v>
      </c>
      <c r="E2282" t="s">
        <v>14</v>
      </c>
      <c r="F2282">
        <v>6</v>
      </c>
      <c r="G2282" t="s">
        <v>21</v>
      </c>
      <c r="H2282">
        <v>1</v>
      </c>
      <c r="I2282">
        <v>54</v>
      </c>
      <c r="J2282">
        <v>15</v>
      </c>
      <c r="K2282" t="s">
        <v>17</v>
      </c>
      <c r="L2282" t="s">
        <v>17</v>
      </c>
      <c r="M2282">
        <f>IF(Table1[[#This Row],[ألغى الاشتراك]]="نعم",1,0)</f>
        <v>0</v>
      </c>
      <c r="N2282">
        <f>IF(Table1[[#This Row],[وسيلة الدفع]]="بطاقة",1,0)</f>
        <v>0</v>
      </c>
      <c r="O2282">
        <f>IF(Table1[[#This Row],[وسيلة الدفع]]="محفظة",1,0)</f>
        <v>1</v>
      </c>
      <c r="P2282">
        <f>IF(Table1[[#This Row],[وسيلة الدفع]]="تحويل",1,0)</f>
        <v>0</v>
      </c>
      <c r="Q2282">
        <f>IF(Table1[[#This Row],[حضر التهيئة]]="نعم",1,0)</f>
        <v>0</v>
      </c>
      <c r="R2282">
        <f>IF(Table1[[#This Row],[دورة الفوترة]]="شهري",1,0)</f>
        <v>1</v>
      </c>
    </row>
    <row r="2283" spans="1:18" x14ac:dyDescent="0.25">
      <c r="A2283" t="s">
        <v>2303</v>
      </c>
      <c r="B2283" s="1">
        <v>45639</v>
      </c>
      <c r="C2283" t="s">
        <v>19</v>
      </c>
      <c r="D2283">
        <v>189</v>
      </c>
      <c r="E2283" t="s">
        <v>14</v>
      </c>
      <c r="F2283">
        <v>18</v>
      </c>
      <c r="G2283" t="s">
        <v>23</v>
      </c>
      <c r="H2283">
        <v>0</v>
      </c>
      <c r="I2283">
        <v>34</v>
      </c>
      <c r="J2283">
        <v>0</v>
      </c>
      <c r="K2283" t="s">
        <v>16</v>
      </c>
      <c r="L2283" t="s">
        <v>17</v>
      </c>
      <c r="M2283">
        <f>IF(Table1[[#This Row],[ألغى الاشتراك]]="نعم",1,0)</f>
        <v>0</v>
      </c>
      <c r="N2283">
        <f>IF(Table1[[#This Row],[وسيلة الدفع]]="بطاقة",1,0)</f>
        <v>0</v>
      </c>
      <c r="O2283">
        <f>IF(Table1[[#This Row],[وسيلة الدفع]]="محفظة",1,0)</f>
        <v>0</v>
      </c>
      <c r="P2283">
        <f>IF(Table1[[#This Row],[وسيلة الدفع]]="تحويل",1,0)</f>
        <v>1</v>
      </c>
      <c r="Q2283">
        <f>IF(Table1[[#This Row],[حضر التهيئة]]="نعم",1,0)</f>
        <v>1</v>
      </c>
      <c r="R2283">
        <f>IF(Table1[[#This Row],[دورة الفوترة]]="شهري",1,0)</f>
        <v>1</v>
      </c>
    </row>
    <row r="2284" spans="1:18" x14ac:dyDescent="0.25">
      <c r="A2284" t="s">
        <v>2304</v>
      </c>
      <c r="B2284" s="1">
        <v>45791</v>
      </c>
      <c r="C2284" t="s">
        <v>28</v>
      </c>
      <c r="D2284">
        <v>39</v>
      </c>
      <c r="E2284" t="s">
        <v>14</v>
      </c>
      <c r="F2284">
        <v>23</v>
      </c>
      <c r="G2284" t="s">
        <v>15</v>
      </c>
      <c r="H2284">
        <v>0</v>
      </c>
      <c r="I2284">
        <v>25</v>
      </c>
      <c r="J2284">
        <v>0</v>
      </c>
      <c r="K2284" t="s">
        <v>16</v>
      </c>
      <c r="L2284" t="s">
        <v>17</v>
      </c>
      <c r="M2284">
        <f>IF(Table1[[#This Row],[ألغى الاشتراك]]="نعم",1,0)</f>
        <v>0</v>
      </c>
      <c r="N2284">
        <f>IF(Table1[[#This Row],[وسيلة الدفع]]="بطاقة",1,0)</f>
        <v>1</v>
      </c>
      <c r="O2284">
        <f>IF(Table1[[#This Row],[وسيلة الدفع]]="محفظة",1,0)</f>
        <v>0</v>
      </c>
      <c r="P2284">
        <f>IF(Table1[[#This Row],[وسيلة الدفع]]="تحويل",1,0)</f>
        <v>0</v>
      </c>
      <c r="Q2284">
        <f>IF(Table1[[#This Row],[حضر التهيئة]]="نعم",1,0)</f>
        <v>1</v>
      </c>
      <c r="R2284">
        <f>IF(Table1[[#This Row],[دورة الفوترة]]="شهري",1,0)</f>
        <v>1</v>
      </c>
    </row>
    <row r="2285" spans="1:18" x14ac:dyDescent="0.25">
      <c r="A2285" t="s">
        <v>2305</v>
      </c>
      <c r="B2285" s="1">
        <v>45588</v>
      </c>
      <c r="C2285" t="s">
        <v>19</v>
      </c>
      <c r="D2285">
        <v>189</v>
      </c>
      <c r="E2285" t="s">
        <v>14</v>
      </c>
      <c r="F2285">
        <v>30</v>
      </c>
      <c r="G2285" t="s">
        <v>15</v>
      </c>
      <c r="H2285">
        <v>0</v>
      </c>
      <c r="I2285">
        <v>6</v>
      </c>
      <c r="J2285">
        <v>0</v>
      </c>
      <c r="K2285" t="s">
        <v>16</v>
      </c>
      <c r="L2285" t="s">
        <v>17</v>
      </c>
      <c r="M2285">
        <f>IF(Table1[[#This Row],[ألغى الاشتراك]]="نعم",1,0)</f>
        <v>0</v>
      </c>
      <c r="N2285">
        <f>IF(Table1[[#This Row],[وسيلة الدفع]]="بطاقة",1,0)</f>
        <v>1</v>
      </c>
      <c r="O2285">
        <f>IF(Table1[[#This Row],[وسيلة الدفع]]="محفظة",1,0)</f>
        <v>0</v>
      </c>
      <c r="P2285">
        <f>IF(Table1[[#This Row],[وسيلة الدفع]]="تحويل",1,0)</f>
        <v>0</v>
      </c>
      <c r="Q2285">
        <f>IF(Table1[[#This Row],[حضر التهيئة]]="نعم",1,0)</f>
        <v>1</v>
      </c>
      <c r="R2285">
        <f>IF(Table1[[#This Row],[دورة الفوترة]]="شهري",1,0)</f>
        <v>1</v>
      </c>
    </row>
    <row r="2286" spans="1:18" x14ac:dyDescent="0.25">
      <c r="A2286" t="s">
        <v>2306</v>
      </c>
      <c r="B2286" s="1">
        <v>45866</v>
      </c>
      <c r="C2286" t="s">
        <v>19</v>
      </c>
      <c r="D2286">
        <v>189</v>
      </c>
      <c r="E2286" t="s">
        <v>14</v>
      </c>
      <c r="F2286">
        <v>7</v>
      </c>
      <c r="G2286" t="s">
        <v>21</v>
      </c>
      <c r="H2286">
        <v>0</v>
      </c>
      <c r="I2286">
        <v>23</v>
      </c>
      <c r="J2286">
        <v>0</v>
      </c>
      <c r="K2286" t="s">
        <v>17</v>
      </c>
      <c r="L2286" t="s">
        <v>17</v>
      </c>
      <c r="M2286">
        <f>IF(Table1[[#This Row],[ألغى الاشتراك]]="نعم",1,0)</f>
        <v>0</v>
      </c>
      <c r="N2286">
        <f>IF(Table1[[#This Row],[وسيلة الدفع]]="بطاقة",1,0)</f>
        <v>0</v>
      </c>
      <c r="O2286">
        <f>IF(Table1[[#This Row],[وسيلة الدفع]]="محفظة",1,0)</f>
        <v>1</v>
      </c>
      <c r="P2286">
        <f>IF(Table1[[#This Row],[وسيلة الدفع]]="تحويل",1,0)</f>
        <v>0</v>
      </c>
      <c r="Q2286">
        <f>IF(Table1[[#This Row],[حضر التهيئة]]="نعم",1,0)</f>
        <v>0</v>
      </c>
      <c r="R2286">
        <f>IF(Table1[[#This Row],[دورة الفوترة]]="شهري",1,0)</f>
        <v>1</v>
      </c>
    </row>
    <row r="2287" spans="1:18" x14ac:dyDescent="0.25">
      <c r="A2287" t="s">
        <v>2307</v>
      </c>
      <c r="B2287" s="1">
        <v>45647</v>
      </c>
      <c r="C2287" t="s">
        <v>28</v>
      </c>
      <c r="D2287">
        <v>39</v>
      </c>
      <c r="E2287" t="s">
        <v>14</v>
      </c>
      <c r="F2287">
        <v>16</v>
      </c>
      <c r="G2287" t="s">
        <v>23</v>
      </c>
      <c r="H2287">
        <v>2</v>
      </c>
      <c r="I2287">
        <v>22</v>
      </c>
      <c r="J2287">
        <v>0</v>
      </c>
      <c r="K2287" t="s">
        <v>16</v>
      </c>
      <c r="L2287" t="s">
        <v>17</v>
      </c>
      <c r="M2287">
        <f>IF(Table1[[#This Row],[ألغى الاشتراك]]="نعم",1,0)</f>
        <v>0</v>
      </c>
      <c r="N2287">
        <f>IF(Table1[[#This Row],[وسيلة الدفع]]="بطاقة",1,0)</f>
        <v>0</v>
      </c>
      <c r="O2287">
        <f>IF(Table1[[#This Row],[وسيلة الدفع]]="محفظة",1,0)</f>
        <v>0</v>
      </c>
      <c r="P2287">
        <f>IF(Table1[[#This Row],[وسيلة الدفع]]="تحويل",1,0)</f>
        <v>1</v>
      </c>
      <c r="Q2287">
        <f>IF(Table1[[#This Row],[حضر التهيئة]]="نعم",1,0)</f>
        <v>1</v>
      </c>
      <c r="R2287">
        <f>IF(Table1[[#This Row],[دورة الفوترة]]="شهري",1,0)</f>
        <v>1</v>
      </c>
    </row>
    <row r="2288" spans="1:18" x14ac:dyDescent="0.25">
      <c r="A2288" t="s">
        <v>2308</v>
      </c>
      <c r="B2288" s="1">
        <v>45462</v>
      </c>
      <c r="C2288" t="s">
        <v>19</v>
      </c>
      <c r="D2288">
        <v>189</v>
      </c>
      <c r="E2288" t="s">
        <v>20</v>
      </c>
      <c r="F2288">
        <v>17</v>
      </c>
      <c r="G2288" t="s">
        <v>21</v>
      </c>
      <c r="H2288">
        <v>2</v>
      </c>
      <c r="I2288">
        <v>47</v>
      </c>
      <c r="J2288">
        <v>10</v>
      </c>
      <c r="K2288" t="s">
        <v>16</v>
      </c>
      <c r="L2288" t="s">
        <v>17</v>
      </c>
      <c r="M2288">
        <f>IF(Table1[[#This Row],[ألغى الاشتراك]]="نعم",1,0)</f>
        <v>0</v>
      </c>
      <c r="N2288">
        <f>IF(Table1[[#This Row],[وسيلة الدفع]]="بطاقة",1,0)</f>
        <v>0</v>
      </c>
      <c r="O2288">
        <f>IF(Table1[[#This Row],[وسيلة الدفع]]="محفظة",1,0)</f>
        <v>1</v>
      </c>
      <c r="P2288">
        <f>IF(Table1[[#This Row],[وسيلة الدفع]]="تحويل",1,0)</f>
        <v>0</v>
      </c>
      <c r="Q2288">
        <f>IF(Table1[[#This Row],[حضر التهيئة]]="نعم",1,0)</f>
        <v>1</v>
      </c>
      <c r="R2288">
        <f>IF(Table1[[#This Row],[دورة الفوترة]]="شهري",1,0)</f>
        <v>0</v>
      </c>
    </row>
    <row r="2289" spans="1:18" x14ac:dyDescent="0.25">
      <c r="A2289" t="s">
        <v>2309</v>
      </c>
      <c r="B2289" s="1">
        <v>45866</v>
      </c>
      <c r="C2289" t="s">
        <v>13</v>
      </c>
      <c r="D2289">
        <v>89</v>
      </c>
      <c r="E2289" t="s">
        <v>14</v>
      </c>
      <c r="F2289">
        <v>7</v>
      </c>
      <c r="G2289" t="s">
        <v>23</v>
      </c>
      <c r="H2289">
        <v>0</v>
      </c>
      <c r="I2289">
        <v>21</v>
      </c>
      <c r="J2289">
        <v>0</v>
      </c>
      <c r="K2289" t="s">
        <v>16</v>
      </c>
      <c r="L2289" t="s">
        <v>17</v>
      </c>
      <c r="M2289">
        <f>IF(Table1[[#This Row],[ألغى الاشتراك]]="نعم",1,0)</f>
        <v>0</v>
      </c>
      <c r="N2289">
        <f>IF(Table1[[#This Row],[وسيلة الدفع]]="بطاقة",1,0)</f>
        <v>0</v>
      </c>
      <c r="O2289">
        <f>IF(Table1[[#This Row],[وسيلة الدفع]]="محفظة",1,0)</f>
        <v>0</v>
      </c>
      <c r="P2289">
        <f>IF(Table1[[#This Row],[وسيلة الدفع]]="تحويل",1,0)</f>
        <v>1</v>
      </c>
      <c r="Q2289">
        <f>IF(Table1[[#This Row],[حضر التهيئة]]="نعم",1,0)</f>
        <v>1</v>
      </c>
      <c r="R2289">
        <f>IF(Table1[[#This Row],[دورة الفوترة]]="شهري",1,0)</f>
        <v>1</v>
      </c>
    </row>
    <row r="2290" spans="1:18" x14ac:dyDescent="0.25">
      <c r="A2290" t="s">
        <v>2310</v>
      </c>
      <c r="B2290" s="1">
        <v>45643</v>
      </c>
      <c r="C2290" t="s">
        <v>19</v>
      </c>
      <c r="D2290">
        <v>189</v>
      </c>
      <c r="E2290" t="s">
        <v>14</v>
      </c>
      <c r="F2290">
        <v>14</v>
      </c>
      <c r="G2290" t="s">
        <v>15</v>
      </c>
      <c r="H2290">
        <v>2</v>
      </c>
      <c r="I2290">
        <v>24</v>
      </c>
      <c r="J2290">
        <v>0</v>
      </c>
      <c r="K2290" t="s">
        <v>16</v>
      </c>
      <c r="L2290" t="s">
        <v>17</v>
      </c>
      <c r="M2290">
        <f>IF(Table1[[#This Row],[ألغى الاشتراك]]="نعم",1,0)</f>
        <v>0</v>
      </c>
      <c r="N2290">
        <f>IF(Table1[[#This Row],[وسيلة الدفع]]="بطاقة",1,0)</f>
        <v>1</v>
      </c>
      <c r="O2290">
        <f>IF(Table1[[#This Row],[وسيلة الدفع]]="محفظة",1,0)</f>
        <v>0</v>
      </c>
      <c r="P2290">
        <f>IF(Table1[[#This Row],[وسيلة الدفع]]="تحويل",1,0)</f>
        <v>0</v>
      </c>
      <c r="Q2290">
        <f>IF(Table1[[#This Row],[حضر التهيئة]]="نعم",1,0)</f>
        <v>1</v>
      </c>
      <c r="R2290">
        <f>IF(Table1[[#This Row],[دورة الفوترة]]="شهري",1,0)</f>
        <v>1</v>
      </c>
    </row>
    <row r="2291" spans="1:18" x14ac:dyDescent="0.25">
      <c r="A2291" t="s">
        <v>2311</v>
      </c>
      <c r="B2291" s="1">
        <v>45683</v>
      </c>
      <c r="C2291" t="s">
        <v>28</v>
      </c>
      <c r="D2291">
        <v>39</v>
      </c>
      <c r="E2291" t="s">
        <v>14</v>
      </c>
      <c r="F2291">
        <v>21</v>
      </c>
      <c r="G2291" t="s">
        <v>23</v>
      </c>
      <c r="H2291">
        <v>1</v>
      </c>
      <c r="I2291">
        <v>55</v>
      </c>
      <c r="J2291">
        <v>0</v>
      </c>
      <c r="K2291" t="s">
        <v>17</v>
      </c>
      <c r="L2291" t="s">
        <v>16</v>
      </c>
      <c r="M2291">
        <f>IF(Table1[[#This Row],[ألغى الاشتراك]]="نعم",1,0)</f>
        <v>1</v>
      </c>
      <c r="N2291">
        <f>IF(Table1[[#This Row],[وسيلة الدفع]]="بطاقة",1,0)</f>
        <v>0</v>
      </c>
      <c r="O2291">
        <f>IF(Table1[[#This Row],[وسيلة الدفع]]="محفظة",1,0)</f>
        <v>0</v>
      </c>
      <c r="P2291">
        <f>IF(Table1[[#This Row],[وسيلة الدفع]]="تحويل",1,0)</f>
        <v>1</v>
      </c>
      <c r="Q2291">
        <f>IF(Table1[[#This Row],[حضر التهيئة]]="نعم",1,0)</f>
        <v>0</v>
      </c>
      <c r="R2291">
        <f>IF(Table1[[#This Row],[دورة الفوترة]]="شهري",1,0)</f>
        <v>1</v>
      </c>
    </row>
    <row r="2292" spans="1:18" x14ac:dyDescent="0.25">
      <c r="A2292" t="s">
        <v>2312</v>
      </c>
      <c r="B2292" s="1">
        <v>45576</v>
      </c>
      <c r="C2292" t="s">
        <v>28</v>
      </c>
      <c r="D2292">
        <v>39</v>
      </c>
      <c r="E2292" t="s">
        <v>20</v>
      </c>
      <c r="F2292">
        <v>14</v>
      </c>
      <c r="G2292" t="s">
        <v>15</v>
      </c>
      <c r="H2292">
        <v>4</v>
      </c>
      <c r="I2292">
        <v>6</v>
      </c>
      <c r="J2292">
        <v>0</v>
      </c>
      <c r="K2292" t="s">
        <v>16</v>
      </c>
      <c r="L2292" t="s">
        <v>17</v>
      </c>
      <c r="M2292">
        <f>IF(Table1[[#This Row],[ألغى الاشتراك]]="نعم",1,0)</f>
        <v>0</v>
      </c>
      <c r="N2292">
        <f>IF(Table1[[#This Row],[وسيلة الدفع]]="بطاقة",1,0)</f>
        <v>1</v>
      </c>
      <c r="O2292">
        <f>IF(Table1[[#This Row],[وسيلة الدفع]]="محفظة",1,0)</f>
        <v>0</v>
      </c>
      <c r="P2292">
        <f>IF(Table1[[#This Row],[وسيلة الدفع]]="تحويل",1,0)</f>
        <v>0</v>
      </c>
      <c r="Q2292">
        <f>IF(Table1[[#This Row],[حضر التهيئة]]="نعم",1,0)</f>
        <v>1</v>
      </c>
      <c r="R2292">
        <f>IF(Table1[[#This Row],[دورة الفوترة]]="شهري",1,0)</f>
        <v>0</v>
      </c>
    </row>
    <row r="2293" spans="1:18" x14ac:dyDescent="0.25">
      <c r="A2293" t="s">
        <v>2313</v>
      </c>
      <c r="B2293" s="1">
        <v>45842</v>
      </c>
      <c r="C2293" t="s">
        <v>13</v>
      </c>
      <c r="D2293">
        <v>89</v>
      </c>
      <c r="E2293" t="s">
        <v>14</v>
      </c>
      <c r="F2293">
        <v>17</v>
      </c>
      <c r="G2293" t="s">
        <v>23</v>
      </c>
      <c r="H2293">
        <v>7</v>
      </c>
      <c r="I2293">
        <v>57</v>
      </c>
      <c r="J2293">
        <v>0</v>
      </c>
      <c r="K2293" t="s">
        <v>17</v>
      </c>
      <c r="L2293" t="s">
        <v>17</v>
      </c>
      <c r="M2293">
        <f>IF(Table1[[#This Row],[ألغى الاشتراك]]="نعم",1,0)</f>
        <v>0</v>
      </c>
      <c r="N2293">
        <f>IF(Table1[[#This Row],[وسيلة الدفع]]="بطاقة",1,0)</f>
        <v>0</v>
      </c>
      <c r="O2293">
        <f>IF(Table1[[#This Row],[وسيلة الدفع]]="محفظة",1,0)</f>
        <v>0</v>
      </c>
      <c r="P2293">
        <f>IF(Table1[[#This Row],[وسيلة الدفع]]="تحويل",1,0)</f>
        <v>1</v>
      </c>
      <c r="Q2293">
        <f>IF(Table1[[#This Row],[حضر التهيئة]]="نعم",1,0)</f>
        <v>0</v>
      </c>
      <c r="R2293">
        <f>IF(Table1[[#This Row],[دورة الفوترة]]="شهري",1,0)</f>
        <v>1</v>
      </c>
    </row>
    <row r="2294" spans="1:18" x14ac:dyDescent="0.25">
      <c r="A2294" t="s">
        <v>2314</v>
      </c>
      <c r="B2294" s="1">
        <v>45651</v>
      </c>
      <c r="C2294" t="s">
        <v>13</v>
      </c>
      <c r="D2294">
        <v>89</v>
      </c>
      <c r="E2294" t="s">
        <v>20</v>
      </c>
      <c r="F2294">
        <v>20</v>
      </c>
      <c r="G2294" t="s">
        <v>21</v>
      </c>
      <c r="H2294">
        <v>0</v>
      </c>
      <c r="I2294">
        <v>6</v>
      </c>
      <c r="J2294">
        <v>0</v>
      </c>
      <c r="K2294" t="s">
        <v>16</v>
      </c>
      <c r="L2294" t="s">
        <v>17</v>
      </c>
      <c r="M2294">
        <f>IF(Table1[[#This Row],[ألغى الاشتراك]]="نعم",1,0)</f>
        <v>0</v>
      </c>
      <c r="N2294">
        <f>IF(Table1[[#This Row],[وسيلة الدفع]]="بطاقة",1,0)</f>
        <v>0</v>
      </c>
      <c r="O2294">
        <f>IF(Table1[[#This Row],[وسيلة الدفع]]="محفظة",1,0)</f>
        <v>1</v>
      </c>
      <c r="P2294">
        <f>IF(Table1[[#This Row],[وسيلة الدفع]]="تحويل",1,0)</f>
        <v>0</v>
      </c>
      <c r="Q2294">
        <f>IF(Table1[[#This Row],[حضر التهيئة]]="نعم",1,0)</f>
        <v>1</v>
      </c>
      <c r="R2294">
        <f>IF(Table1[[#This Row],[دورة الفوترة]]="شهري",1,0)</f>
        <v>0</v>
      </c>
    </row>
    <row r="2295" spans="1:18" x14ac:dyDescent="0.25">
      <c r="A2295" t="s">
        <v>2315</v>
      </c>
      <c r="B2295" s="1">
        <v>45675</v>
      </c>
      <c r="C2295" t="s">
        <v>13</v>
      </c>
      <c r="D2295">
        <v>89</v>
      </c>
      <c r="E2295" t="s">
        <v>14</v>
      </c>
      <c r="F2295">
        <v>23</v>
      </c>
      <c r="G2295" t="s">
        <v>15</v>
      </c>
      <c r="H2295">
        <v>1</v>
      </c>
      <c r="I2295">
        <v>41</v>
      </c>
      <c r="J2295">
        <v>0</v>
      </c>
      <c r="K2295" t="s">
        <v>16</v>
      </c>
      <c r="L2295" t="s">
        <v>17</v>
      </c>
      <c r="M2295">
        <f>IF(Table1[[#This Row],[ألغى الاشتراك]]="نعم",1,0)</f>
        <v>0</v>
      </c>
      <c r="N2295">
        <f>IF(Table1[[#This Row],[وسيلة الدفع]]="بطاقة",1,0)</f>
        <v>1</v>
      </c>
      <c r="O2295">
        <f>IF(Table1[[#This Row],[وسيلة الدفع]]="محفظة",1,0)</f>
        <v>0</v>
      </c>
      <c r="P2295">
        <f>IF(Table1[[#This Row],[وسيلة الدفع]]="تحويل",1,0)</f>
        <v>0</v>
      </c>
      <c r="Q2295">
        <f>IF(Table1[[#This Row],[حضر التهيئة]]="نعم",1,0)</f>
        <v>1</v>
      </c>
      <c r="R2295">
        <f>IF(Table1[[#This Row],[دورة الفوترة]]="شهري",1,0)</f>
        <v>1</v>
      </c>
    </row>
    <row r="2296" spans="1:18" x14ac:dyDescent="0.25">
      <c r="A2296" t="s">
        <v>2316</v>
      </c>
      <c r="B2296" s="1">
        <v>45572</v>
      </c>
      <c r="C2296" t="s">
        <v>28</v>
      </c>
      <c r="D2296">
        <v>39</v>
      </c>
      <c r="E2296" t="s">
        <v>14</v>
      </c>
      <c r="F2296">
        <v>18</v>
      </c>
      <c r="G2296" t="s">
        <v>23</v>
      </c>
      <c r="H2296">
        <v>2</v>
      </c>
      <c r="I2296">
        <v>16</v>
      </c>
      <c r="J2296">
        <v>0</v>
      </c>
      <c r="K2296" t="s">
        <v>17</v>
      </c>
      <c r="L2296" t="s">
        <v>17</v>
      </c>
      <c r="M2296">
        <f>IF(Table1[[#This Row],[ألغى الاشتراك]]="نعم",1,0)</f>
        <v>0</v>
      </c>
      <c r="N2296">
        <f>IF(Table1[[#This Row],[وسيلة الدفع]]="بطاقة",1,0)</f>
        <v>0</v>
      </c>
      <c r="O2296">
        <f>IF(Table1[[#This Row],[وسيلة الدفع]]="محفظة",1,0)</f>
        <v>0</v>
      </c>
      <c r="P2296">
        <f>IF(Table1[[#This Row],[وسيلة الدفع]]="تحويل",1,0)</f>
        <v>1</v>
      </c>
      <c r="Q2296">
        <f>IF(Table1[[#This Row],[حضر التهيئة]]="نعم",1,0)</f>
        <v>0</v>
      </c>
      <c r="R2296">
        <f>IF(Table1[[#This Row],[دورة الفوترة]]="شهري",1,0)</f>
        <v>1</v>
      </c>
    </row>
    <row r="2297" spans="1:18" x14ac:dyDescent="0.25">
      <c r="A2297" t="s">
        <v>2317</v>
      </c>
      <c r="B2297" s="1">
        <v>45858</v>
      </c>
      <c r="C2297" t="s">
        <v>19</v>
      </c>
      <c r="D2297">
        <v>189</v>
      </c>
      <c r="E2297" t="s">
        <v>20</v>
      </c>
      <c r="F2297">
        <v>23</v>
      </c>
      <c r="G2297" t="s">
        <v>21</v>
      </c>
      <c r="H2297">
        <v>0</v>
      </c>
      <c r="I2297">
        <v>37</v>
      </c>
      <c r="J2297">
        <v>0</v>
      </c>
      <c r="K2297" t="s">
        <v>17</v>
      </c>
      <c r="L2297" t="s">
        <v>17</v>
      </c>
      <c r="M2297">
        <f>IF(Table1[[#This Row],[ألغى الاشتراك]]="نعم",1,0)</f>
        <v>0</v>
      </c>
      <c r="N2297">
        <f>IF(Table1[[#This Row],[وسيلة الدفع]]="بطاقة",1,0)</f>
        <v>0</v>
      </c>
      <c r="O2297">
        <f>IF(Table1[[#This Row],[وسيلة الدفع]]="محفظة",1,0)</f>
        <v>1</v>
      </c>
      <c r="P2297">
        <f>IF(Table1[[#This Row],[وسيلة الدفع]]="تحويل",1,0)</f>
        <v>0</v>
      </c>
      <c r="Q2297">
        <f>IF(Table1[[#This Row],[حضر التهيئة]]="نعم",1,0)</f>
        <v>0</v>
      </c>
      <c r="R2297">
        <f>IF(Table1[[#This Row],[دورة الفوترة]]="شهري",1,0)</f>
        <v>0</v>
      </c>
    </row>
    <row r="2298" spans="1:18" x14ac:dyDescent="0.25">
      <c r="A2298" t="s">
        <v>2318</v>
      </c>
      <c r="B2298" s="1">
        <v>45513</v>
      </c>
      <c r="C2298" t="s">
        <v>19</v>
      </c>
      <c r="D2298">
        <v>189</v>
      </c>
      <c r="E2298" t="s">
        <v>20</v>
      </c>
      <c r="F2298">
        <v>16</v>
      </c>
      <c r="G2298" t="s">
        <v>15</v>
      </c>
      <c r="H2298">
        <v>0</v>
      </c>
      <c r="I2298">
        <v>40</v>
      </c>
      <c r="J2298">
        <v>0</v>
      </c>
      <c r="K2298" t="s">
        <v>17</v>
      </c>
      <c r="L2298" t="s">
        <v>17</v>
      </c>
      <c r="M2298">
        <f>IF(Table1[[#This Row],[ألغى الاشتراك]]="نعم",1,0)</f>
        <v>0</v>
      </c>
      <c r="N2298">
        <f>IF(Table1[[#This Row],[وسيلة الدفع]]="بطاقة",1,0)</f>
        <v>1</v>
      </c>
      <c r="O2298">
        <f>IF(Table1[[#This Row],[وسيلة الدفع]]="محفظة",1,0)</f>
        <v>0</v>
      </c>
      <c r="P2298">
        <f>IF(Table1[[#This Row],[وسيلة الدفع]]="تحويل",1,0)</f>
        <v>0</v>
      </c>
      <c r="Q2298">
        <f>IF(Table1[[#This Row],[حضر التهيئة]]="نعم",1,0)</f>
        <v>0</v>
      </c>
      <c r="R2298">
        <f>IF(Table1[[#This Row],[دورة الفوترة]]="شهري",1,0)</f>
        <v>0</v>
      </c>
    </row>
    <row r="2299" spans="1:18" x14ac:dyDescent="0.25">
      <c r="A2299" t="s">
        <v>2319</v>
      </c>
      <c r="B2299" s="1">
        <v>45683</v>
      </c>
      <c r="C2299" t="s">
        <v>19</v>
      </c>
      <c r="D2299">
        <v>189</v>
      </c>
      <c r="E2299" t="s">
        <v>20</v>
      </c>
      <c r="F2299">
        <v>25</v>
      </c>
      <c r="G2299" t="s">
        <v>21</v>
      </c>
      <c r="H2299">
        <v>0</v>
      </c>
      <c r="I2299">
        <v>7</v>
      </c>
      <c r="J2299">
        <v>0</v>
      </c>
      <c r="K2299" t="s">
        <v>16</v>
      </c>
      <c r="L2299" t="s">
        <v>17</v>
      </c>
      <c r="M2299">
        <f>IF(Table1[[#This Row],[ألغى الاشتراك]]="نعم",1,0)</f>
        <v>0</v>
      </c>
      <c r="N2299">
        <f>IF(Table1[[#This Row],[وسيلة الدفع]]="بطاقة",1,0)</f>
        <v>0</v>
      </c>
      <c r="O2299">
        <f>IF(Table1[[#This Row],[وسيلة الدفع]]="محفظة",1,0)</f>
        <v>1</v>
      </c>
      <c r="P2299">
        <f>IF(Table1[[#This Row],[وسيلة الدفع]]="تحويل",1,0)</f>
        <v>0</v>
      </c>
      <c r="Q2299">
        <f>IF(Table1[[#This Row],[حضر التهيئة]]="نعم",1,0)</f>
        <v>1</v>
      </c>
      <c r="R2299">
        <f>IF(Table1[[#This Row],[دورة الفوترة]]="شهري",1,0)</f>
        <v>0</v>
      </c>
    </row>
    <row r="2300" spans="1:18" x14ac:dyDescent="0.25">
      <c r="A2300" t="s">
        <v>2320</v>
      </c>
      <c r="B2300" s="1">
        <v>45568</v>
      </c>
      <c r="C2300" t="s">
        <v>19</v>
      </c>
      <c r="D2300">
        <v>189</v>
      </c>
      <c r="E2300" t="s">
        <v>14</v>
      </c>
      <c r="F2300">
        <v>6</v>
      </c>
      <c r="G2300" t="s">
        <v>21</v>
      </c>
      <c r="H2300">
        <v>5</v>
      </c>
      <c r="I2300">
        <v>2</v>
      </c>
      <c r="J2300">
        <v>0</v>
      </c>
      <c r="K2300" t="s">
        <v>16</v>
      </c>
      <c r="L2300" t="s">
        <v>17</v>
      </c>
      <c r="M2300">
        <f>IF(Table1[[#This Row],[ألغى الاشتراك]]="نعم",1,0)</f>
        <v>0</v>
      </c>
      <c r="N2300">
        <f>IF(Table1[[#This Row],[وسيلة الدفع]]="بطاقة",1,0)</f>
        <v>0</v>
      </c>
      <c r="O2300">
        <f>IF(Table1[[#This Row],[وسيلة الدفع]]="محفظة",1,0)</f>
        <v>1</v>
      </c>
      <c r="P2300">
        <f>IF(Table1[[#This Row],[وسيلة الدفع]]="تحويل",1,0)</f>
        <v>0</v>
      </c>
      <c r="Q2300">
        <f>IF(Table1[[#This Row],[حضر التهيئة]]="نعم",1,0)</f>
        <v>1</v>
      </c>
      <c r="R2300">
        <f>IF(Table1[[#This Row],[دورة الفوترة]]="شهري",1,0)</f>
        <v>1</v>
      </c>
    </row>
    <row r="2301" spans="1:18" x14ac:dyDescent="0.25">
      <c r="A2301" t="s">
        <v>2321</v>
      </c>
      <c r="B2301" s="1">
        <v>45732</v>
      </c>
      <c r="C2301" t="s">
        <v>13</v>
      </c>
      <c r="D2301">
        <v>89</v>
      </c>
      <c r="E2301" t="s">
        <v>14</v>
      </c>
      <c r="F2301">
        <v>25</v>
      </c>
      <c r="G2301" t="s">
        <v>15</v>
      </c>
      <c r="H2301">
        <v>4</v>
      </c>
      <c r="I2301">
        <v>31</v>
      </c>
      <c r="J2301">
        <v>0</v>
      </c>
      <c r="K2301" t="s">
        <v>16</v>
      </c>
      <c r="L2301" t="s">
        <v>17</v>
      </c>
      <c r="M2301">
        <f>IF(Table1[[#This Row],[ألغى الاشتراك]]="نعم",1,0)</f>
        <v>0</v>
      </c>
      <c r="N2301">
        <f>IF(Table1[[#This Row],[وسيلة الدفع]]="بطاقة",1,0)</f>
        <v>1</v>
      </c>
      <c r="O2301">
        <f>IF(Table1[[#This Row],[وسيلة الدفع]]="محفظة",1,0)</f>
        <v>0</v>
      </c>
      <c r="P2301">
        <f>IF(Table1[[#This Row],[وسيلة الدفع]]="تحويل",1,0)</f>
        <v>0</v>
      </c>
      <c r="Q2301">
        <f>IF(Table1[[#This Row],[حضر التهيئة]]="نعم",1,0)</f>
        <v>1</v>
      </c>
      <c r="R2301">
        <f>IF(Table1[[#This Row],[دورة الفوترة]]="شهري",1,0)</f>
        <v>1</v>
      </c>
    </row>
    <row r="2302" spans="1:18" x14ac:dyDescent="0.25">
      <c r="A2302" t="s">
        <v>2322</v>
      </c>
      <c r="B2302" s="1">
        <v>45631</v>
      </c>
      <c r="C2302" t="s">
        <v>28</v>
      </c>
      <c r="D2302">
        <v>39</v>
      </c>
      <c r="E2302" t="s">
        <v>14</v>
      </c>
      <c r="F2302">
        <v>12</v>
      </c>
      <c r="G2302" t="s">
        <v>21</v>
      </c>
      <c r="H2302">
        <v>2</v>
      </c>
      <c r="I2302">
        <v>52</v>
      </c>
      <c r="J2302">
        <v>0</v>
      </c>
      <c r="K2302" t="s">
        <v>17</v>
      </c>
      <c r="L2302" t="s">
        <v>17</v>
      </c>
      <c r="M2302">
        <f>IF(Table1[[#This Row],[ألغى الاشتراك]]="نعم",1,0)</f>
        <v>0</v>
      </c>
      <c r="N2302">
        <f>IF(Table1[[#This Row],[وسيلة الدفع]]="بطاقة",1,0)</f>
        <v>0</v>
      </c>
      <c r="O2302">
        <f>IF(Table1[[#This Row],[وسيلة الدفع]]="محفظة",1,0)</f>
        <v>1</v>
      </c>
      <c r="P2302">
        <f>IF(Table1[[#This Row],[وسيلة الدفع]]="تحويل",1,0)</f>
        <v>0</v>
      </c>
      <c r="Q2302">
        <f>IF(Table1[[#This Row],[حضر التهيئة]]="نعم",1,0)</f>
        <v>0</v>
      </c>
      <c r="R2302">
        <f>IF(Table1[[#This Row],[دورة الفوترة]]="شهري",1,0)</f>
        <v>1</v>
      </c>
    </row>
    <row r="2303" spans="1:18" x14ac:dyDescent="0.25">
      <c r="A2303" t="s">
        <v>2323</v>
      </c>
      <c r="B2303" s="1">
        <v>45795</v>
      </c>
      <c r="C2303" t="s">
        <v>13</v>
      </c>
      <c r="D2303">
        <v>89</v>
      </c>
      <c r="E2303" t="s">
        <v>20</v>
      </c>
      <c r="F2303">
        <v>29</v>
      </c>
      <c r="G2303" t="s">
        <v>21</v>
      </c>
      <c r="H2303">
        <v>9</v>
      </c>
      <c r="I2303">
        <v>3</v>
      </c>
      <c r="J2303">
        <v>0</v>
      </c>
      <c r="K2303" t="s">
        <v>16</v>
      </c>
      <c r="L2303" t="s">
        <v>17</v>
      </c>
      <c r="M2303">
        <f>IF(Table1[[#This Row],[ألغى الاشتراك]]="نعم",1,0)</f>
        <v>0</v>
      </c>
      <c r="N2303">
        <f>IF(Table1[[#This Row],[وسيلة الدفع]]="بطاقة",1,0)</f>
        <v>0</v>
      </c>
      <c r="O2303">
        <f>IF(Table1[[#This Row],[وسيلة الدفع]]="محفظة",1,0)</f>
        <v>1</v>
      </c>
      <c r="P2303">
        <f>IF(Table1[[#This Row],[وسيلة الدفع]]="تحويل",1,0)</f>
        <v>0</v>
      </c>
      <c r="Q2303">
        <f>IF(Table1[[#This Row],[حضر التهيئة]]="نعم",1,0)</f>
        <v>1</v>
      </c>
      <c r="R2303">
        <f>IF(Table1[[#This Row],[دورة الفوترة]]="شهري",1,0)</f>
        <v>0</v>
      </c>
    </row>
    <row r="2304" spans="1:18" x14ac:dyDescent="0.25">
      <c r="A2304" t="s">
        <v>2324</v>
      </c>
      <c r="B2304" s="1">
        <v>45470</v>
      </c>
      <c r="C2304" t="s">
        <v>28</v>
      </c>
      <c r="D2304">
        <v>39</v>
      </c>
      <c r="E2304" t="s">
        <v>14</v>
      </c>
      <c r="F2304">
        <v>22</v>
      </c>
      <c r="G2304" t="s">
        <v>23</v>
      </c>
      <c r="H2304">
        <v>0</v>
      </c>
      <c r="I2304">
        <v>28</v>
      </c>
      <c r="J2304">
        <v>0</v>
      </c>
      <c r="K2304" t="s">
        <v>16</v>
      </c>
      <c r="L2304" t="s">
        <v>17</v>
      </c>
      <c r="M2304">
        <f>IF(Table1[[#This Row],[ألغى الاشتراك]]="نعم",1,0)</f>
        <v>0</v>
      </c>
      <c r="N2304">
        <f>IF(Table1[[#This Row],[وسيلة الدفع]]="بطاقة",1,0)</f>
        <v>0</v>
      </c>
      <c r="O2304">
        <f>IF(Table1[[#This Row],[وسيلة الدفع]]="محفظة",1,0)</f>
        <v>0</v>
      </c>
      <c r="P2304">
        <f>IF(Table1[[#This Row],[وسيلة الدفع]]="تحويل",1,0)</f>
        <v>1</v>
      </c>
      <c r="Q2304">
        <f>IF(Table1[[#This Row],[حضر التهيئة]]="نعم",1,0)</f>
        <v>1</v>
      </c>
      <c r="R2304">
        <f>IF(Table1[[#This Row],[دورة الفوترة]]="شهري",1,0)</f>
        <v>1</v>
      </c>
    </row>
    <row r="2305" spans="1:18" x14ac:dyDescent="0.25">
      <c r="A2305" t="s">
        <v>2325</v>
      </c>
      <c r="B2305" s="1">
        <v>45846</v>
      </c>
      <c r="C2305" t="s">
        <v>28</v>
      </c>
      <c r="D2305">
        <v>39</v>
      </c>
      <c r="E2305" t="s">
        <v>14</v>
      </c>
      <c r="F2305">
        <v>23</v>
      </c>
      <c r="G2305" t="s">
        <v>15</v>
      </c>
      <c r="H2305">
        <v>5</v>
      </c>
      <c r="I2305">
        <v>9</v>
      </c>
      <c r="J2305">
        <v>0</v>
      </c>
      <c r="K2305" t="s">
        <v>17</v>
      </c>
      <c r="L2305" t="s">
        <v>17</v>
      </c>
      <c r="M2305">
        <f>IF(Table1[[#This Row],[ألغى الاشتراك]]="نعم",1,0)</f>
        <v>0</v>
      </c>
      <c r="N2305">
        <f>IF(Table1[[#This Row],[وسيلة الدفع]]="بطاقة",1,0)</f>
        <v>1</v>
      </c>
      <c r="O2305">
        <f>IF(Table1[[#This Row],[وسيلة الدفع]]="محفظة",1,0)</f>
        <v>0</v>
      </c>
      <c r="P2305">
        <f>IF(Table1[[#This Row],[وسيلة الدفع]]="تحويل",1,0)</f>
        <v>0</v>
      </c>
      <c r="Q2305">
        <f>IF(Table1[[#This Row],[حضر التهيئة]]="نعم",1,0)</f>
        <v>0</v>
      </c>
      <c r="R2305">
        <f>IF(Table1[[#This Row],[دورة الفوترة]]="شهري",1,0)</f>
        <v>1</v>
      </c>
    </row>
    <row r="2306" spans="1:18" x14ac:dyDescent="0.25">
      <c r="A2306" t="s">
        <v>2326</v>
      </c>
      <c r="B2306" s="1">
        <v>45647</v>
      </c>
      <c r="C2306" t="s">
        <v>19</v>
      </c>
      <c r="D2306">
        <v>189</v>
      </c>
      <c r="E2306" t="s">
        <v>14</v>
      </c>
      <c r="F2306">
        <v>12</v>
      </c>
      <c r="G2306" t="s">
        <v>15</v>
      </c>
      <c r="H2306">
        <v>10</v>
      </c>
      <c r="I2306">
        <v>50</v>
      </c>
      <c r="J2306">
        <v>0</v>
      </c>
      <c r="K2306" t="s">
        <v>16</v>
      </c>
      <c r="L2306" t="s">
        <v>17</v>
      </c>
      <c r="M2306">
        <f>IF(Table1[[#This Row],[ألغى الاشتراك]]="نعم",1,0)</f>
        <v>0</v>
      </c>
      <c r="N2306">
        <f>IF(Table1[[#This Row],[وسيلة الدفع]]="بطاقة",1,0)</f>
        <v>1</v>
      </c>
      <c r="O2306">
        <f>IF(Table1[[#This Row],[وسيلة الدفع]]="محفظة",1,0)</f>
        <v>0</v>
      </c>
      <c r="P2306">
        <f>IF(Table1[[#This Row],[وسيلة الدفع]]="تحويل",1,0)</f>
        <v>0</v>
      </c>
      <c r="Q2306">
        <f>IF(Table1[[#This Row],[حضر التهيئة]]="نعم",1,0)</f>
        <v>1</v>
      </c>
      <c r="R2306">
        <f>IF(Table1[[#This Row],[دورة الفوترة]]="شهري",1,0)</f>
        <v>1</v>
      </c>
    </row>
    <row r="2307" spans="1:18" x14ac:dyDescent="0.25">
      <c r="A2307" t="s">
        <v>2327</v>
      </c>
      <c r="B2307" s="1">
        <v>45675</v>
      </c>
      <c r="C2307" t="s">
        <v>19</v>
      </c>
      <c r="D2307">
        <v>189</v>
      </c>
      <c r="E2307" t="s">
        <v>14</v>
      </c>
      <c r="F2307">
        <v>7</v>
      </c>
      <c r="G2307" t="s">
        <v>21</v>
      </c>
      <c r="H2307">
        <v>1</v>
      </c>
      <c r="I2307">
        <v>39</v>
      </c>
      <c r="J2307">
        <v>0</v>
      </c>
      <c r="K2307" t="s">
        <v>16</v>
      </c>
      <c r="L2307" t="s">
        <v>17</v>
      </c>
      <c r="M2307">
        <f>IF(Table1[[#This Row],[ألغى الاشتراك]]="نعم",1,0)</f>
        <v>0</v>
      </c>
      <c r="N2307">
        <f>IF(Table1[[#This Row],[وسيلة الدفع]]="بطاقة",1,0)</f>
        <v>0</v>
      </c>
      <c r="O2307">
        <f>IF(Table1[[#This Row],[وسيلة الدفع]]="محفظة",1,0)</f>
        <v>1</v>
      </c>
      <c r="P2307">
        <f>IF(Table1[[#This Row],[وسيلة الدفع]]="تحويل",1,0)</f>
        <v>0</v>
      </c>
      <c r="Q2307">
        <f>IF(Table1[[#This Row],[حضر التهيئة]]="نعم",1,0)</f>
        <v>1</v>
      </c>
      <c r="R2307">
        <f>IF(Table1[[#This Row],[دورة الفوترة]]="شهري",1,0)</f>
        <v>1</v>
      </c>
    </row>
    <row r="2308" spans="1:18" x14ac:dyDescent="0.25">
      <c r="A2308" t="s">
        <v>2328</v>
      </c>
      <c r="B2308" s="1">
        <v>45592</v>
      </c>
      <c r="C2308" t="s">
        <v>13</v>
      </c>
      <c r="D2308">
        <v>89</v>
      </c>
      <c r="E2308" t="s">
        <v>14</v>
      </c>
      <c r="F2308">
        <v>30</v>
      </c>
      <c r="G2308" t="s">
        <v>15</v>
      </c>
      <c r="H2308">
        <v>1</v>
      </c>
      <c r="I2308">
        <v>6</v>
      </c>
      <c r="J2308">
        <v>0</v>
      </c>
      <c r="K2308" t="s">
        <v>17</v>
      </c>
      <c r="L2308" t="s">
        <v>17</v>
      </c>
      <c r="M2308">
        <f>IF(Table1[[#This Row],[ألغى الاشتراك]]="نعم",1,0)</f>
        <v>0</v>
      </c>
      <c r="N2308">
        <f>IF(Table1[[#This Row],[وسيلة الدفع]]="بطاقة",1,0)</f>
        <v>1</v>
      </c>
      <c r="O2308">
        <f>IF(Table1[[#This Row],[وسيلة الدفع]]="محفظة",1,0)</f>
        <v>0</v>
      </c>
      <c r="P2308">
        <f>IF(Table1[[#This Row],[وسيلة الدفع]]="تحويل",1,0)</f>
        <v>0</v>
      </c>
      <c r="Q2308">
        <f>IF(Table1[[#This Row],[حضر التهيئة]]="نعم",1,0)</f>
        <v>0</v>
      </c>
      <c r="R2308">
        <f>IF(Table1[[#This Row],[دورة الفوترة]]="شهري",1,0)</f>
        <v>1</v>
      </c>
    </row>
    <row r="2309" spans="1:18" x14ac:dyDescent="0.25">
      <c r="A2309" t="s">
        <v>2329</v>
      </c>
      <c r="B2309" s="1">
        <v>45740</v>
      </c>
      <c r="C2309" t="s">
        <v>13</v>
      </c>
      <c r="D2309">
        <v>89</v>
      </c>
      <c r="E2309" t="s">
        <v>14</v>
      </c>
      <c r="F2309">
        <v>25</v>
      </c>
      <c r="G2309" t="s">
        <v>23</v>
      </c>
      <c r="H2309">
        <v>5</v>
      </c>
      <c r="I2309">
        <v>57</v>
      </c>
      <c r="J2309">
        <v>0</v>
      </c>
      <c r="K2309" t="s">
        <v>17</v>
      </c>
      <c r="L2309" t="s">
        <v>17</v>
      </c>
      <c r="M2309">
        <f>IF(Table1[[#This Row],[ألغى الاشتراك]]="نعم",1,0)</f>
        <v>0</v>
      </c>
      <c r="N2309">
        <f>IF(Table1[[#This Row],[وسيلة الدفع]]="بطاقة",1,0)</f>
        <v>0</v>
      </c>
      <c r="O2309">
        <f>IF(Table1[[#This Row],[وسيلة الدفع]]="محفظة",1,0)</f>
        <v>0</v>
      </c>
      <c r="P2309">
        <f>IF(Table1[[#This Row],[وسيلة الدفع]]="تحويل",1,0)</f>
        <v>1</v>
      </c>
      <c r="Q2309">
        <f>IF(Table1[[#This Row],[حضر التهيئة]]="نعم",1,0)</f>
        <v>0</v>
      </c>
      <c r="R2309">
        <f>IF(Table1[[#This Row],[دورة الفوترة]]="شهري",1,0)</f>
        <v>1</v>
      </c>
    </row>
    <row r="2310" spans="1:18" x14ac:dyDescent="0.25">
      <c r="A2310" t="s">
        <v>2330</v>
      </c>
      <c r="B2310" s="1">
        <v>45407</v>
      </c>
      <c r="C2310" t="s">
        <v>28</v>
      </c>
      <c r="D2310">
        <v>39</v>
      </c>
      <c r="E2310" t="s">
        <v>14</v>
      </c>
      <c r="F2310">
        <v>2</v>
      </c>
      <c r="G2310" t="s">
        <v>23</v>
      </c>
      <c r="H2310">
        <v>2</v>
      </c>
      <c r="I2310">
        <v>56</v>
      </c>
      <c r="J2310">
        <v>0</v>
      </c>
      <c r="K2310" t="s">
        <v>16</v>
      </c>
      <c r="L2310" t="s">
        <v>17</v>
      </c>
      <c r="M2310">
        <f>IF(Table1[[#This Row],[ألغى الاشتراك]]="نعم",1,0)</f>
        <v>0</v>
      </c>
      <c r="N2310">
        <f>IF(Table1[[#This Row],[وسيلة الدفع]]="بطاقة",1,0)</f>
        <v>0</v>
      </c>
      <c r="O2310">
        <f>IF(Table1[[#This Row],[وسيلة الدفع]]="محفظة",1,0)</f>
        <v>0</v>
      </c>
      <c r="P2310">
        <f>IF(Table1[[#This Row],[وسيلة الدفع]]="تحويل",1,0)</f>
        <v>1</v>
      </c>
      <c r="Q2310">
        <f>IF(Table1[[#This Row],[حضر التهيئة]]="نعم",1,0)</f>
        <v>1</v>
      </c>
      <c r="R2310">
        <f>IF(Table1[[#This Row],[دورة الفوترة]]="شهري",1,0)</f>
        <v>1</v>
      </c>
    </row>
    <row r="2311" spans="1:18" x14ac:dyDescent="0.25">
      <c r="A2311" t="s">
        <v>2331</v>
      </c>
      <c r="B2311" s="1">
        <v>45926</v>
      </c>
      <c r="C2311" t="s">
        <v>28</v>
      </c>
      <c r="D2311">
        <v>39</v>
      </c>
      <c r="E2311" t="s">
        <v>14</v>
      </c>
      <c r="F2311">
        <v>23</v>
      </c>
      <c r="G2311" t="s">
        <v>21</v>
      </c>
      <c r="H2311">
        <v>2</v>
      </c>
      <c r="I2311">
        <v>59</v>
      </c>
      <c r="J2311">
        <v>0</v>
      </c>
      <c r="K2311" t="s">
        <v>16</v>
      </c>
      <c r="L2311" t="s">
        <v>17</v>
      </c>
      <c r="M2311">
        <f>IF(Table1[[#This Row],[ألغى الاشتراك]]="نعم",1,0)</f>
        <v>0</v>
      </c>
      <c r="N2311">
        <f>IF(Table1[[#This Row],[وسيلة الدفع]]="بطاقة",1,0)</f>
        <v>0</v>
      </c>
      <c r="O2311">
        <f>IF(Table1[[#This Row],[وسيلة الدفع]]="محفظة",1,0)</f>
        <v>1</v>
      </c>
      <c r="P2311">
        <f>IF(Table1[[#This Row],[وسيلة الدفع]]="تحويل",1,0)</f>
        <v>0</v>
      </c>
      <c r="Q2311">
        <f>IF(Table1[[#This Row],[حضر التهيئة]]="نعم",1,0)</f>
        <v>1</v>
      </c>
      <c r="R2311">
        <f>IF(Table1[[#This Row],[دورة الفوترة]]="شهري",1,0)</f>
        <v>1</v>
      </c>
    </row>
    <row r="2312" spans="1:18" x14ac:dyDescent="0.25">
      <c r="A2312" t="s">
        <v>2332</v>
      </c>
      <c r="B2312" s="1">
        <v>45842</v>
      </c>
      <c r="C2312" t="s">
        <v>13</v>
      </c>
      <c r="D2312">
        <v>89</v>
      </c>
      <c r="E2312" t="s">
        <v>14</v>
      </c>
      <c r="F2312">
        <v>2</v>
      </c>
      <c r="G2312" t="s">
        <v>15</v>
      </c>
      <c r="H2312">
        <v>1</v>
      </c>
      <c r="I2312">
        <v>20</v>
      </c>
      <c r="J2312">
        <v>15</v>
      </c>
      <c r="K2312" t="s">
        <v>16</v>
      </c>
      <c r="L2312" t="s">
        <v>17</v>
      </c>
      <c r="M2312">
        <f>IF(Table1[[#This Row],[ألغى الاشتراك]]="نعم",1,0)</f>
        <v>0</v>
      </c>
      <c r="N2312">
        <f>IF(Table1[[#This Row],[وسيلة الدفع]]="بطاقة",1,0)</f>
        <v>1</v>
      </c>
      <c r="O2312">
        <f>IF(Table1[[#This Row],[وسيلة الدفع]]="محفظة",1,0)</f>
        <v>0</v>
      </c>
      <c r="P2312">
        <f>IF(Table1[[#This Row],[وسيلة الدفع]]="تحويل",1,0)</f>
        <v>0</v>
      </c>
      <c r="Q2312">
        <f>IF(Table1[[#This Row],[حضر التهيئة]]="نعم",1,0)</f>
        <v>1</v>
      </c>
      <c r="R2312">
        <f>IF(Table1[[#This Row],[دورة الفوترة]]="شهري",1,0)</f>
        <v>1</v>
      </c>
    </row>
    <row r="2313" spans="1:18" x14ac:dyDescent="0.25">
      <c r="A2313" t="s">
        <v>2333</v>
      </c>
      <c r="B2313" s="1">
        <v>45387</v>
      </c>
      <c r="C2313" t="s">
        <v>19</v>
      </c>
      <c r="D2313">
        <v>189</v>
      </c>
      <c r="E2313" t="s">
        <v>14</v>
      </c>
      <c r="F2313">
        <v>4</v>
      </c>
      <c r="G2313" t="s">
        <v>21</v>
      </c>
      <c r="H2313">
        <v>7</v>
      </c>
      <c r="I2313">
        <v>48</v>
      </c>
      <c r="J2313">
        <v>0</v>
      </c>
      <c r="K2313" t="s">
        <v>17</v>
      </c>
      <c r="L2313" t="s">
        <v>16</v>
      </c>
      <c r="M2313">
        <f>IF(Table1[[#This Row],[ألغى الاشتراك]]="نعم",1,0)</f>
        <v>1</v>
      </c>
      <c r="N2313">
        <f>IF(Table1[[#This Row],[وسيلة الدفع]]="بطاقة",1,0)</f>
        <v>0</v>
      </c>
      <c r="O2313">
        <f>IF(Table1[[#This Row],[وسيلة الدفع]]="محفظة",1,0)</f>
        <v>1</v>
      </c>
      <c r="P2313">
        <f>IF(Table1[[#This Row],[وسيلة الدفع]]="تحويل",1,0)</f>
        <v>0</v>
      </c>
      <c r="Q2313">
        <f>IF(Table1[[#This Row],[حضر التهيئة]]="نعم",1,0)</f>
        <v>0</v>
      </c>
      <c r="R2313">
        <f>IF(Table1[[#This Row],[دورة الفوترة]]="شهري",1,0)</f>
        <v>1</v>
      </c>
    </row>
    <row r="2314" spans="1:18" x14ac:dyDescent="0.25">
      <c r="A2314" t="s">
        <v>2334</v>
      </c>
      <c r="B2314" s="1">
        <v>45683</v>
      </c>
      <c r="C2314" t="s">
        <v>28</v>
      </c>
      <c r="D2314">
        <v>39</v>
      </c>
      <c r="E2314" t="s">
        <v>14</v>
      </c>
      <c r="F2314">
        <v>27</v>
      </c>
      <c r="G2314" t="s">
        <v>23</v>
      </c>
      <c r="H2314">
        <v>0</v>
      </c>
      <c r="I2314">
        <v>27</v>
      </c>
      <c r="J2314">
        <v>0</v>
      </c>
      <c r="K2314" t="s">
        <v>16</v>
      </c>
      <c r="L2314" t="s">
        <v>17</v>
      </c>
      <c r="M2314">
        <f>IF(Table1[[#This Row],[ألغى الاشتراك]]="نعم",1,0)</f>
        <v>0</v>
      </c>
      <c r="N2314">
        <f>IF(Table1[[#This Row],[وسيلة الدفع]]="بطاقة",1,0)</f>
        <v>0</v>
      </c>
      <c r="O2314">
        <f>IF(Table1[[#This Row],[وسيلة الدفع]]="محفظة",1,0)</f>
        <v>0</v>
      </c>
      <c r="P2314">
        <f>IF(Table1[[#This Row],[وسيلة الدفع]]="تحويل",1,0)</f>
        <v>1</v>
      </c>
      <c r="Q2314">
        <f>IF(Table1[[#This Row],[حضر التهيئة]]="نعم",1,0)</f>
        <v>1</v>
      </c>
      <c r="R2314">
        <f>IF(Table1[[#This Row],[دورة الفوترة]]="شهري",1,0)</f>
        <v>1</v>
      </c>
    </row>
    <row r="2315" spans="1:18" x14ac:dyDescent="0.25">
      <c r="A2315" t="s">
        <v>2335</v>
      </c>
      <c r="B2315" s="1">
        <v>45584</v>
      </c>
      <c r="C2315" t="s">
        <v>19</v>
      </c>
      <c r="D2315">
        <v>189</v>
      </c>
      <c r="E2315" t="s">
        <v>14</v>
      </c>
      <c r="F2315">
        <v>20</v>
      </c>
      <c r="G2315" t="s">
        <v>23</v>
      </c>
      <c r="H2315">
        <v>0</v>
      </c>
      <c r="I2315">
        <v>26</v>
      </c>
      <c r="J2315">
        <v>0</v>
      </c>
      <c r="K2315" t="s">
        <v>17</v>
      </c>
      <c r="L2315" t="s">
        <v>17</v>
      </c>
      <c r="M2315">
        <f>IF(Table1[[#This Row],[ألغى الاشتراك]]="نعم",1,0)</f>
        <v>0</v>
      </c>
      <c r="N2315">
        <f>IF(Table1[[#This Row],[وسيلة الدفع]]="بطاقة",1,0)</f>
        <v>0</v>
      </c>
      <c r="O2315">
        <f>IF(Table1[[#This Row],[وسيلة الدفع]]="محفظة",1,0)</f>
        <v>0</v>
      </c>
      <c r="P2315">
        <f>IF(Table1[[#This Row],[وسيلة الدفع]]="تحويل",1,0)</f>
        <v>1</v>
      </c>
      <c r="Q2315">
        <f>IF(Table1[[#This Row],[حضر التهيئة]]="نعم",1,0)</f>
        <v>0</v>
      </c>
      <c r="R2315">
        <f>IF(Table1[[#This Row],[دورة الفوترة]]="شهري",1,0)</f>
        <v>1</v>
      </c>
    </row>
    <row r="2316" spans="1:18" x14ac:dyDescent="0.25">
      <c r="A2316" t="s">
        <v>2336</v>
      </c>
      <c r="B2316" s="1">
        <v>45842</v>
      </c>
      <c r="C2316" t="s">
        <v>28</v>
      </c>
      <c r="D2316">
        <v>39</v>
      </c>
      <c r="E2316" t="s">
        <v>14</v>
      </c>
      <c r="F2316">
        <v>25</v>
      </c>
      <c r="G2316" t="s">
        <v>23</v>
      </c>
      <c r="H2316">
        <v>2</v>
      </c>
      <c r="I2316">
        <v>47</v>
      </c>
      <c r="J2316">
        <v>0</v>
      </c>
      <c r="K2316" t="s">
        <v>17</v>
      </c>
      <c r="L2316" t="s">
        <v>17</v>
      </c>
      <c r="M2316">
        <f>IF(Table1[[#This Row],[ألغى الاشتراك]]="نعم",1,0)</f>
        <v>0</v>
      </c>
      <c r="N2316">
        <f>IF(Table1[[#This Row],[وسيلة الدفع]]="بطاقة",1,0)</f>
        <v>0</v>
      </c>
      <c r="O2316">
        <f>IF(Table1[[#This Row],[وسيلة الدفع]]="محفظة",1,0)</f>
        <v>0</v>
      </c>
      <c r="P2316">
        <f>IF(Table1[[#This Row],[وسيلة الدفع]]="تحويل",1,0)</f>
        <v>1</v>
      </c>
      <c r="Q2316">
        <f>IF(Table1[[#This Row],[حضر التهيئة]]="نعم",1,0)</f>
        <v>0</v>
      </c>
      <c r="R2316">
        <f>IF(Table1[[#This Row],[دورة الفوترة]]="شهري",1,0)</f>
        <v>1</v>
      </c>
    </row>
    <row r="2317" spans="1:18" x14ac:dyDescent="0.25">
      <c r="A2317" t="s">
        <v>2337</v>
      </c>
      <c r="B2317" s="1">
        <v>45639</v>
      </c>
      <c r="C2317" t="s">
        <v>13</v>
      </c>
      <c r="D2317">
        <v>89</v>
      </c>
      <c r="E2317" t="s">
        <v>14</v>
      </c>
      <c r="F2317">
        <v>16</v>
      </c>
      <c r="G2317" t="s">
        <v>15</v>
      </c>
      <c r="H2317">
        <v>1</v>
      </c>
      <c r="I2317">
        <v>6</v>
      </c>
      <c r="J2317">
        <v>0</v>
      </c>
      <c r="K2317" t="s">
        <v>16</v>
      </c>
      <c r="L2317" t="s">
        <v>17</v>
      </c>
      <c r="M2317">
        <f>IF(Table1[[#This Row],[ألغى الاشتراك]]="نعم",1,0)</f>
        <v>0</v>
      </c>
      <c r="N2317">
        <f>IF(Table1[[#This Row],[وسيلة الدفع]]="بطاقة",1,0)</f>
        <v>1</v>
      </c>
      <c r="O2317">
        <f>IF(Table1[[#This Row],[وسيلة الدفع]]="محفظة",1,0)</f>
        <v>0</v>
      </c>
      <c r="P2317">
        <f>IF(Table1[[#This Row],[وسيلة الدفع]]="تحويل",1,0)</f>
        <v>0</v>
      </c>
      <c r="Q2317">
        <f>IF(Table1[[#This Row],[حضر التهيئة]]="نعم",1,0)</f>
        <v>1</v>
      </c>
      <c r="R2317">
        <f>IF(Table1[[#This Row],[دورة الفوترة]]="شهري",1,0)</f>
        <v>1</v>
      </c>
    </row>
    <row r="2318" spans="1:18" x14ac:dyDescent="0.25">
      <c r="A2318" t="s">
        <v>2338</v>
      </c>
      <c r="B2318" s="1">
        <v>45910</v>
      </c>
      <c r="C2318" t="s">
        <v>28</v>
      </c>
      <c r="D2318">
        <v>39</v>
      </c>
      <c r="E2318" t="s">
        <v>14</v>
      </c>
      <c r="F2318">
        <v>25</v>
      </c>
      <c r="G2318" t="s">
        <v>23</v>
      </c>
      <c r="H2318">
        <v>8</v>
      </c>
      <c r="I2318">
        <v>7</v>
      </c>
      <c r="J2318">
        <v>0</v>
      </c>
      <c r="K2318" t="s">
        <v>17</v>
      </c>
      <c r="L2318" t="s">
        <v>17</v>
      </c>
      <c r="M2318">
        <f>IF(Table1[[#This Row],[ألغى الاشتراك]]="نعم",1,0)</f>
        <v>0</v>
      </c>
      <c r="N2318">
        <f>IF(Table1[[#This Row],[وسيلة الدفع]]="بطاقة",1,0)</f>
        <v>0</v>
      </c>
      <c r="O2318">
        <f>IF(Table1[[#This Row],[وسيلة الدفع]]="محفظة",1,0)</f>
        <v>0</v>
      </c>
      <c r="P2318">
        <f>IF(Table1[[#This Row],[وسيلة الدفع]]="تحويل",1,0)</f>
        <v>1</v>
      </c>
      <c r="Q2318">
        <f>IF(Table1[[#This Row],[حضر التهيئة]]="نعم",1,0)</f>
        <v>0</v>
      </c>
      <c r="R2318">
        <f>IF(Table1[[#This Row],[دورة الفوترة]]="شهري",1,0)</f>
        <v>1</v>
      </c>
    </row>
    <row r="2319" spans="1:18" x14ac:dyDescent="0.25">
      <c r="A2319" t="s">
        <v>2339</v>
      </c>
      <c r="B2319" s="1">
        <v>45349</v>
      </c>
      <c r="C2319" t="s">
        <v>19</v>
      </c>
      <c r="D2319">
        <v>189</v>
      </c>
      <c r="E2319" t="s">
        <v>20</v>
      </c>
      <c r="F2319">
        <v>16</v>
      </c>
      <c r="G2319" t="s">
        <v>23</v>
      </c>
      <c r="H2319">
        <v>2</v>
      </c>
      <c r="I2319">
        <v>26</v>
      </c>
      <c r="J2319">
        <v>0</v>
      </c>
      <c r="K2319" t="s">
        <v>17</v>
      </c>
      <c r="L2319" t="s">
        <v>17</v>
      </c>
      <c r="M2319">
        <f>IF(Table1[[#This Row],[ألغى الاشتراك]]="نعم",1,0)</f>
        <v>0</v>
      </c>
      <c r="N2319">
        <f>IF(Table1[[#This Row],[وسيلة الدفع]]="بطاقة",1,0)</f>
        <v>0</v>
      </c>
      <c r="O2319">
        <f>IF(Table1[[#This Row],[وسيلة الدفع]]="محفظة",1,0)</f>
        <v>0</v>
      </c>
      <c r="P2319">
        <f>IF(Table1[[#This Row],[وسيلة الدفع]]="تحويل",1,0)</f>
        <v>1</v>
      </c>
      <c r="Q2319">
        <f>IF(Table1[[#This Row],[حضر التهيئة]]="نعم",1,0)</f>
        <v>0</v>
      </c>
      <c r="R2319">
        <f>IF(Table1[[#This Row],[دورة الفوترة]]="شهري",1,0)</f>
        <v>0</v>
      </c>
    </row>
    <row r="2320" spans="1:18" x14ac:dyDescent="0.25">
      <c r="A2320" t="s">
        <v>2340</v>
      </c>
      <c r="B2320" s="1">
        <v>45399</v>
      </c>
      <c r="C2320" t="s">
        <v>28</v>
      </c>
      <c r="D2320">
        <v>39</v>
      </c>
      <c r="E2320" t="s">
        <v>14</v>
      </c>
      <c r="F2320">
        <v>1</v>
      </c>
      <c r="G2320" t="s">
        <v>21</v>
      </c>
      <c r="H2320">
        <v>1</v>
      </c>
      <c r="I2320">
        <v>35</v>
      </c>
      <c r="J2320">
        <v>25</v>
      </c>
      <c r="K2320" t="s">
        <v>16</v>
      </c>
      <c r="L2320" t="s">
        <v>17</v>
      </c>
      <c r="M2320">
        <f>IF(Table1[[#This Row],[ألغى الاشتراك]]="نعم",1,0)</f>
        <v>0</v>
      </c>
      <c r="N2320">
        <f>IF(Table1[[#This Row],[وسيلة الدفع]]="بطاقة",1,0)</f>
        <v>0</v>
      </c>
      <c r="O2320">
        <f>IF(Table1[[#This Row],[وسيلة الدفع]]="محفظة",1,0)</f>
        <v>1</v>
      </c>
      <c r="P2320">
        <f>IF(Table1[[#This Row],[وسيلة الدفع]]="تحويل",1,0)</f>
        <v>0</v>
      </c>
      <c r="Q2320">
        <f>IF(Table1[[#This Row],[حضر التهيئة]]="نعم",1,0)</f>
        <v>1</v>
      </c>
      <c r="R2320">
        <f>IF(Table1[[#This Row],[دورة الفوترة]]="شهري",1,0)</f>
        <v>1</v>
      </c>
    </row>
    <row r="2321" spans="1:18" x14ac:dyDescent="0.25">
      <c r="A2321" t="s">
        <v>2341</v>
      </c>
      <c r="B2321" s="1">
        <v>45906</v>
      </c>
      <c r="C2321" t="s">
        <v>13</v>
      </c>
      <c r="D2321">
        <v>89</v>
      </c>
      <c r="E2321" t="s">
        <v>20</v>
      </c>
      <c r="F2321">
        <v>9</v>
      </c>
      <c r="G2321" t="s">
        <v>23</v>
      </c>
      <c r="H2321">
        <v>0</v>
      </c>
      <c r="I2321">
        <v>41</v>
      </c>
      <c r="J2321">
        <v>0</v>
      </c>
      <c r="K2321" t="s">
        <v>17</v>
      </c>
      <c r="L2321" t="s">
        <v>17</v>
      </c>
      <c r="M2321">
        <f>IF(Table1[[#This Row],[ألغى الاشتراك]]="نعم",1,0)</f>
        <v>0</v>
      </c>
      <c r="N2321">
        <f>IF(Table1[[#This Row],[وسيلة الدفع]]="بطاقة",1,0)</f>
        <v>0</v>
      </c>
      <c r="O2321">
        <f>IF(Table1[[#This Row],[وسيلة الدفع]]="محفظة",1,0)</f>
        <v>0</v>
      </c>
      <c r="P2321">
        <f>IF(Table1[[#This Row],[وسيلة الدفع]]="تحويل",1,0)</f>
        <v>1</v>
      </c>
      <c r="Q2321">
        <f>IF(Table1[[#This Row],[حضر التهيئة]]="نعم",1,0)</f>
        <v>0</v>
      </c>
      <c r="R2321">
        <f>IF(Table1[[#This Row],[دورة الفوترة]]="شهري",1,0)</f>
        <v>0</v>
      </c>
    </row>
    <row r="2322" spans="1:18" x14ac:dyDescent="0.25">
      <c r="A2322" t="s">
        <v>2342</v>
      </c>
      <c r="B2322" s="1">
        <v>45592</v>
      </c>
      <c r="C2322" t="s">
        <v>19</v>
      </c>
      <c r="D2322">
        <v>189</v>
      </c>
      <c r="E2322" t="s">
        <v>14</v>
      </c>
      <c r="F2322">
        <v>14</v>
      </c>
      <c r="G2322" t="s">
        <v>15</v>
      </c>
      <c r="H2322">
        <v>0</v>
      </c>
      <c r="I2322">
        <v>44</v>
      </c>
      <c r="J2322">
        <v>0</v>
      </c>
      <c r="K2322" t="s">
        <v>16</v>
      </c>
      <c r="L2322" t="s">
        <v>17</v>
      </c>
      <c r="M2322">
        <f>IF(Table1[[#This Row],[ألغى الاشتراك]]="نعم",1,0)</f>
        <v>0</v>
      </c>
      <c r="N2322">
        <f>IF(Table1[[#This Row],[وسيلة الدفع]]="بطاقة",1,0)</f>
        <v>1</v>
      </c>
      <c r="O2322">
        <f>IF(Table1[[#This Row],[وسيلة الدفع]]="محفظة",1,0)</f>
        <v>0</v>
      </c>
      <c r="P2322">
        <f>IF(Table1[[#This Row],[وسيلة الدفع]]="تحويل",1,0)</f>
        <v>0</v>
      </c>
      <c r="Q2322">
        <f>IF(Table1[[#This Row],[حضر التهيئة]]="نعم",1,0)</f>
        <v>1</v>
      </c>
      <c r="R2322">
        <f>IF(Table1[[#This Row],[دورة الفوترة]]="شهري",1,0)</f>
        <v>1</v>
      </c>
    </row>
    <row r="2323" spans="1:18" x14ac:dyDescent="0.25">
      <c r="A2323" t="s">
        <v>2343</v>
      </c>
      <c r="B2323" s="1">
        <v>45740</v>
      </c>
      <c r="C2323" t="s">
        <v>13</v>
      </c>
      <c r="D2323">
        <v>89</v>
      </c>
      <c r="E2323" t="s">
        <v>14</v>
      </c>
      <c r="F2323">
        <v>1</v>
      </c>
      <c r="G2323" t="s">
        <v>15</v>
      </c>
      <c r="H2323">
        <v>10</v>
      </c>
      <c r="I2323">
        <v>3</v>
      </c>
      <c r="J2323">
        <v>0</v>
      </c>
      <c r="K2323" t="s">
        <v>16</v>
      </c>
      <c r="L2323" t="s">
        <v>17</v>
      </c>
      <c r="M2323">
        <f>IF(Table1[[#This Row],[ألغى الاشتراك]]="نعم",1,0)</f>
        <v>0</v>
      </c>
      <c r="N2323">
        <f>IF(Table1[[#This Row],[وسيلة الدفع]]="بطاقة",1,0)</f>
        <v>1</v>
      </c>
      <c r="O2323">
        <f>IF(Table1[[#This Row],[وسيلة الدفع]]="محفظة",1,0)</f>
        <v>0</v>
      </c>
      <c r="P2323">
        <f>IF(Table1[[#This Row],[وسيلة الدفع]]="تحويل",1,0)</f>
        <v>0</v>
      </c>
      <c r="Q2323">
        <f>IF(Table1[[#This Row],[حضر التهيئة]]="نعم",1,0)</f>
        <v>1</v>
      </c>
      <c r="R2323">
        <f>IF(Table1[[#This Row],[دورة الفوترة]]="شهري",1,0)</f>
        <v>1</v>
      </c>
    </row>
    <row r="2324" spans="1:18" x14ac:dyDescent="0.25">
      <c r="A2324" t="s">
        <v>2344</v>
      </c>
      <c r="B2324" s="1">
        <v>45659</v>
      </c>
      <c r="C2324" t="s">
        <v>19</v>
      </c>
      <c r="D2324">
        <v>189</v>
      </c>
      <c r="E2324" t="s">
        <v>14</v>
      </c>
      <c r="F2324">
        <v>10</v>
      </c>
      <c r="G2324" t="s">
        <v>15</v>
      </c>
      <c r="H2324">
        <v>11</v>
      </c>
      <c r="I2324">
        <v>52</v>
      </c>
      <c r="J2324">
        <v>5</v>
      </c>
      <c r="K2324" t="s">
        <v>17</v>
      </c>
      <c r="L2324" t="s">
        <v>17</v>
      </c>
      <c r="M2324">
        <f>IF(Table1[[#This Row],[ألغى الاشتراك]]="نعم",1,0)</f>
        <v>0</v>
      </c>
      <c r="N2324">
        <f>IF(Table1[[#This Row],[وسيلة الدفع]]="بطاقة",1,0)</f>
        <v>1</v>
      </c>
      <c r="O2324">
        <f>IF(Table1[[#This Row],[وسيلة الدفع]]="محفظة",1,0)</f>
        <v>0</v>
      </c>
      <c r="P2324">
        <f>IF(Table1[[#This Row],[وسيلة الدفع]]="تحويل",1,0)</f>
        <v>0</v>
      </c>
      <c r="Q2324">
        <f>IF(Table1[[#This Row],[حضر التهيئة]]="نعم",1,0)</f>
        <v>0</v>
      </c>
      <c r="R2324">
        <f>IF(Table1[[#This Row],[دورة الفوترة]]="شهري",1,0)</f>
        <v>1</v>
      </c>
    </row>
    <row r="2325" spans="1:18" x14ac:dyDescent="0.25">
      <c r="A2325" t="s">
        <v>2345</v>
      </c>
      <c r="B2325" s="1">
        <v>45584</v>
      </c>
      <c r="C2325" t="s">
        <v>13</v>
      </c>
      <c r="D2325">
        <v>89</v>
      </c>
      <c r="E2325" t="s">
        <v>14</v>
      </c>
      <c r="F2325">
        <v>16</v>
      </c>
      <c r="G2325" t="s">
        <v>15</v>
      </c>
      <c r="H2325">
        <v>6</v>
      </c>
      <c r="I2325">
        <v>28</v>
      </c>
      <c r="J2325">
        <v>0</v>
      </c>
      <c r="K2325" t="s">
        <v>16</v>
      </c>
      <c r="L2325" t="s">
        <v>17</v>
      </c>
      <c r="M2325">
        <f>IF(Table1[[#This Row],[ألغى الاشتراك]]="نعم",1,0)</f>
        <v>0</v>
      </c>
      <c r="N2325">
        <f>IF(Table1[[#This Row],[وسيلة الدفع]]="بطاقة",1,0)</f>
        <v>1</v>
      </c>
      <c r="O2325">
        <f>IF(Table1[[#This Row],[وسيلة الدفع]]="محفظة",1,0)</f>
        <v>0</v>
      </c>
      <c r="P2325">
        <f>IF(Table1[[#This Row],[وسيلة الدفع]]="تحويل",1,0)</f>
        <v>0</v>
      </c>
      <c r="Q2325">
        <f>IF(Table1[[#This Row],[حضر التهيئة]]="نعم",1,0)</f>
        <v>1</v>
      </c>
      <c r="R2325">
        <f>IF(Table1[[#This Row],[دورة الفوترة]]="شهري",1,0)</f>
        <v>1</v>
      </c>
    </row>
    <row r="2326" spans="1:18" x14ac:dyDescent="0.25">
      <c r="A2326" t="s">
        <v>2346</v>
      </c>
      <c r="B2326" s="1">
        <v>45846</v>
      </c>
      <c r="C2326" t="s">
        <v>28</v>
      </c>
      <c r="D2326">
        <v>39</v>
      </c>
      <c r="E2326" t="s">
        <v>20</v>
      </c>
      <c r="F2326">
        <v>9</v>
      </c>
      <c r="G2326" t="s">
        <v>23</v>
      </c>
      <c r="H2326">
        <v>11</v>
      </c>
      <c r="I2326">
        <v>7</v>
      </c>
      <c r="J2326">
        <v>0</v>
      </c>
      <c r="K2326" t="s">
        <v>16</v>
      </c>
      <c r="L2326" t="s">
        <v>17</v>
      </c>
      <c r="M2326">
        <f>IF(Table1[[#This Row],[ألغى الاشتراك]]="نعم",1,0)</f>
        <v>0</v>
      </c>
      <c r="N2326">
        <f>IF(Table1[[#This Row],[وسيلة الدفع]]="بطاقة",1,0)</f>
        <v>0</v>
      </c>
      <c r="O2326">
        <f>IF(Table1[[#This Row],[وسيلة الدفع]]="محفظة",1,0)</f>
        <v>0</v>
      </c>
      <c r="P2326">
        <f>IF(Table1[[#This Row],[وسيلة الدفع]]="تحويل",1,0)</f>
        <v>1</v>
      </c>
      <c r="Q2326">
        <f>IF(Table1[[#This Row],[حضر التهيئة]]="نعم",1,0)</f>
        <v>1</v>
      </c>
      <c r="R2326">
        <f>IF(Table1[[#This Row],[دورة الفوترة]]="شهري",1,0)</f>
        <v>0</v>
      </c>
    </row>
    <row r="2327" spans="1:18" x14ac:dyDescent="0.25">
      <c r="A2327" t="s">
        <v>2347</v>
      </c>
      <c r="B2327" s="1">
        <v>45403</v>
      </c>
      <c r="C2327" t="s">
        <v>19</v>
      </c>
      <c r="D2327">
        <v>189</v>
      </c>
      <c r="E2327" t="s">
        <v>20</v>
      </c>
      <c r="F2327">
        <v>4</v>
      </c>
      <c r="G2327" t="s">
        <v>23</v>
      </c>
      <c r="H2327">
        <v>8</v>
      </c>
      <c r="I2327">
        <v>58</v>
      </c>
      <c r="J2327">
        <v>0</v>
      </c>
      <c r="K2327" t="s">
        <v>16</v>
      </c>
      <c r="L2327" t="s">
        <v>17</v>
      </c>
      <c r="M2327">
        <f>IF(Table1[[#This Row],[ألغى الاشتراك]]="نعم",1,0)</f>
        <v>0</v>
      </c>
      <c r="N2327">
        <f>IF(Table1[[#This Row],[وسيلة الدفع]]="بطاقة",1,0)</f>
        <v>0</v>
      </c>
      <c r="O2327">
        <f>IF(Table1[[#This Row],[وسيلة الدفع]]="محفظة",1,0)</f>
        <v>0</v>
      </c>
      <c r="P2327">
        <f>IF(Table1[[#This Row],[وسيلة الدفع]]="تحويل",1,0)</f>
        <v>1</v>
      </c>
      <c r="Q2327">
        <f>IF(Table1[[#This Row],[حضر التهيئة]]="نعم",1,0)</f>
        <v>1</v>
      </c>
      <c r="R2327">
        <f>IF(Table1[[#This Row],[دورة الفوترة]]="شهري",1,0)</f>
        <v>0</v>
      </c>
    </row>
    <row r="2328" spans="1:18" x14ac:dyDescent="0.25">
      <c r="A2328" t="s">
        <v>2348</v>
      </c>
      <c r="B2328" s="1">
        <v>45926</v>
      </c>
      <c r="C2328" t="s">
        <v>13</v>
      </c>
      <c r="D2328">
        <v>89</v>
      </c>
      <c r="E2328" t="s">
        <v>14</v>
      </c>
      <c r="F2328">
        <v>5</v>
      </c>
      <c r="G2328" t="s">
        <v>23</v>
      </c>
      <c r="H2328">
        <v>3</v>
      </c>
      <c r="I2328">
        <v>23</v>
      </c>
      <c r="J2328">
        <v>0</v>
      </c>
      <c r="K2328" t="s">
        <v>17</v>
      </c>
      <c r="L2328" t="s">
        <v>17</v>
      </c>
      <c r="M2328">
        <f>IF(Table1[[#This Row],[ألغى الاشتراك]]="نعم",1,0)</f>
        <v>0</v>
      </c>
      <c r="N2328">
        <f>IF(Table1[[#This Row],[وسيلة الدفع]]="بطاقة",1,0)</f>
        <v>0</v>
      </c>
      <c r="O2328">
        <f>IF(Table1[[#This Row],[وسيلة الدفع]]="محفظة",1,0)</f>
        <v>0</v>
      </c>
      <c r="P2328">
        <f>IF(Table1[[#This Row],[وسيلة الدفع]]="تحويل",1,0)</f>
        <v>1</v>
      </c>
      <c r="Q2328">
        <f>IF(Table1[[#This Row],[حضر التهيئة]]="نعم",1,0)</f>
        <v>0</v>
      </c>
      <c r="R2328">
        <f>IF(Table1[[#This Row],[دورة الفوترة]]="شهري",1,0)</f>
        <v>1</v>
      </c>
    </row>
    <row r="2329" spans="1:18" x14ac:dyDescent="0.25">
      <c r="A2329" t="s">
        <v>2349</v>
      </c>
      <c r="B2329" s="1">
        <v>45450</v>
      </c>
      <c r="C2329" t="s">
        <v>28</v>
      </c>
      <c r="D2329">
        <v>39</v>
      </c>
      <c r="E2329" t="s">
        <v>14</v>
      </c>
      <c r="F2329">
        <v>8</v>
      </c>
      <c r="G2329" t="s">
        <v>23</v>
      </c>
      <c r="H2329">
        <v>0</v>
      </c>
      <c r="I2329">
        <v>50</v>
      </c>
      <c r="J2329">
        <v>0</v>
      </c>
      <c r="K2329" t="s">
        <v>17</v>
      </c>
      <c r="L2329" t="s">
        <v>17</v>
      </c>
      <c r="M2329">
        <f>IF(Table1[[#This Row],[ألغى الاشتراك]]="نعم",1,0)</f>
        <v>0</v>
      </c>
      <c r="N2329">
        <f>IF(Table1[[#This Row],[وسيلة الدفع]]="بطاقة",1,0)</f>
        <v>0</v>
      </c>
      <c r="O2329">
        <f>IF(Table1[[#This Row],[وسيلة الدفع]]="محفظة",1,0)</f>
        <v>0</v>
      </c>
      <c r="P2329">
        <f>IF(Table1[[#This Row],[وسيلة الدفع]]="تحويل",1,0)</f>
        <v>1</v>
      </c>
      <c r="Q2329">
        <f>IF(Table1[[#This Row],[حضر التهيئة]]="نعم",1,0)</f>
        <v>0</v>
      </c>
      <c r="R2329">
        <f>IF(Table1[[#This Row],[دورة الفوترة]]="شهري",1,0)</f>
        <v>1</v>
      </c>
    </row>
    <row r="2330" spans="1:18" x14ac:dyDescent="0.25">
      <c r="A2330" t="s">
        <v>2350</v>
      </c>
      <c r="B2330" s="1">
        <v>45736</v>
      </c>
      <c r="C2330" t="s">
        <v>19</v>
      </c>
      <c r="D2330">
        <v>189</v>
      </c>
      <c r="E2330" t="s">
        <v>14</v>
      </c>
      <c r="F2330">
        <v>9</v>
      </c>
      <c r="G2330" t="s">
        <v>23</v>
      </c>
      <c r="H2330">
        <v>2</v>
      </c>
      <c r="I2330">
        <v>53</v>
      </c>
      <c r="J2330">
        <v>0</v>
      </c>
      <c r="K2330" t="s">
        <v>16</v>
      </c>
      <c r="L2330" t="s">
        <v>17</v>
      </c>
      <c r="M2330">
        <f>IF(Table1[[#This Row],[ألغى الاشتراك]]="نعم",1,0)</f>
        <v>0</v>
      </c>
      <c r="N2330">
        <f>IF(Table1[[#This Row],[وسيلة الدفع]]="بطاقة",1,0)</f>
        <v>0</v>
      </c>
      <c r="O2330">
        <f>IF(Table1[[#This Row],[وسيلة الدفع]]="محفظة",1,0)</f>
        <v>0</v>
      </c>
      <c r="P2330">
        <f>IF(Table1[[#This Row],[وسيلة الدفع]]="تحويل",1,0)</f>
        <v>1</v>
      </c>
      <c r="Q2330">
        <f>IF(Table1[[#This Row],[حضر التهيئة]]="نعم",1,0)</f>
        <v>1</v>
      </c>
      <c r="R2330">
        <f>IF(Table1[[#This Row],[دورة الفوترة]]="شهري",1,0)</f>
        <v>1</v>
      </c>
    </row>
    <row r="2331" spans="1:18" x14ac:dyDescent="0.25">
      <c r="A2331" t="s">
        <v>2351</v>
      </c>
      <c r="B2331" s="1">
        <v>45509</v>
      </c>
      <c r="C2331" t="s">
        <v>28</v>
      </c>
      <c r="D2331">
        <v>39</v>
      </c>
      <c r="E2331" t="s">
        <v>14</v>
      </c>
      <c r="F2331">
        <v>8</v>
      </c>
      <c r="G2331" t="s">
        <v>15</v>
      </c>
      <c r="H2331">
        <v>2</v>
      </c>
      <c r="I2331">
        <v>58</v>
      </c>
      <c r="J2331">
        <v>0</v>
      </c>
      <c r="K2331" t="s">
        <v>16</v>
      </c>
      <c r="L2331" t="s">
        <v>17</v>
      </c>
      <c r="M2331">
        <f>IF(Table1[[#This Row],[ألغى الاشتراك]]="نعم",1,0)</f>
        <v>0</v>
      </c>
      <c r="N2331">
        <f>IF(Table1[[#This Row],[وسيلة الدفع]]="بطاقة",1,0)</f>
        <v>1</v>
      </c>
      <c r="O2331">
        <f>IF(Table1[[#This Row],[وسيلة الدفع]]="محفظة",1,0)</f>
        <v>0</v>
      </c>
      <c r="P2331">
        <f>IF(Table1[[#This Row],[وسيلة الدفع]]="تحويل",1,0)</f>
        <v>0</v>
      </c>
      <c r="Q2331">
        <f>IF(Table1[[#This Row],[حضر التهيئة]]="نعم",1,0)</f>
        <v>1</v>
      </c>
      <c r="R2331">
        <f>IF(Table1[[#This Row],[دورة الفوترة]]="شهري",1,0)</f>
        <v>1</v>
      </c>
    </row>
    <row r="2332" spans="1:18" x14ac:dyDescent="0.25">
      <c r="A2332" t="s">
        <v>2352</v>
      </c>
      <c r="B2332" s="1">
        <v>45799</v>
      </c>
      <c r="C2332" t="s">
        <v>19</v>
      </c>
      <c r="D2332">
        <v>189</v>
      </c>
      <c r="E2332" t="s">
        <v>20</v>
      </c>
      <c r="F2332">
        <v>11</v>
      </c>
      <c r="G2332" t="s">
        <v>21</v>
      </c>
      <c r="H2332">
        <v>5</v>
      </c>
      <c r="I2332">
        <v>23</v>
      </c>
      <c r="J2332">
        <v>0</v>
      </c>
      <c r="K2332" t="s">
        <v>17</v>
      </c>
      <c r="L2332" t="s">
        <v>17</v>
      </c>
      <c r="M2332">
        <f>IF(Table1[[#This Row],[ألغى الاشتراك]]="نعم",1,0)</f>
        <v>0</v>
      </c>
      <c r="N2332">
        <f>IF(Table1[[#This Row],[وسيلة الدفع]]="بطاقة",1,0)</f>
        <v>0</v>
      </c>
      <c r="O2332">
        <f>IF(Table1[[#This Row],[وسيلة الدفع]]="محفظة",1,0)</f>
        <v>1</v>
      </c>
      <c r="P2332">
        <f>IF(Table1[[#This Row],[وسيلة الدفع]]="تحويل",1,0)</f>
        <v>0</v>
      </c>
      <c r="Q2332">
        <f>IF(Table1[[#This Row],[حضر التهيئة]]="نعم",1,0)</f>
        <v>0</v>
      </c>
      <c r="R2332">
        <f>IF(Table1[[#This Row],[دورة الفوترة]]="شهري",1,0)</f>
        <v>0</v>
      </c>
    </row>
    <row r="2333" spans="1:18" x14ac:dyDescent="0.25">
      <c r="A2333" t="s">
        <v>2353</v>
      </c>
      <c r="B2333" s="1">
        <v>45740</v>
      </c>
      <c r="C2333" t="s">
        <v>28</v>
      </c>
      <c r="D2333">
        <v>39</v>
      </c>
      <c r="E2333" t="s">
        <v>14</v>
      </c>
      <c r="F2333">
        <v>30</v>
      </c>
      <c r="G2333" t="s">
        <v>23</v>
      </c>
      <c r="H2333">
        <v>0</v>
      </c>
      <c r="I2333">
        <v>16</v>
      </c>
      <c r="J2333">
        <v>15</v>
      </c>
      <c r="K2333" t="s">
        <v>16</v>
      </c>
      <c r="L2333" t="s">
        <v>17</v>
      </c>
      <c r="M2333">
        <f>IF(Table1[[#This Row],[ألغى الاشتراك]]="نعم",1,0)</f>
        <v>0</v>
      </c>
      <c r="N2333">
        <f>IF(Table1[[#This Row],[وسيلة الدفع]]="بطاقة",1,0)</f>
        <v>0</v>
      </c>
      <c r="O2333">
        <f>IF(Table1[[#This Row],[وسيلة الدفع]]="محفظة",1,0)</f>
        <v>0</v>
      </c>
      <c r="P2333">
        <f>IF(Table1[[#This Row],[وسيلة الدفع]]="تحويل",1,0)</f>
        <v>1</v>
      </c>
      <c r="Q2333">
        <f>IF(Table1[[#This Row],[حضر التهيئة]]="نعم",1,0)</f>
        <v>1</v>
      </c>
      <c r="R2333">
        <f>IF(Table1[[#This Row],[دورة الفوترة]]="شهري",1,0)</f>
        <v>1</v>
      </c>
    </row>
    <row r="2334" spans="1:18" x14ac:dyDescent="0.25">
      <c r="A2334" t="s">
        <v>2354</v>
      </c>
      <c r="B2334" s="1">
        <v>45505</v>
      </c>
      <c r="C2334" t="s">
        <v>13</v>
      </c>
      <c r="D2334">
        <v>89</v>
      </c>
      <c r="E2334" t="s">
        <v>14</v>
      </c>
      <c r="F2334">
        <v>24</v>
      </c>
      <c r="G2334" t="s">
        <v>23</v>
      </c>
      <c r="H2334">
        <v>2</v>
      </c>
      <c r="I2334">
        <v>14</v>
      </c>
      <c r="J2334">
        <v>0</v>
      </c>
      <c r="K2334" t="s">
        <v>17</v>
      </c>
      <c r="L2334" t="s">
        <v>17</v>
      </c>
      <c r="M2334">
        <f>IF(Table1[[#This Row],[ألغى الاشتراك]]="نعم",1,0)</f>
        <v>0</v>
      </c>
      <c r="N2334">
        <f>IF(Table1[[#This Row],[وسيلة الدفع]]="بطاقة",1,0)</f>
        <v>0</v>
      </c>
      <c r="O2334">
        <f>IF(Table1[[#This Row],[وسيلة الدفع]]="محفظة",1,0)</f>
        <v>0</v>
      </c>
      <c r="P2334">
        <f>IF(Table1[[#This Row],[وسيلة الدفع]]="تحويل",1,0)</f>
        <v>1</v>
      </c>
      <c r="Q2334">
        <f>IF(Table1[[#This Row],[حضر التهيئة]]="نعم",1,0)</f>
        <v>0</v>
      </c>
      <c r="R2334">
        <f>IF(Table1[[#This Row],[دورة الفوترة]]="شهري",1,0)</f>
        <v>1</v>
      </c>
    </row>
    <row r="2335" spans="1:18" x14ac:dyDescent="0.25">
      <c r="A2335" t="s">
        <v>2355</v>
      </c>
      <c r="B2335" s="1">
        <v>45683</v>
      </c>
      <c r="C2335" t="s">
        <v>13</v>
      </c>
      <c r="D2335">
        <v>89</v>
      </c>
      <c r="E2335" t="s">
        <v>14</v>
      </c>
      <c r="F2335">
        <v>9</v>
      </c>
      <c r="G2335" t="s">
        <v>15</v>
      </c>
      <c r="H2335">
        <v>1</v>
      </c>
      <c r="I2335">
        <v>35</v>
      </c>
      <c r="J2335">
        <v>0</v>
      </c>
      <c r="K2335" t="s">
        <v>16</v>
      </c>
      <c r="L2335" t="s">
        <v>17</v>
      </c>
      <c r="M2335">
        <f>IF(Table1[[#This Row],[ألغى الاشتراك]]="نعم",1,0)</f>
        <v>0</v>
      </c>
      <c r="N2335">
        <f>IF(Table1[[#This Row],[وسيلة الدفع]]="بطاقة",1,0)</f>
        <v>1</v>
      </c>
      <c r="O2335">
        <f>IF(Table1[[#This Row],[وسيلة الدفع]]="محفظة",1,0)</f>
        <v>0</v>
      </c>
      <c r="P2335">
        <f>IF(Table1[[#This Row],[وسيلة الدفع]]="تحويل",1,0)</f>
        <v>0</v>
      </c>
      <c r="Q2335">
        <f>IF(Table1[[#This Row],[حضر التهيئة]]="نعم",1,0)</f>
        <v>1</v>
      </c>
      <c r="R2335">
        <f>IF(Table1[[#This Row],[دورة الفوترة]]="شهري",1,0)</f>
        <v>1</v>
      </c>
    </row>
    <row r="2336" spans="1:18" x14ac:dyDescent="0.25">
      <c r="A2336" t="s">
        <v>2356</v>
      </c>
      <c r="B2336" s="1">
        <v>45325</v>
      </c>
      <c r="C2336" t="s">
        <v>19</v>
      </c>
      <c r="D2336">
        <v>189</v>
      </c>
      <c r="E2336" t="s">
        <v>14</v>
      </c>
      <c r="F2336">
        <v>6</v>
      </c>
      <c r="G2336" t="s">
        <v>23</v>
      </c>
      <c r="H2336">
        <v>4</v>
      </c>
      <c r="I2336">
        <v>58</v>
      </c>
      <c r="J2336">
        <v>0</v>
      </c>
      <c r="K2336" t="s">
        <v>16</v>
      </c>
      <c r="L2336" t="s">
        <v>17</v>
      </c>
      <c r="M2336">
        <f>IF(Table1[[#This Row],[ألغى الاشتراك]]="نعم",1,0)</f>
        <v>0</v>
      </c>
      <c r="N2336">
        <f>IF(Table1[[#This Row],[وسيلة الدفع]]="بطاقة",1,0)</f>
        <v>0</v>
      </c>
      <c r="O2336">
        <f>IF(Table1[[#This Row],[وسيلة الدفع]]="محفظة",1,0)</f>
        <v>0</v>
      </c>
      <c r="P2336">
        <f>IF(Table1[[#This Row],[وسيلة الدفع]]="تحويل",1,0)</f>
        <v>1</v>
      </c>
      <c r="Q2336">
        <f>IF(Table1[[#This Row],[حضر التهيئة]]="نعم",1,0)</f>
        <v>1</v>
      </c>
      <c r="R2336">
        <f>IF(Table1[[#This Row],[دورة الفوترة]]="شهري",1,0)</f>
        <v>1</v>
      </c>
    </row>
    <row r="2337" spans="1:18" x14ac:dyDescent="0.25">
      <c r="A2337" t="s">
        <v>2357</v>
      </c>
      <c r="B2337" s="1">
        <v>45631</v>
      </c>
      <c r="C2337" t="s">
        <v>28</v>
      </c>
      <c r="D2337">
        <v>39</v>
      </c>
      <c r="E2337" t="s">
        <v>20</v>
      </c>
      <c r="F2337">
        <v>27</v>
      </c>
      <c r="G2337" t="s">
        <v>21</v>
      </c>
      <c r="H2337">
        <v>0</v>
      </c>
      <c r="I2337">
        <v>35</v>
      </c>
      <c r="J2337">
        <v>25</v>
      </c>
      <c r="K2337" t="s">
        <v>16</v>
      </c>
      <c r="L2337" t="s">
        <v>17</v>
      </c>
      <c r="M2337">
        <f>IF(Table1[[#This Row],[ألغى الاشتراك]]="نعم",1,0)</f>
        <v>0</v>
      </c>
      <c r="N2337">
        <f>IF(Table1[[#This Row],[وسيلة الدفع]]="بطاقة",1,0)</f>
        <v>0</v>
      </c>
      <c r="O2337">
        <f>IF(Table1[[#This Row],[وسيلة الدفع]]="محفظة",1,0)</f>
        <v>1</v>
      </c>
      <c r="P2337">
        <f>IF(Table1[[#This Row],[وسيلة الدفع]]="تحويل",1,0)</f>
        <v>0</v>
      </c>
      <c r="Q2337">
        <f>IF(Table1[[#This Row],[حضر التهيئة]]="نعم",1,0)</f>
        <v>1</v>
      </c>
      <c r="R2337">
        <f>IF(Table1[[#This Row],[دورة الفوترة]]="شهري",1,0)</f>
        <v>0</v>
      </c>
    </row>
    <row r="2338" spans="1:18" x14ac:dyDescent="0.25">
      <c r="A2338" t="s">
        <v>2358</v>
      </c>
      <c r="B2338" s="1">
        <v>45795</v>
      </c>
      <c r="C2338" t="s">
        <v>19</v>
      </c>
      <c r="D2338">
        <v>189</v>
      </c>
      <c r="E2338" t="s">
        <v>14</v>
      </c>
      <c r="F2338">
        <v>29</v>
      </c>
      <c r="G2338" t="s">
        <v>15</v>
      </c>
      <c r="H2338">
        <v>2</v>
      </c>
      <c r="I2338">
        <v>11</v>
      </c>
      <c r="J2338">
        <v>0</v>
      </c>
      <c r="K2338" t="s">
        <v>16</v>
      </c>
      <c r="L2338" t="s">
        <v>17</v>
      </c>
      <c r="M2338">
        <f>IF(Table1[[#This Row],[ألغى الاشتراك]]="نعم",1,0)</f>
        <v>0</v>
      </c>
      <c r="N2338">
        <f>IF(Table1[[#This Row],[وسيلة الدفع]]="بطاقة",1,0)</f>
        <v>1</v>
      </c>
      <c r="O2338">
        <f>IF(Table1[[#This Row],[وسيلة الدفع]]="محفظة",1,0)</f>
        <v>0</v>
      </c>
      <c r="P2338">
        <f>IF(Table1[[#This Row],[وسيلة الدفع]]="تحويل",1,0)</f>
        <v>0</v>
      </c>
      <c r="Q2338">
        <f>IF(Table1[[#This Row],[حضر التهيئة]]="نعم",1,0)</f>
        <v>1</v>
      </c>
      <c r="R2338">
        <f>IF(Table1[[#This Row],[دورة الفوترة]]="شهري",1,0)</f>
        <v>1</v>
      </c>
    </row>
    <row r="2339" spans="1:18" x14ac:dyDescent="0.25">
      <c r="A2339" t="s">
        <v>2359</v>
      </c>
      <c r="B2339" s="1">
        <v>45576</v>
      </c>
      <c r="C2339" t="s">
        <v>19</v>
      </c>
      <c r="D2339">
        <v>189</v>
      </c>
      <c r="E2339" t="s">
        <v>14</v>
      </c>
      <c r="F2339">
        <v>14</v>
      </c>
      <c r="G2339" t="s">
        <v>15</v>
      </c>
      <c r="H2339">
        <v>0</v>
      </c>
      <c r="I2339">
        <v>12</v>
      </c>
      <c r="J2339">
        <v>0</v>
      </c>
      <c r="K2339" t="s">
        <v>16</v>
      </c>
      <c r="L2339" t="s">
        <v>17</v>
      </c>
      <c r="M2339">
        <f>IF(Table1[[#This Row],[ألغى الاشتراك]]="نعم",1,0)</f>
        <v>0</v>
      </c>
      <c r="N2339">
        <f>IF(Table1[[#This Row],[وسيلة الدفع]]="بطاقة",1,0)</f>
        <v>1</v>
      </c>
      <c r="O2339">
        <f>IF(Table1[[#This Row],[وسيلة الدفع]]="محفظة",1,0)</f>
        <v>0</v>
      </c>
      <c r="P2339">
        <f>IF(Table1[[#This Row],[وسيلة الدفع]]="تحويل",1,0)</f>
        <v>0</v>
      </c>
      <c r="Q2339">
        <f>IF(Table1[[#This Row],[حضر التهيئة]]="نعم",1,0)</f>
        <v>1</v>
      </c>
      <c r="R2339">
        <f>IF(Table1[[#This Row],[دورة الفوترة]]="شهري",1,0)</f>
        <v>1</v>
      </c>
    </row>
    <row r="2340" spans="1:18" x14ac:dyDescent="0.25">
      <c r="A2340" t="s">
        <v>2360</v>
      </c>
      <c r="B2340" s="1">
        <v>45866</v>
      </c>
      <c r="C2340" t="s">
        <v>13</v>
      </c>
      <c r="D2340">
        <v>89</v>
      </c>
      <c r="E2340" t="s">
        <v>14</v>
      </c>
      <c r="F2340">
        <v>17</v>
      </c>
      <c r="G2340" t="s">
        <v>21</v>
      </c>
      <c r="H2340">
        <v>1</v>
      </c>
      <c r="I2340">
        <v>57</v>
      </c>
      <c r="J2340">
        <v>0</v>
      </c>
      <c r="K2340" t="s">
        <v>16</v>
      </c>
      <c r="L2340" t="s">
        <v>17</v>
      </c>
      <c r="M2340">
        <f>IF(Table1[[#This Row],[ألغى الاشتراك]]="نعم",1,0)</f>
        <v>0</v>
      </c>
      <c r="N2340">
        <f>IF(Table1[[#This Row],[وسيلة الدفع]]="بطاقة",1,0)</f>
        <v>0</v>
      </c>
      <c r="O2340">
        <f>IF(Table1[[#This Row],[وسيلة الدفع]]="محفظة",1,0)</f>
        <v>1</v>
      </c>
      <c r="P2340">
        <f>IF(Table1[[#This Row],[وسيلة الدفع]]="تحويل",1,0)</f>
        <v>0</v>
      </c>
      <c r="Q2340">
        <f>IF(Table1[[#This Row],[حضر التهيئة]]="نعم",1,0)</f>
        <v>1</v>
      </c>
      <c r="R2340">
        <f>IF(Table1[[#This Row],[دورة الفوترة]]="شهري",1,0)</f>
        <v>1</v>
      </c>
    </row>
    <row r="2341" spans="1:18" x14ac:dyDescent="0.25">
      <c r="A2341" t="s">
        <v>2361</v>
      </c>
      <c r="B2341" s="1">
        <v>45529</v>
      </c>
      <c r="C2341" t="s">
        <v>19</v>
      </c>
      <c r="D2341">
        <v>189</v>
      </c>
      <c r="E2341" t="s">
        <v>14</v>
      </c>
      <c r="F2341">
        <v>18</v>
      </c>
      <c r="G2341" t="s">
        <v>21</v>
      </c>
      <c r="H2341">
        <v>1</v>
      </c>
      <c r="I2341">
        <v>4</v>
      </c>
      <c r="J2341">
        <v>0</v>
      </c>
      <c r="K2341" t="s">
        <v>17</v>
      </c>
      <c r="L2341" t="s">
        <v>16</v>
      </c>
      <c r="M2341">
        <f>IF(Table1[[#This Row],[ألغى الاشتراك]]="نعم",1,0)</f>
        <v>1</v>
      </c>
      <c r="N2341">
        <f>IF(Table1[[#This Row],[وسيلة الدفع]]="بطاقة",1,0)</f>
        <v>0</v>
      </c>
      <c r="O2341">
        <f>IF(Table1[[#This Row],[وسيلة الدفع]]="محفظة",1,0)</f>
        <v>1</v>
      </c>
      <c r="P2341">
        <f>IF(Table1[[#This Row],[وسيلة الدفع]]="تحويل",1,0)</f>
        <v>0</v>
      </c>
      <c r="Q2341">
        <f>IF(Table1[[#This Row],[حضر التهيئة]]="نعم",1,0)</f>
        <v>0</v>
      </c>
      <c r="R2341">
        <f>IF(Table1[[#This Row],[دورة الفوترة]]="شهري",1,0)</f>
        <v>1</v>
      </c>
    </row>
    <row r="2342" spans="1:18" x14ac:dyDescent="0.25">
      <c r="A2342" t="s">
        <v>2362</v>
      </c>
      <c r="B2342" s="1">
        <v>45337</v>
      </c>
      <c r="C2342" t="s">
        <v>13</v>
      </c>
      <c r="D2342">
        <v>89</v>
      </c>
      <c r="E2342" t="s">
        <v>14</v>
      </c>
      <c r="F2342">
        <v>23</v>
      </c>
      <c r="G2342" t="s">
        <v>15</v>
      </c>
      <c r="H2342">
        <v>1</v>
      </c>
      <c r="I2342">
        <v>45</v>
      </c>
      <c r="J2342">
        <v>10</v>
      </c>
      <c r="K2342" t="s">
        <v>17</v>
      </c>
      <c r="L2342" t="s">
        <v>17</v>
      </c>
      <c r="M2342">
        <f>IF(Table1[[#This Row],[ألغى الاشتراك]]="نعم",1,0)</f>
        <v>0</v>
      </c>
      <c r="N2342">
        <f>IF(Table1[[#This Row],[وسيلة الدفع]]="بطاقة",1,0)</f>
        <v>1</v>
      </c>
      <c r="O2342">
        <f>IF(Table1[[#This Row],[وسيلة الدفع]]="محفظة",1,0)</f>
        <v>0</v>
      </c>
      <c r="P2342">
        <f>IF(Table1[[#This Row],[وسيلة الدفع]]="تحويل",1,0)</f>
        <v>0</v>
      </c>
      <c r="Q2342">
        <f>IF(Table1[[#This Row],[حضر التهيئة]]="نعم",1,0)</f>
        <v>0</v>
      </c>
      <c r="R2342">
        <f>IF(Table1[[#This Row],[دورة الفوترة]]="شهري",1,0)</f>
        <v>1</v>
      </c>
    </row>
    <row r="2343" spans="1:18" x14ac:dyDescent="0.25">
      <c r="A2343" t="s">
        <v>2363</v>
      </c>
      <c r="B2343" s="1">
        <v>45720</v>
      </c>
      <c r="C2343" t="s">
        <v>28</v>
      </c>
      <c r="D2343">
        <v>39</v>
      </c>
      <c r="E2343" t="s">
        <v>14</v>
      </c>
      <c r="F2343">
        <v>9</v>
      </c>
      <c r="G2343" t="s">
        <v>23</v>
      </c>
      <c r="H2343">
        <v>8</v>
      </c>
      <c r="I2343">
        <v>19</v>
      </c>
      <c r="J2343">
        <v>0</v>
      </c>
      <c r="K2343" t="s">
        <v>16</v>
      </c>
      <c r="L2343" t="s">
        <v>17</v>
      </c>
      <c r="M2343">
        <f>IF(Table1[[#This Row],[ألغى الاشتراك]]="نعم",1,0)</f>
        <v>0</v>
      </c>
      <c r="N2343">
        <f>IF(Table1[[#This Row],[وسيلة الدفع]]="بطاقة",1,0)</f>
        <v>0</v>
      </c>
      <c r="O2343">
        <f>IF(Table1[[#This Row],[وسيلة الدفع]]="محفظة",1,0)</f>
        <v>0</v>
      </c>
      <c r="P2343">
        <f>IF(Table1[[#This Row],[وسيلة الدفع]]="تحويل",1,0)</f>
        <v>1</v>
      </c>
      <c r="Q2343">
        <f>IF(Table1[[#This Row],[حضر التهيئة]]="نعم",1,0)</f>
        <v>1</v>
      </c>
      <c r="R2343">
        <f>IF(Table1[[#This Row],[دورة الفوترة]]="شهري",1,0)</f>
        <v>1</v>
      </c>
    </row>
    <row r="2344" spans="1:18" x14ac:dyDescent="0.25">
      <c r="A2344" t="s">
        <v>2364</v>
      </c>
      <c r="B2344" s="1">
        <v>45525</v>
      </c>
      <c r="C2344" t="s">
        <v>19</v>
      </c>
      <c r="D2344">
        <v>189</v>
      </c>
      <c r="E2344" t="s">
        <v>20</v>
      </c>
      <c r="F2344">
        <v>10</v>
      </c>
      <c r="G2344" t="s">
        <v>15</v>
      </c>
      <c r="H2344">
        <v>1</v>
      </c>
      <c r="I2344">
        <v>52</v>
      </c>
      <c r="J2344">
        <v>0</v>
      </c>
      <c r="K2344" t="s">
        <v>17</v>
      </c>
      <c r="L2344" t="s">
        <v>17</v>
      </c>
      <c r="M2344">
        <f>IF(Table1[[#This Row],[ألغى الاشتراك]]="نعم",1,0)</f>
        <v>0</v>
      </c>
      <c r="N2344">
        <f>IF(Table1[[#This Row],[وسيلة الدفع]]="بطاقة",1,0)</f>
        <v>1</v>
      </c>
      <c r="O2344">
        <f>IF(Table1[[#This Row],[وسيلة الدفع]]="محفظة",1,0)</f>
        <v>0</v>
      </c>
      <c r="P2344">
        <f>IF(Table1[[#This Row],[وسيلة الدفع]]="تحويل",1,0)</f>
        <v>0</v>
      </c>
      <c r="Q2344">
        <f>IF(Table1[[#This Row],[حضر التهيئة]]="نعم",1,0)</f>
        <v>0</v>
      </c>
      <c r="R2344">
        <f>IF(Table1[[#This Row],[دورة الفوترة]]="شهري",1,0)</f>
        <v>0</v>
      </c>
    </row>
    <row r="2345" spans="1:18" x14ac:dyDescent="0.25">
      <c r="A2345" t="s">
        <v>2365</v>
      </c>
      <c r="B2345" s="1">
        <v>45902</v>
      </c>
      <c r="C2345" t="s">
        <v>13</v>
      </c>
      <c r="D2345">
        <v>89</v>
      </c>
      <c r="E2345" t="s">
        <v>14</v>
      </c>
      <c r="F2345">
        <v>1</v>
      </c>
      <c r="G2345" t="s">
        <v>21</v>
      </c>
      <c r="H2345">
        <v>0</v>
      </c>
      <c r="I2345">
        <v>35</v>
      </c>
      <c r="J2345">
        <v>0</v>
      </c>
      <c r="K2345" t="s">
        <v>17</v>
      </c>
      <c r="L2345" t="s">
        <v>17</v>
      </c>
      <c r="M2345">
        <f>IF(Table1[[#This Row],[ألغى الاشتراك]]="نعم",1,0)</f>
        <v>0</v>
      </c>
      <c r="N2345">
        <f>IF(Table1[[#This Row],[وسيلة الدفع]]="بطاقة",1,0)</f>
        <v>0</v>
      </c>
      <c r="O2345">
        <f>IF(Table1[[#This Row],[وسيلة الدفع]]="محفظة",1,0)</f>
        <v>1</v>
      </c>
      <c r="P2345">
        <f>IF(Table1[[#This Row],[وسيلة الدفع]]="تحويل",1,0)</f>
        <v>0</v>
      </c>
      <c r="Q2345">
        <f>IF(Table1[[#This Row],[حضر التهيئة]]="نعم",1,0)</f>
        <v>0</v>
      </c>
      <c r="R2345">
        <f>IF(Table1[[#This Row],[دورة الفوترة]]="شهري",1,0)</f>
        <v>1</v>
      </c>
    </row>
    <row r="2346" spans="1:18" x14ac:dyDescent="0.25">
      <c r="A2346" t="s">
        <v>2366</v>
      </c>
      <c r="B2346" s="1">
        <v>45977</v>
      </c>
      <c r="C2346" t="s">
        <v>19</v>
      </c>
      <c r="D2346">
        <v>189</v>
      </c>
      <c r="E2346" t="s">
        <v>14</v>
      </c>
      <c r="F2346">
        <v>4</v>
      </c>
      <c r="G2346" t="s">
        <v>23</v>
      </c>
      <c r="H2346">
        <v>2</v>
      </c>
      <c r="I2346">
        <v>40</v>
      </c>
      <c r="J2346">
        <v>15</v>
      </c>
      <c r="K2346" t="s">
        <v>16</v>
      </c>
      <c r="L2346" t="s">
        <v>17</v>
      </c>
      <c r="M2346">
        <f>IF(Table1[[#This Row],[ألغى الاشتراك]]="نعم",1,0)</f>
        <v>0</v>
      </c>
      <c r="N2346">
        <f>IF(Table1[[#This Row],[وسيلة الدفع]]="بطاقة",1,0)</f>
        <v>0</v>
      </c>
      <c r="O2346">
        <f>IF(Table1[[#This Row],[وسيلة الدفع]]="محفظة",1,0)</f>
        <v>0</v>
      </c>
      <c r="P2346">
        <f>IF(Table1[[#This Row],[وسيلة الدفع]]="تحويل",1,0)</f>
        <v>1</v>
      </c>
      <c r="Q2346">
        <f>IF(Table1[[#This Row],[حضر التهيئة]]="نعم",1,0)</f>
        <v>1</v>
      </c>
      <c r="R2346">
        <f>IF(Table1[[#This Row],[دورة الفوترة]]="شهري",1,0)</f>
        <v>1</v>
      </c>
    </row>
    <row r="2347" spans="1:18" x14ac:dyDescent="0.25">
      <c r="A2347" t="s">
        <v>2367</v>
      </c>
      <c r="B2347" s="1">
        <v>45517</v>
      </c>
      <c r="C2347" t="s">
        <v>19</v>
      </c>
      <c r="D2347">
        <v>189</v>
      </c>
      <c r="E2347" t="s">
        <v>20</v>
      </c>
      <c r="F2347">
        <v>10</v>
      </c>
      <c r="G2347" t="s">
        <v>23</v>
      </c>
      <c r="H2347">
        <v>2</v>
      </c>
      <c r="I2347">
        <v>24</v>
      </c>
      <c r="J2347">
        <v>0</v>
      </c>
      <c r="K2347" t="s">
        <v>17</v>
      </c>
      <c r="L2347" t="s">
        <v>17</v>
      </c>
      <c r="M2347">
        <f>IF(Table1[[#This Row],[ألغى الاشتراك]]="نعم",1,0)</f>
        <v>0</v>
      </c>
      <c r="N2347">
        <f>IF(Table1[[#This Row],[وسيلة الدفع]]="بطاقة",1,0)</f>
        <v>0</v>
      </c>
      <c r="O2347">
        <f>IF(Table1[[#This Row],[وسيلة الدفع]]="محفظة",1,0)</f>
        <v>0</v>
      </c>
      <c r="P2347">
        <f>IF(Table1[[#This Row],[وسيلة الدفع]]="تحويل",1,0)</f>
        <v>1</v>
      </c>
      <c r="Q2347">
        <f>IF(Table1[[#This Row],[حضر التهيئة]]="نعم",1,0)</f>
        <v>0</v>
      </c>
      <c r="R2347">
        <f>IF(Table1[[#This Row],[دورة الفوترة]]="شهري",1,0)</f>
        <v>0</v>
      </c>
    </row>
    <row r="2348" spans="1:18" x14ac:dyDescent="0.25">
      <c r="A2348" t="s">
        <v>2368</v>
      </c>
      <c r="B2348" s="1">
        <v>45675</v>
      </c>
      <c r="C2348" t="s">
        <v>28</v>
      </c>
      <c r="D2348">
        <v>39</v>
      </c>
      <c r="E2348" t="s">
        <v>14</v>
      </c>
      <c r="F2348">
        <v>21</v>
      </c>
      <c r="G2348" t="s">
        <v>21</v>
      </c>
      <c r="H2348">
        <v>0</v>
      </c>
      <c r="I2348">
        <v>27</v>
      </c>
      <c r="J2348">
        <v>0</v>
      </c>
      <c r="K2348" t="s">
        <v>17</v>
      </c>
      <c r="L2348" t="s">
        <v>17</v>
      </c>
      <c r="M2348">
        <f>IF(Table1[[#This Row],[ألغى الاشتراك]]="نعم",1,0)</f>
        <v>0</v>
      </c>
      <c r="N2348">
        <f>IF(Table1[[#This Row],[وسيلة الدفع]]="بطاقة",1,0)</f>
        <v>0</v>
      </c>
      <c r="O2348">
        <f>IF(Table1[[#This Row],[وسيلة الدفع]]="محفظة",1,0)</f>
        <v>1</v>
      </c>
      <c r="P2348">
        <f>IF(Table1[[#This Row],[وسيلة الدفع]]="تحويل",1,0)</f>
        <v>0</v>
      </c>
      <c r="Q2348">
        <f>IF(Table1[[#This Row],[حضر التهيئة]]="نعم",1,0)</f>
        <v>0</v>
      </c>
      <c r="R2348">
        <f>IF(Table1[[#This Row],[دورة الفوترة]]="شهري",1,0)</f>
        <v>1</v>
      </c>
    </row>
    <row r="2349" spans="1:18" x14ac:dyDescent="0.25">
      <c r="A2349" t="s">
        <v>2369</v>
      </c>
      <c r="B2349" s="1">
        <v>45325</v>
      </c>
      <c r="C2349" t="s">
        <v>13</v>
      </c>
      <c r="D2349">
        <v>89</v>
      </c>
      <c r="E2349" t="s">
        <v>14</v>
      </c>
      <c r="F2349">
        <v>18</v>
      </c>
      <c r="G2349" t="s">
        <v>23</v>
      </c>
      <c r="H2349">
        <v>0</v>
      </c>
      <c r="I2349">
        <v>28</v>
      </c>
      <c r="J2349">
        <v>0</v>
      </c>
      <c r="K2349" t="s">
        <v>16</v>
      </c>
      <c r="L2349" t="s">
        <v>17</v>
      </c>
      <c r="M2349">
        <f>IF(Table1[[#This Row],[ألغى الاشتراك]]="نعم",1,0)</f>
        <v>0</v>
      </c>
      <c r="N2349">
        <f>IF(Table1[[#This Row],[وسيلة الدفع]]="بطاقة",1,0)</f>
        <v>0</v>
      </c>
      <c r="O2349">
        <f>IF(Table1[[#This Row],[وسيلة الدفع]]="محفظة",1,0)</f>
        <v>0</v>
      </c>
      <c r="P2349">
        <f>IF(Table1[[#This Row],[وسيلة الدفع]]="تحويل",1,0)</f>
        <v>1</v>
      </c>
      <c r="Q2349">
        <f>IF(Table1[[#This Row],[حضر التهيئة]]="نعم",1,0)</f>
        <v>1</v>
      </c>
      <c r="R2349">
        <f>IF(Table1[[#This Row],[دورة الفوترة]]="شهري",1,0)</f>
        <v>1</v>
      </c>
    </row>
    <row r="2350" spans="1:18" x14ac:dyDescent="0.25">
      <c r="A2350" t="s">
        <v>2370</v>
      </c>
      <c r="B2350" s="1">
        <v>45509</v>
      </c>
      <c r="C2350" t="s">
        <v>28</v>
      </c>
      <c r="D2350">
        <v>39</v>
      </c>
      <c r="E2350" t="s">
        <v>14</v>
      </c>
      <c r="F2350">
        <v>13</v>
      </c>
      <c r="G2350" t="s">
        <v>21</v>
      </c>
      <c r="H2350">
        <v>1</v>
      </c>
      <c r="I2350">
        <v>35</v>
      </c>
      <c r="J2350">
        <v>25</v>
      </c>
      <c r="K2350" t="s">
        <v>17</v>
      </c>
      <c r="L2350" t="s">
        <v>17</v>
      </c>
      <c r="M2350">
        <f>IF(Table1[[#This Row],[ألغى الاشتراك]]="نعم",1,0)</f>
        <v>0</v>
      </c>
      <c r="N2350">
        <f>IF(Table1[[#This Row],[وسيلة الدفع]]="بطاقة",1,0)</f>
        <v>0</v>
      </c>
      <c r="O2350">
        <f>IF(Table1[[#This Row],[وسيلة الدفع]]="محفظة",1,0)</f>
        <v>1</v>
      </c>
      <c r="P2350">
        <f>IF(Table1[[#This Row],[وسيلة الدفع]]="تحويل",1,0)</f>
        <v>0</v>
      </c>
      <c r="Q2350">
        <f>IF(Table1[[#This Row],[حضر التهيئة]]="نعم",1,0)</f>
        <v>0</v>
      </c>
      <c r="R2350">
        <f>IF(Table1[[#This Row],[دورة الفوترة]]="شهري",1,0)</f>
        <v>1</v>
      </c>
    </row>
    <row r="2351" spans="1:18" x14ac:dyDescent="0.25">
      <c r="A2351" t="s">
        <v>2371</v>
      </c>
      <c r="B2351" s="1">
        <v>45906</v>
      </c>
      <c r="C2351" t="s">
        <v>13</v>
      </c>
      <c r="D2351">
        <v>89</v>
      </c>
      <c r="E2351" t="s">
        <v>20</v>
      </c>
      <c r="F2351">
        <v>13</v>
      </c>
      <c r="G2351" t="s">
        <v>23</v>
      </c>
      <c r="H2351">
        <v>0</v>
      </c>
      <c r="I2351">
        <v>57</v>
      </c>
      <c r="J2351">
        <v>0</v>
      </c>
      <c r="K2351" t="s">
        <v>17</v>
      </c>
      <c r="L2351" t="s">
        <v>17</v>
      </c>
      <c r="M2351">
        <f>IF(Table1[[#This Row],[ألغى الاشتراك]]="نعم",1,0)</f>
        <v>0</v>
      </c>
      <c r="N2351">
        <f>IF(Table1[[#This Row],[وسيلة الدفع]]="بطاقة",1,0)</f>
        <v>0</v>
      </c>
      <c r="O2351">
        <f>IF(Table1[[#This Row],[وسيلة الدفع]]="محفظة",1,0)</f>
        <v>0</v>
      </c>
      <c r="P2351">
        <f>IF(Table1[[#This Row],[وسيلة الدفع]]="تحويل",1,0)</f>
        <v>1</v>
      </c>
      <c r="Q2351">
        <f>IF(Table1[[#This Row],[حضر التهيئة]]="نعم",1,0)</f>
        <v>0</v>
      </c>
      <c r="R2351">
        <f>IF(Table1[[#This Row],[دورة الفوترة]]="شهري",1,0)</f>
        <v>0</v>
      </c>
    </row>
    <row r="2352" spans="1:18" x14ac:dyDescent="0.25">
      <c r="A2352" t="s">
        <v>2372</v>
      </c>
      <c r="B2352" s="1">
        <v>45466</v>
      </c>
      <c r="C2352" t="s">
        <v>28</v>
      </c>
      <c r="D2352">
        <v>39</v>
      </c>
      <c r="E2352" t="s">
        <v>14</v>
      </c>
      <c r="F2352">
        <v>16</v>
      </c>
      <c r="G2352" t="s">
        <v>21</v>
      </c>
      <c r="H2352">
        <v>10</v>
      </c>
      <c r="I2352">
        <v>30</v>
      </c>
      <c r="J2352">
        <v>0</v>
      </c>
      <c r="K2352" t="s">
        <v>16</v>
      </c>
      <c r="L2352" t="s">
        <v>17</v>
      </c>
      <c r="M2352">
        <f>IF(Table1[[#This Row],[ألغى الاشتراك]]="نعم",1,0)</f>
        <v>0</v>
      </c>
      <c r="N2352">
        <f>IF(Table1[[#This Row],[وسيلة الدفع]]="بطاقة",1,0)</f>
        <v>0</v>
      </c>
      <c r="O2352">
        <f>IF(Table1[[#This Row],[وسيلة الدفع]]="محفظة",1,0)</f>
        <v>1</v>
      </c>
      <c r="P2352">
        <f>IF(Table1[[#This Row],[وسيلة الدفع]]="تحويل",1,0)</f>
        <v>0</v>
      </c>
      <c r="Q2352">
        <f>IF(Table1[[#This Row],[حضر التهيئة]]="نعم",1,0)</f>
        <v>1</v>
      </c>
      <c r="R2352">
        <f>IF(Table1[[#This Row],[دورة الفوترة]]="شهري",1,0)</f>
        <v>1</v>
      </c>
    </row>
    <row r="2353" spans="1:18" x14ac:dyDescent="0.25">
      <c r="A2353" t="s">
        <v>2373</v>
      </c>
      <c r="B2353" s="1">
        <v>45724</v>
      </c>
      <c r="C2353" t="s">
        <v>28</v>
      </c>
      <c r="D2353">
        <v>39</v>
      </c>
      <c r="E2353" t="s">
        <v>20</v>
      </c>
      <c r="F2353">
        <v>13</v>
      </c>
      <c r="G2353" t="s">
        <v>15</v>
      </c>
      <c r="H2353">
        <v>0</v>
      </c>
      <c r="I2353">
        <v>25</v>
      </c>
      <c r="J2353">
        <v>0</v>
      </c>
      <c r="K2353" t="s">
        <v>17</v>
      </c>
      <c r="L2353" t="s">
        <v>17</v>
      </c>
      <c r="M2353">
        <f>IF(Table1[[#This Row],[ألغى الاشتراك]]="نعم",1,0)</f>
        <v>0</v>
      </c>
      <c r="N2353">
        <f>IF(Table1[[#This Row],[وسيلة الدفع]]="بطاقة",1,0)</f>
        <v>1</v>
      </c>
      <c r="O2353">
        <f>IF(Table1[[#This Row],[وسيلة الدفع]]="محفظة",1,0)</f>
        <v>0</v>
      </c>
      <c r="P2353">
        <f>IF(Table1[[#This Row],[وسيلة الدفع]]="تحويل",1,0)</f>
        <v>0</v>
      </c>
      <c r="Q2353">
        <f>IF(Table1[[#This Row],[حضر التهيئة]]="نعم",1,0)</f>
        <v>0</v>
      </c>
      <c r="R2353">
        <f>IF(Table1[[#This Row],[دورة الفوترة]]="شهري",1,0)</f>
        <v>0</v>
      </c>
    </row>
    <row r="2354" spans="1:18" x14ac:dyDescent="0.25">
      <c r="A2354" t="s">
        <v>2374</v>
      </c>
      <c r="B2354" s="1">
        <v>45517</v>
      </c>
      <c r="C2354" t="s">
        <v>13</v>
      </c>
      <c r="D2354">
        <v>89</v>
      </c>
      <c r="E2354" t="s">
        <v>20</v>
      </c>
      <c r="F2354">
        <v>16</v>
      </c>
      <c r="G2354" t="s">
        <v>23</v>
      </c>
      <c r="H2354">
        <v>0</v>
      </c>
      <c r="I2354">
        <v>54</v>
      </c>
      <c r="J2354">
        <v>0</v>
      </c>
      <c r="K2354" t="s">
        <v>16</v>
      </c>
      <c r="L2354" t="s">
        <v>17</v>
      </c>
      <c r="M2354">
        <f>IF(Table1[[#This Row],[ألغى الاشتراك]]="نعم",1,0)</f>
        <v>0</v>
      </c>
      <c r="N2354">
        <f>IF(Table1[[#This Row],[وسيلة الدفع]]="بطاقة",1,0)</f>
        <v>0</v>
      </c>
      <c r="O2354">
        <f>IF(Table1[[#This Row],[وسيلة الدفع]]="محفظة",1,0)</f>
        <v>0</v>
      </c>
      <c r="P2354">
        <f>IF(Table1[[#This Row],[وسيلة الدفع]]="تحويل",1,0)</f>
        <v>1</v>
      </c>
      <c r="Q2354">
        <f>IF(Table1[[#This Row],[حضر التهيئة]]="نعم",1,0)</f>
        <v>1</v>
      </c>
      <c r="R2354">
        <f>IF(Table1[[#This Row],[دورة الفوترة]]="شهري",1,0)</f>
        <v>0</v>
      </c>
    </row>
    <row r="2355" spans="1:18" x14ac:dyDescent="0.25">
      <c r="A2355" t="s">
        <v>2375</v>
      </c>
      <c r="B2355" s="1">
        <v>45799</v>
      </c>
      <c r="C2355" t="s">
        <v>28</v>
      </c>
      <c r="D2355">
        <v>39</v>
      </c>
      <c r="E2355" t="s">
        <v>20</v>
      </c>
      <c r="F2355">
        <v>1</v>
      </c>
      <c r="G2355" t="s">
        <v>15</v>
      </c>
      <c r="H2355">
        <v>2</v>
      </c>
      <c r="I2355">
        <v>39</v>
      </c>
      <c r="J2355">
        <v>0</v>
      </c>
      <c r="K2355" t="s">
        <v>16</v>
      </c>
      <c r="L2355" t="s">
        <v>17</v>
      </c>
      <c r="M2355">
        <f>IF(Table1[[#This Row],[ألغى الاشتراك]]="نعم",1,0)</f>
        <v>0</v>
      </c>
      <c r="N2355">
        <f>IF(Table1[[#This Row],[وسيلة الدفع]]="بطاقة",1,0)</f>
        <v>1</v>
      </c>
      <c r="O2355">
        <f>IF(Table1[[#This Row],[وسيلة الدفع]]="محفظة",1,0)</f>
        <v>0</v>
      </c>
      <c r="P2355">
        <f>IF(Table1[[#This Row],[وسيلة الدفع]]="تحويل",1,0)</f>
        <v>0</v>
      </c>
      <c r="Q2355">
        <f>IF(Table1[[#This Row],[حضر التهيئة]]="نعم",1,0)</f>
        <v>1</v>
      </c>
      <c r="R2355">
        <f>IF(Table1[[#This Row],[دورة الفوترة]]="شهري",1,0)</f>
        <v>0</v>
      </c>
    </row>
    <row r="2356" spans="1:18" x14ac:dyDescent="0.25">
      <c r="A2356" t="s">
        <v>2376</v>
      </c>
      <c r="B2356" s="1">
        <v>45965</v>
      </c>
      <c r="C2356" t="s">
        <v>13</v>
      </c>
      <c r="D2356">
        <v>89</v>
      </c>
      <c r="E2356" t="s">
        <v>14</v>
      </c>
      <c r="F2356">
        <v>20</v>
      </c>
      <c r="G2356" t="s">
        <v>23</v>
      </c>
      <c r="H2356">
        <v>9</v>
      </c>
      <c r="I2356">
        <v>26</v>
      </c>
      <c r="J2356">
        <v>15</v>
      </c>
      <c r="K2356" t="s">
        <v>16</v>
      </c>
      <c r="L2356" t="s">
        <v>16</v>
      </c>
      <c r="M2356">
        <f>IF(Table1[[#This Row],[ألغى الاشتراك]]="نعم",1,0)</f>
        <v>1</v>
      </c>
      <c r="N2356">
        <f>IF(Table1[[#This Row],[وسيلة الدفع]]="بطاقة",1,0)</f>
        <v>0</v>
      </c>
      <c r="O2356">
        <f>IF(Table1[[#This Row],[وسيلة الدفع]]="محفظة",1,0)</f>
        <v>0</v>
      </c>
      <c r="P2356">
        <f>IF(Table1[[#This Row],[وسيلة الدفع]]="تحويل",1,0)</f>
        <v>1</v>
      </c>
      <c r="Q2356">
        <f>IF(Table1[[#This Row],[حضر التهيئة]]="نعم",1,0)</f>
        <v>1</v>
      </c>
      <c r="R2356">
        <f>IF(Table1[[#This Row],[دورة الفوترة]]="شهري",1,0)</f>
        <v>1</v>
      </c>
    </row>
    <row r="2357" spans="1:18" x14ac:dyDescent="0.25">
      <c r="A2357" t="s">
        <v>2377</v>
      </c>
      <c r="B2357" s="1">
        <v>45395</v>
      </c>
      <c r="C2357" t="s">
        <v>13</v>
      </c>
      <c r="D2357">
        <v>89</v>
      </c>
      <c r="E2357" t="s">
        <v>14</v>
      </c>
      <c r="F2357">
        <v>18</v>
      </c>
      <c r="G2357" t="s">
        <v>15</v>
      </c>
      <c r="H2357">
        <v>9</v>
      </c>
      <c r="I2357">
        <v>20</v>
      </c>
      <c r="J2357">
        <v>0</v>
      </c>
      <c r="K2357" t="s">
        <v>17</v>
      </c>
      <c r="L2357" t="s">
        <v>16</v>
      </c>
      <c r="M2357">
        <f>IF(Table1[[#This Row],[ألغى الاشتراك]]="نعم",1,0)</f>
        <v>1</v>
      </c>
      <c r="N2357">
        <f>IF(Table1[[#This Row],[وسيلة الدفع]]="بطاقة",1,0)</f>
        <v>1</v>
      </c>
      <c r="O2357">
        <f>IF(Table1[[#This Row],[وسيلة الدفع]]="محفظة",1,0)</f>
        <v>0</v>
      </c>
      <c r="P2357">
        <f>IF(Table1[[#This Row],[وسيلة الدفع]]="تحويل",1,0)</f>
        <v>0</v>
      </c>
      <c r="Q2357">
        <f>IF(Table1[[#This Row],[حضر التهيئة]]="نعم",1,0)</f>
        <v>0</v>
      </c>
      <c r="R2357">
        <f>IF(Table1[[#This Row],[دورة الفوترة]]="شهري",1,0)</f>
        <v>1</v>
      </c>
    </row>
    <row r="2358" spans="1:18" x14ac:dyDescent="0.25">
      <c r="A2358" t="s">
        <v>2378</v>
      </c>
      <c r="B2358" s="1">
        <v>45799</v>
      </c>
      <c r="C2358" t="s">
        <v>19</v>
      </c>
      <c r="D2358">
        <v>189</v>
      </c>
      <c r="E2358" t="s">
        <v>20</v>
      </c>
      <c r="F2358">
        <v>23</v>
      </c>
      <c r="G2358" t="s">
        <v>23</v>
      </c>
      <c r="H2358">
        <v>8</v>
      </c>
      <c r="I2358">
        <v>41</v>
      </c>
      <c r="J2358">
        <v>0</v>
      </c>
      <c r="K2358" t="s">
        <v>16</v>
      </c>
      <c r="L2358" t="s">
        <v>17</v>
      </c>
      <c r="M2358">
        <f>IF(Table1[[#This Row],[ألغى الاشتراك]]="نعم",1,0)</f>
        <v>0</v>
      </c>
      <c r="N2358">
        <f>IF(Table1[[#This Row],[وسيلة الدفع]]="بطاقة",1,0)</f>
        <v>0</v>
      </c>
      <c r="O2358">
        <f>IF(Table1[[#This Row],[وسيلة الدفع]]="محفظة",1,0)</f>
        <v>0</v>
      </c>
      <c r="P2358">
        <f>IF(Table1[[#This Row],[وسيلة الدفع]]="تحويل",1,0)</f>
        <v>1</v>
      </c>
      <c r="Q2358">
        <f>IF(Table1[[#This Row],[حضر التهيئة]]="نعم",1,0)</f>
        <v>1</v>
      </c>
      <c r="R2358">
        <f>IF(Table1[[#This Row],[دورة الفوترة]]="شهري",1,0)</f>
        <v>0</v>
      </c>
    </row>
    <row r="2359" spans="1:18" x14ac:dyDescent="0.25">
      <c r="A2359" t="s">
        <v>2379</v>
      </c>
      <c r="B2359" s="1">
        <v>45989</v>
      </c>
      <c r="C2359" t="s">
        <v>19</v>
      </c>
      <c r="D2359">
        <v>189</v>
      </c>
      <c r="E2359" t="s">
        <v>20</v>
      </c>
      <c r="F2359">
        <v>22</v>
      </c>
      <c r="G2359" t="s">
        <v>23</v>
      </c>
      <c r="H2359">
        <v>0</v>
      </c>
      <c r="I2359">
        <v>54</v>
      </c>
      <c r="J2359">
        <v>15</v>
      </c>
      <c r="K2359" t="s">
        <v>17</v>
      </c>
      <c r="L2359" t="s">
        <v>17</v>
      </c>
      <c r="M2359">
        <f>IF(Table1[[#This Row],[ألغى الاشتراك]]="نعم",1,0)</f>
        <v>0</v>
      </c>
      <c r="N2359">
        <f>IF(Table1[[#This Row],[وسيلة الدفع]]="بطاقة",1,0)</f>
        <v>0</v>
      </c>
      <c r="O2359">
        <f>IF(Table1[[#This Row],[وسيلة الدفع]]="محفظة",1,0)</f>
        <v>0</v>
      </c>
      <c r="P2359">
        <f>IF(Table1[[#This Row],[وسيلة الدفع]]="تحويل",1,0)</f>
        <v>1</v>
      </c>
      <c r="Q2359">
        <f>IF(Table1[[#This Row],[حضر التهيئة]]="نعم",1,0)</f>
        <v>0</v>
      </c>
      <c r="R2359">
        <f>IF(Table1[[#This Row],[دورة الفوترة]]="شهري",1,0)</f>
        <v>0</v>
      </c>
    </row>
    <row r="2360" spans="1:18" x14ac:dyDescent="0.25">
      <c r="A2360" t="s">
        <v>2380</v>
      </c>
      <c r="B2360" s="1">
        <v>45627</v>
      </c>
      <c r="C2360" t="s">
        <v>13</v>
      </c>
      <c r="D2360">
        <v>89</v>
      </c>
      <c r="E2360" t="s">
        <v>20</v>
      </c>
      <c r="F2360">
        <v>28</v>
      </c>
      <c r="G2360" t="s">
        <v>21</v>
      </c>
      <c r="H2360">
        <v>7</v>
      </c>
      <c r="I2360">
        <v>16</v>
      </c>
      <c r="J2360">
        <v>0</v>
      </c>
      <c r="K2360" t="s">
        <v>17</v>
      </c>
      <c r="L2360" t="s">
        <v>17</v>
      </c>
      <c r="M2360">
        <f>IF(Table1[[#This Row],[ألغى الاشتراك]]="نعم",1,0)</f>
        <v>0</v>
      </c>
      <c r="N2360">
        <f>IF(Table1[[#This Row],[وسيلة الدفع]]="بطاقة",1,0)</f>
        <v>0</v>
      </c>
      <c r="O2360">
        <f>IF(Table1[[#This Row],[وسيلة الدفع]]="محفظة",1,0)</f>
        <v>1</v>
      </c>
      <c r="P2360">
        <f>IF(Table1[[#This Row],[وسيلة الدفع]]="تحويل",1,0)</f>
        <v>0</v>
      </c>
      <c r="Q2360">
        <f>IF(Table1[[#This Row],[حضر التهيئة]]="نعم",1,0)</f>
        <v>0</v>
      </c>
      <c r="R2360">
        <f>IF(Table1[[#This Row],[دورة الفوترة]]="شهري",1,0)</f>
        <v>0</v>
      </c>
    </row>
    <row r="2361" spans="1:18" x14ac:dyDescent="0.25">
      <c r="A2361" t="s">
        <v>2381</v>
      </c>
      <c r="B2361" s="1">
        <v>45663</v>
      </c>
      <c r="C2361" t="s">
        <v>28</v>
      </c>
      <c r="D2361">
        <v>39</v>
      </c>
      <c r="E2361" t="s">
        <v>20</v>
      </c>
      <c r="F2361">
        <v>21</v>
      </c>
      <c r="G2361" t="s">
        <v>15</v>
      </c>
      <c r="H2361">
        <v>0</v>
      </c>
      <c r="I2361">
        <v>27</v>
      </c>
      <c r="J2361">
        <v>0</v>
      </c>
      <c r="K2361" t="s">
        <v>16</v>
      </c>
      <c r="L2361" t="s">
        <v>17</v>
      </c>
      <c r="M2361">
        <f>IF(Table1[[#This Row],[ألغى الاشتراك]]="نعم",1,0)</f>
        <v>0</v>
      </c>
      <c r="N2361">
        <f>IF(Table1[[#This Row],[وسيلة الدفع]]="بطاقة",1,0)</f>
        <v>1</v>
      </c>
      <c r="O2361">
        <f>IF(Table1[[#This Row],[وسيلة الدفع]]="محفظة",1,0)</f>
        <v>0</v>
      </c>
      <c r="P2361">
        <f>IF(Table1[[#This Row],[وسيلة الدفع]]="تحويل",1,0)</f>
        <v>0</v>
      </c>
      <c r="Q2361">
        <f>IF(Table1[[#This Row],[حضر التهيئة]]="نعم",1,0)</f>
        <v>1</v>
      </c>
      <c r="R2361">
        <f>IF(Table1[[#This Row],[دورة الفوترة]]="شهري",1,0)</f>
        <v>0</v>
      </c>
    </row>
    <row r="2362" spans="1:18" x14ac:dyDescent="0.25">
      <c r="A2362" t="s">
        <v>2382</v>
      </c>
      <c r="B2362" s="1">
        <v>45325</v>
      </c>
      <c r="C2362" t="s">
        <v>13</v>
      </c>
      <c r="D2362">
        <v>89</v>
      </c>
      <c r="E2362" t="s">
        <v>20</v>
      </c>
      <c r="F2362">
        <v>14</v>
      </c>
      <c r="G2362" t="s">
        <v>21</v>
      </c>
      <c r="H2362">
        <v>2</v>
      </c>
      <c r="I2362">
        <v>34</v>
      </c>
      <c r="J2362">
        <v>0</v>
      </c>
      <c r="K2362" t="s">
        <v>17</v>
      </c>
      <c r="L2362" t="s">
        <v>17</v>
      </c>
      <c r="M2362">
        <f>IF(Table1[[#This Row],[ألغى الاشتراك]]="نعم",1,0)</f>
        <v>0</v>
      </c>
      <c r="N2362">
        <f>IF(Table1[[#This Row],[وسيلة الدفع]]="بطاقة",1,0)</f>
        <v>0</v>
      </c>
      <c r="O2362">
        <f>IF(Table1[[#This Row],[وسيلة الدفع]]="محفظة",1,0)</f>
        <v>1</v>
      </c>
      <c r="P2362">
        <f>IF(Table1[[#This Row],[وسيلة الدفع]]="تحويل",1,0)</f>
        <v>0</v>
      </c>
      <c r="Q2362">
        <f>IF(Table1[[#This Row],[حضر التهيئة]]="نعم",1,0)</f>
        <v>0</v>
      </c>
      <c r="R2362">
        <f>IF(Table1[[#This Row],[دورة الفوترة]]="شهري",1,0)</f>
        <v>0</v>
      </c>
    </row>
    <row r="2363" spans="1:18" x14ac:dyDescent="0.25">
      <c r="A2363" t="s">
        <v>2383</v>
      </c>
      <c r="B2363" s="1">
        <v>45732</v>
      </c>
      <c r="C2363" t="s">
        <v>13</v>
      </c>
      <c r="D2363">
        <v>89</v>
      </c>
      <c r="E2363" t="s">
        <v>14</v>
      </c>
      <c r="F2363">
        <v>13</v>
      </c>
      <c r="G2363" t="s">
        <v>21</v>
      </c>
      <c r="H2363">
        <v>10</v>
      </c>
      <c r="I2363">
        <v>37</v>
      </c>
      <c r="J2363">
        <v>0</v>
      </c>
      <c r="K2363" t="s">
        <v>17</v>
      </c>
      <c r="L2363" t="s">
        <v>16</v>
      </c>
      <c r="M2363">
        <f>IF(Table1[[#This Row],[ألغى الاشتراك]]="نعم",1,0)</f>
        <v>1</v>
      </c>
      <c r="N2363">
        <f>IF(Table1[[#This Row],[وسيلة الدفع]]="بطاقة",1,0)</f>
        <v>0</v>
      </c>
      <c r="O2363">
        <f>IF(Table1[[#This Row],[وسيلة الدفع]]="محفظة",1,0)</f>
        <v>1</v>
      </c>
      <c r="P2363">
        <f>IF(Table1[[#This Row],[وسيلة الدفع]]="تحويل",1,0)</f>
        <v>0</v>
      </c>
      <c r="Q2363">
        <f>IF(Table1[[#This Row],[حضر التهيئة]]="نعم",1,0)</f>
        <v>0</v>
      </c>
      <c r="R2363">
        <f>IF(Table1[[#This Row],[دورة الفوترة]]="شهري",1,0)</f>
        <v>1</v>
      </c>
    </row>
    <row r="2364" spans="1:18" x14ac:dyDescent="0.25">
      <c r="A2364" t="s">
        <v>2384</v>
      </c>
      <c r="B2364" s="1">
        <v>45779</v>
      </c>
      <c r="C2364" t="s">
        <v>13</v>
      </c>
      <c r="D2364">
        <v>89</v>
      </c>
      <c r="E2364" t="s">
        <v>14</v>
      </c>
      <c r="F2364">
        <v>6</v>
      </c>
      <c r="G2364" t="s">
        <v>23</v>
      </c>
      <c r="H2364">
        <v>2</v>
      </c>
      <c r="I2364">
        <v>24</v>
      </c>
      <c r="J2364">
        <v>5</v>
      </c>
      <c r="K2364" t="s">
        <v>16</v>
      </c>
      <c r="L2364" t="s">
        <v>17</v>
      </c>
      <c r="M2364">
        <f>IF(Table1[[#This Row],[ألغى الاشتراك]]="نعم",1,0)</f>
        <v>0</v>
      </c>
      <c r="N2364">
        <f>IF(Table1[[#This Row],[وسيلة الدفع]]="بطاقة",1,0)</f>
        <v>0</v>
      </c>
      <c r="O2364">
        <f>IF(Table1[[#This Row],[وسيلة الدفع]]="محفظة",1,0)</f>
        <v>0</v>
      </c>
      <c r="P2364">
        <f>IF(Table1[[#This Row],[وسيلة الدفع]]="تحويل",1,0)</f>
        <v>1</v>
      </c>
      <c r="Q2364">
        <f>IF(Table1[[#This Row],[حضر التهيئة]]="نعم",1,0)</f>
        <v>1</v>
      </c>
      <c r="R2364">
        <f>IF(Table1[[#This Row],[دورة الفوترة]]="شهري",1,0)</f>
        <v>1</v>
      </c>
    </row>
    <row r="2365" spans="1:18" x14ac:dyDescent="0.25">
      <c r="A2365" t="s">
        <v>2385</v>
      </c>
      <c r="B2365" s="1">
        <v>45341</v>
      </c>
      <c r="C2365" t="s">
        <v>28</v>
      </c>
      <c r="D2365">
        <v>39</v>
      </c>
      <c r="E2365" t="s">
        <v>14</v>
      </c>
      <c r="F2365">
        <v>16</v>
      </c>
      <c r="G2365" t="s">
        <v>15</v>
      </c>
      <c r="H2365">
        <v>1</v>
      </c>
      <c r="I2365">
        <v>28</v>
      </c>
      <c r="J2365">
        <v>0</v>
      </c>
      <c r="K2365" t="s">
        <v>17</v>
      </c>
      <c r="L2365" t="s">
        <v>17</v>
      </c>
      <c r="M2365">
        <f>IF(Table1[[#This Row],[ألغى الاشتراك]]="نعم",1,0)</f>
        <v>0</v>
      </c>
      <c r="N2365">
        <f>IF(Table1[[#This Row],[وسيلة الدفع]]="بطاقة",1,0)</f>
        <v>1</v>
      </c>
      <c r="O2365">
        <f>IF(Table1[[#This Row],[وسيلة الدفع]]="محفظة",1,0)</f>
        <v>0</v>
      </c>
      <c r="P2365">
        <f>IF(Table1[[#This Row],[وسيلة الدفع]]="تحويل",1,0)</f>
        <v>0</v>
      </c>
      <c r="Q2365">
        <f>IF(Table1[[#This Row],[حضر التهيئة]]="نعم",1,0)</f>
        <v>0</v>
      </c>
      <c r="R2365">
        <f>IF(Table1[[#This Row],[دورة الفوترة]]="شهري",1,0)</f>
        <v>1</v>
      </c>
    </row>
    <row r="2366" spans="1:18" x14ac:dyDescent="0.25">
      <c r="A2366" t="s">
        <v>2386</v>
      </c>
      <c r="B2366" s="1">
        <v>45965</v>
      </c>
      <c r="C2366" t="s">
        <v>19</v>
      </c>
      <c r="D2366">
        <v>189</v>
      </c>
      <c r="E2366" t="s">
        <v>20</v>
      </c>
      <c r="F2366">
        <v>23</v>
      </c>
      <c r="G2366" t="s">
        <v>15</v>
      </c>
      <c r="H2366">
        <v>9</v>
      </c>
      <c r="I2366">
        <v>35</v>
      </c>
      <c r="J2366">
        <v>0</v>
      </c>
      <c r="K2366" t="s">
        <v>16</v>
      </c>
      <c r="L2366" t="s">
        <v>17</v>
      </c>
      <c r="M2366">
        <f>IF(Table1[[#This Row],[ألغى الاشتراك]]="نعم",1,0)</f>
        <v>0</v>
      </c>
      <c r="N2366">
        <f>IF(Table1[[#This Row],[وسيلة الدفع]]="بطاقة",1,0)</f>
        <v>1</v>
      </c>
      <c r="O2366">
        <f>IF(Table1[[#This Row],[وسيلة الدفع]]="محفظة",1,0)</f>
        <v>0</v>
      </c>
      <c r="P2366">
        <f>IF(Table1[[#This Row],[وسيلة الدفع]]="تحويل",1,0)</f>
        <v>0</v>
      </c>
      <c r="Q2366">
        <f>IF(Table1[[#This Row],[حضر التهيئة]]="نعم",1,0)</f>
        <v>1</v>
      </c>
      <c r="R2366">
        <f>IF(Table1[[#This Row],[دورة الفوترة]]="شهري",1,0)</f>
        <v>0</v>
      </c>
    </row>
    <row r="2367" spans="1:18" x14ac:dyDescent="0.25">
      <c r="A2367" t="s">
        <v>2387</v>
      </c>
      <c r="B2367" s="1">
        <v>45383</v>
      </c>
      <c r="C2367" t="s">
        <v>28</v>
      </c>
      <c r="D2367">
        <v>39</v>
      </c>
      <c r="E2367" t="s">
        <v>14</v>
      </c>
      <c r="F2367">
        <v>8</v>
      </c>
      <c r="G2367" t="s">
        <v>23</v>
      </c>
      <c r="H2367">
        <v>4</v>
      </c>
      <c r="I2367">
        <v>12</v>
      </c>
      <c r="J2367">
        <v>0</v>
      </c>
      <c r="K2367" t="s">
        <v>17</v>
      </c>
      <c r="L2367" t="s">
        <v>16</v>
      </c>
      <c r="M2367">
        <f>IF(Table1[[#This Row],[ألغى الاشتراك]]="نعم",1,0)</f>
        <v>1</v>
      </c>
      <c r="N2367">
        <f>IF(Table1[[#This Row],[وسيلة الدفع]]="بطاقة",1,0)</f>
        <v>0</v>
      </c>
      <c r="O2367">
        <f>IF(Table1[[#This Row],[وسيلة الدفع]]="محفظة",1,0)</f>
        <v>0</v>
      </c>
      <c r="P2367">
        <f>IF(Table1[[#This Row],[وسيلة الدفع]]="تحويل",1,0)</f>
        <v>1</v>
      </c>
      <c r="Q2367">
        <f>IF(Table1[[#This Row],[حضر التهيئة]]="نعم",1,0)</f>
        <v>0</v>
      </c>
      <c r="R2367">
        <f>IF(Table1[[#This Row],[دورة الفوترة]]="شهري",1,0)</f>
        <v>1</v>
      </c>
    </row>
    <row r="2368" spans="1:18" x14ac:dyDescent="0.25">
      <c r="A2368" t="s">
        <v>2388</v>
      </c>
      <c r="B2368" s="1">
        <v>45906</v>
      </c>
      <c r="C2368" t="s">
        <v>19</v>
      </c>
      <c r="D2368">
        <v>189</v>
      </c>
      <c r="E2368" t="s">
        <v>14</v>
      </c>
      <c r="F2368">
        <v>19</v>
      </c>
      <c r="G2368" t="s">
        <v>23</v>
      </c>
      <c r="H2368">
        <v>9</v>
      </c>
      <c r="I2368">
        <v>23</v>
      </c>
      <c r="J2368">
        <v>0</v>
      </c>
      <c r="K2368" t="s">
        <v>16</v>
      </c>
      <c r="L2368" t="s">
        <v>17</v>
      </c>
      <c r="M2368">
        <f>IF(Table1[[#This Row],[ألغى الاشتراك]]="نعم",1,0)</f>
        <v>0</v>
      </c>
      <c r="N2368">
        <f>IF(Table1[[#This Row],[وسيلة الدفع]]="بطاقة",1,0)</f>
        <v>0</v>
      </c>
      <c r="O2368">
        <f>IF(Table1[[#This Row],[وسيلة الدفع]]="محفظة",1,0)</f>
        <v>0</v>
      </c>
      <c r="P2368">
        <f>IF(Table1[[#This Row],[وسيلة الدفع]]="تحويل",1,0)</f>
        <v>1</v>
      </c>
      <c r="Q2368">
        <f>IF(Table1[[#This Row],[حضر التهيئة]]="نعم",1,0)</f>
        <v>1</v>
      </c>
      <c r="R2368">
        <f>IF(Table1[[#This Row],[دورة الفوترة]]="شهري",1,0)</f>
        <v>1</v>
      </c>
    </row>
    <row r="2369" spans="1:18" x14ac:dyDescent="0.25">
      <c r="A2369" t="s">
        <v>2389</v>
      </c>
      <c r="B2369" s="1">
        <v>45736</v>
      </c>
      <c r="C2369" t="s">
        <v>19</v>
      </c>
      <c r="D2369">
        <v>189</v>
      </c>
      <c r="E2369" t="s">
        <v>14</v>
      </c>
      <c r="F2369">
        <v>24</v>
      </c>
      <c r="G2369" t="s">
        <v>15</v>
      </c>
      <c r="H2369">
        <v>0</v>
      </c>
      <c r="I2369">
        <v>42</v>
      </c>
      <c r="J2369">
        <v>15</v>
      </c>
      <c r="K2369" t="s">
        <v>16</v>
      </c>
      <c r="L2369" t="s">
        <v>16</v>
      </c>
      <c r="M2369">
        <f>IF(Table1[[#This Row],[ألغى الاشتراك]]="نعم",1,0)</f>
        <v>1</v>
      </c>
      <c r="N2369">
        <f>IF(Table1[[#This Row],[وسيلة الدفع]]="بطاقة",1,0)</f>
        <v>1</v>
      </c>
      <c r="O2369">
        <f>IF(Table1[[#This Row],[وسيلة الدفع]]="محفظة",1,0)</f>
        <v>0</v>
      </c>
      <c r="P2369">
        <f>IF(Table1[[#This Row],[وسيلة الدفع]]="تحويل",1,0)</f>
        <v>0</v>
      </c>
      <c r="Q2369">
        <f>IF(Table1[[#This Row],[حضر التهيئة]]="نعم",1,0)</f>
        <v>1</v>
      </c>
      <c r="R2369">
        <f>IF(Table1[[#This Row],[دورة الفوترة]]="شهري",1,0)</f>
        <v>1</v>
      </c>
    </row>
    <row r="2370" spans="1:18" x14ac:dyDescent="0.25">
      <c r="A2370" t="s">
        <v>2390</v>
      </c>
      <c r="B2370" s="1">
        <v>45395</v>
      </c>
      <c r="C2370" t="s">
        <v>13</v>
      </c>
      <c r="D2370">
        <v>89</v>
      </c>
      <c r="E2370" t="s">
        <v>20</v>
      </c>
      <c r="F2370">
        <v>10</v>
      </c>
      <c r="G2370" t="s">
        <v>15</v>
      </c>
      <c r="H2370">
        <v>8</v>
      </c>
      <c r="I2370">
        <v>34</v>
      </c>
      <c r="J2370">
        <v>0</v>
      </c>
      <c r="K2370" t="s">
        <v>16</v>
      </c>
      <c r="L2370" t="s">
        <v>17</v>
      </c>
      <c r="M2370">
        <f>IF(Table1[[#This Row],[ألغى الاشتراك]]="نعم",1,0)</f>
        <v>0</v>
      </c>
      <c r="N2370">
        <f>IF(Table1[[#This Row],[وسيلة الدفع]]="بطاقة",1,0)</f>
        <v>1</v>
      </c>
      <c r="O2370">
        <f>IF(Table1[[#This Row],[وسيلة الدفع]]="محفظة",1,0)</f>
        <v>0</v>
      </c>
      <c r="P2370">
        <f>IF(Table1[[#This Row],[وسيلة الدفع]]="تحويل",1,0)</f>
        <v>0</v>
      </c>
      <c r="Q2370">
        <f>IF(Table1[[#This Row],[حضر التهيئة]]="نعم",1,0)</f>
        <v>1</v>
      </c>
      <c r="R2370">
        <f>IF(Table1[[#This Row],[دورة الفوترة]]="شهري",1,0)</f>
        <v>0</v>
      </c>
    </row>
    <row r="2371" spans="1:18" x14ac:dyDescent="0.25">
      <c r="A2371" t="s">
        <v>2391</v>
      </c>
      <c r="B2371" s="1">
        <v>45779</v>
      </c>
      <c r="C2371" t="s">
        <v>28</v>
      </c>
      <c r="D2371">
        <v>39</v>
      </c>
      <c r="E2371" t="s">
        <v>14</v>
      </c>
      <c r="F2371">
        <v>29</v>
      </c>
      <c r="G2371" t="s">
        <v>15</v>
      </c>
      <c r="H2371">
        <v>0</v>
      </c>
      <c r="I2371">
        <v>47</v>
      </c>
      <c r="J2371">
        <v>0</v>
      </c>
      <c r="K2371" t="s">
        <v>16</v>
      </c>
      <c r="L2371" t="s">
        <v>17</v>
      </c>
      <c r="M2371">
        <f>IF(Table1[[#This Row],[ألغى الاشتراك]]="نعم",1,0)</f>
        <v>0</v>
      </c>
      <c r="N2371">
        <f>IF(Table1[[#This Row],[وسيلة الدفع]]="بطاقة",1,0)</f>
        <v>1</v>
      </c>
      <c r="O2371">
        <f>IF(Table1[[#This Row],[وسيلة الدفع]]="محفظة",1,0)</f>
        <v>0</v>
      </c>
      <c r="P2371">
        <f>IF(Table1[[#This Row],[وسيلة الدفع]]="تحويل",1,0)</f>
        <v>0</v>
      </c>
      <c r="Q2371">
        <f>IF(Table1[[#This Row],[حضر التهيئة]]="نعم",1,0)</f>
        <v>1</v>
      </c>
      <c r="R2371">
        <f>IF(Table1[[#This Row],[دورة الفوترة]]="شهري",1,0)</f>
        <v>1</v>
      </c>
    </row>
    <row r="2372" spans="1:18" x14ac:dyDescent="0.25">
      <c r="A2372" t="s">
        <v>2392</v>
      </c>
      <c r="B2372" s="1">
        <v>45736</v>
      </c>
      <c r="C2372" t="s">
        <v>28</v>
      </c>
      <c r="D2372">
        <v>39</v>
      </c>
      <c r="E2372" t="s">
        <v>14</v>
      </c>
      <c r="F2372">
        <v>4</v>
      </c>
      <c r="G2372" t="s">
        <v>23</v>
      </c>
      <c r="H2372">
        <v>9</v>
      </c>
      <c r="I2372">
        <v>40</v>
      </c>
      <c r="J2372">
        <v>15</v>
      </c>
      <c r="K2372" t="s">
        <v>17</v>
      </c>
      <c r="L2372" t="s">
        <v>16</v>
      </c>
      <c r="M2372">
        <f>IF(Table1[[#This Row],[ألغى الاشتراك]]="نعم",1,0)</f>
        <v>1</v>
      </c>
      <c r="N2372">
        <f>IF(Table1[[#This Row],[وسيلة الدفع]]="بطاقة",1,0)</f>
        <v>0</v>
      </c>
      <c r="O2372">
        <f>IF(Table1[[#This Row],[وسيلة الدفع]]="محفظة",1,0)</f>
        <v>0</v>
      </c>
      <c r="P2372">
        <f>IF(Table1[[#This Row],[وسيلة الدفع]]="تحويل",1,0)</f>
        <v>1</v>
      </c>
      <c r="Q2372">
        <f>IF(Table1[[#This Row],[حضر التهيئة]]="نعم",1,0)</f>
        <v>0</v>
      </c>
      <c r="R2372">
        <f>IF(Table1[[#This Row],[دورة الفوترة]]="شهري",1,0)</f>
        <v>1</v>
      </c>
    </row>
    <row r="2373" spans="1:18" x14ac:dyDescent="0.25">
      <c r="A2373" t="s">
        <v>2393</v>
      </c>
      <c r="B2373" s="1">
        <v>45513</v>
      </c>
      <c r="C2373" t="s">
        <v>28</v>
      </c>
      <c r="D2373">
        <v>39</v>
      </c>
      <c r="E2373" t="s">
        <v>14</v>
      </c>
      <c r="F2373">
        <v>30</v>
      </c>
      <c r="G2373" t="s">
        <v>23</v>
      </c>
      <c r="H2373">
        <v>11</v>
      </c>
      <c r="I2373">
        <v>16</v>
      </c>
      <c r="J2373">
        <v>0</v>
      </c>
      <c r="K2373" t="s">
        <v>16</v>
      </c>
      <c r="L2373" t="s">
        <v>17</v>
      </c>
      <c r="M2373">
        <f>IF(Table1[[#This Row],[ألغى الاشتراك]]="نعم",1,0)</f>
        <v>0</v>
      </c>
      <c r="N2373">
        <f>IF(Table1[[#This Row],[وسيلة الدفع]]="بطاقة",1,0)</f>
        <v>0</v>
      </c>
      <c r="O2373">
        <f>IF(Table1[[#This Row],[وسيلة الدفع]]="محفظة",1,0)</f>
        <v>0</v>
      </c>
      <c r="P2373">
        <f>IF(Table1[[#This Row],[وسيلة الدفع]]="تحويل",1,0)</f>
        <v>1</v>
      </c>
      <c r="Q2373">
        <f>IF(Table1[[#This Row],[حضر التهيئة]]="نعم",1,0)</f>
        <v>1</v>
      </c>
      <c r="R2373">
        <f>IF(Table1[[#This Row],[دورة الفوترة]]="شهري",1,0)</f>
        <v>1</v>
      </c>
    </row>
    <row r="2374" spans="1:18" x14ac:dyDescent="0.25">
      <c r="A2374" t="s">
        <v>2394</v>
      </c>
      <c r="B2374" s="1">
        <v>45787</v>
      </c>
      <c r="C2374" t="s">
        <v>19</v>
      </c>
      <c r="D2374">
        <v>189</v>
      </c>
      <c r="E2374" t="s">
        <v>20</v>
      </c>
      <c r="F2374">
        <v>23</v>
      </c>
      <c r="G2374" t="s">
        <v>15</v>
      </c>
      <c r="H2374">
        <v>2</v>
      </c>
      <c r="I2374">
        <v>35</v>
      </c>
      <c r="J2374">
        <v>0</v>
      </c>
      <c r="K2374" t="s">
        <v>16</v>
      </c>
      <c r="L2374" t="s">
        <v>17</v>
      </c>
      <c r="M2374">
        <f>IF(Table1[[#This Row],[ألغى الاشتراك]]="نعم",1,0)</f>
        <v>0</v>
      </c>
      <c r="N2374">
        <f>IF(Table1[[#This Row],[وسيلة الدفع]]="بطاقة",1,0)</f>
        <v>1</v>
      </c>
      <c r="O2374">
        <f>IF(Table1[[#This Row],[وسيلة الدفع]]="محفظة",1,0)</f>
        <v>0</v>
      </c>
      <c r="P2374">
        <f>IF(Table1[[#This Row],[وسيلة الدفع]]="تحويل",1,0)</f>
        <v>0</v>
      </c>
      <c r="Q2374">
        <f>IF(Table1[[#This Row],[حضر التهيئة]]="نعم",1,0)</f>
        <v>1</v>
      </c>
      <c r="R2374">
        <f>IF(Table1[[#This Row],[دورة الفوترة]]="شهري",1,0)</f>
        <v>0</v>
      </c>
    </row>
    <row r="2375" spans="1:18" x14ac:dyDescent="0.25">
      <c r="A2375" t="s">
        <v>2395</v>
      </c>
      <c r="B2375" s="1">
        <v>45588</v>
      </c>
      <c r="C2375" t="s">
        <v>28</v>
      </c>
      <c r="D2375">
        <v>39</v>
      </c>
      <c r="E2375" t="s">
        <v>20</v>
      </c>
      <c r="F2375">
        <v>30</v>
      </c>
      <c r="G2375" t="s">
        <v>15</v>
      </c>
      <c r="H2375">
        <v>7</v>
      </c>
      <c r="I2375">
        <v>10</v>
      </c>
      <c r="J2375">
        <v>0</v>
      </c>
      <c r="K2375" t="s">
        <v>16</v>
      </c>
      <c r="L2375" t="s">
        <v>17</v>
      </c>
      <c r="M2375">
        <f>IF(Table1[[#This Row],[ألغى الاشتراك]]="نعم",1,0)</f>
        <v>0</v>
      </c>
      <c r="N2375">
        <f>IF(Table1[[#This Row],[وسيلة الدفع]]="بطاقة",1,0)</f>
        <v>1</v>
      </c>
      <c r="O2375">
        <f>IF(Table1[[#This Row],[وسيلة الدفع]]="محفظة",1,0)</f>
        <v>0</v>
      </c>
      <c r="P2375">
        <f>IF(Table1[[#This Row],[وسيلة الدفع]]="تحويل",1,0)</f>
        <v>0</v>
      </c>
      <c r="Q2375">
        <f>IF(Table1[[#This Row],[حضر التهيئة]]="نعم",1,0)</f>
        <v>1</v>
      </c>
      <c r="R2375">
        <f>IF(Table1[[#This Row],[دورة الفوترة]]="شهري",1,0)</f>
        <v>0</v>
      </c>
    </row>
    <row r="2376" spans="1:18" x14ac:dyDescent="0.25">
      <c r="A2376" t="s">
        <v>2396</v>
      </c>
      <c r="B2376" s="1">
        <v>45724</v>
      </c>
      <c r="C2376" t="s">
        <v>28</v>
      </c>
      <c r="D2376">
        <v>39</v>
      </c>
      <c r="E2376" t="s">
        <v>14</v>
      </c>
      <c r="F2376">
        <v>5</v>
      </c>
      <c r="G2376" t="s">
        <v>21</v>
      </c>
      <c r="H2376">
        <v>1</v>
      </c>
      <c r="I2376">
        <v>25</v>
      </c>
      <c r="J2376">
        <v>0</v>
      </c>
      <c r="K2376" t="s">
        <v>17</v>
      </c>
      <c r="L2376" t="s">
        <v>17</v>
      </c>
      <c r="M2376">
        <f>IF(Table1[[#This Row],[ألغى الاشتراك]]="نعم",1,0)</f>
        <v>0</v>
      </c>
      <c r="N2376">
        <f>IF(Table1[[#This Row],[وسيلة الدفع]]="بطاقة",1,0)</f>
        <v>0</v>
      </c>
      <c r="O2376">
        <f>IF(Table1[[#This Row],[وسيلة الدفع]]="محفظة",1,0)</f>
        <v>1</v>
      </c>
      <c r="P2376">
        <f>IF(Table1[[#This Row],[وسيلة الدفع]]="تحويل",1,0)</f>
        <v>0</v>
      </c>
      <c r="Q2376">
        <f>IF(Table1[[#This Row],[حضر التهيئة]]="نعم",1,0)</f>
        <v>0</v>
      </c>
      <c r="R2376">
        <f>IF(Table1[[#This Row],[دورة الفوترة]]="شهري",1,0)</f>
        <v>1</v>
      </c>
    </row>
    <row r="2377" spans="1:18" x14ac:dyDescent="0.25">
      <c r="A2377" t="s">
        <v>2397</v>
      </c>
      <c r="B2377" s="1">
        <v>45395</v>
      </c>
      <c r="C2377" t="s">
        <v>13</v>
      </c>
      <c r="D2377">
        <v>89</v>
      </c>
      <c r="E2377" t="s">
        <v>14</v>
      </c>
      <c r="F2377">
        <v>28</v>
      </c>
      <c r="G2377" t="s">
        <v>15</v>
      </c>
      <c r="H2377">
        <v>4</v>
      </c>
      <c r="I2377">
        <v>4</v>
      </c>
      <c r="J2377">
        <v>0</v>
      </c>
      <c r="K2377" t="s">
        <v>16</v>
      </c>
      <c r="L2377" t="s">
        <v>17</v>
      </c>
      <c r="M2377">
        <f>IF(Table1[[#This Row],[ألغى الاشتراك]]="نعم",1,0)</f>
        <v>0</v>
      </c>
      <c r="N2377">
        <f>IF(Table1[[#This Row],[وسيلة الدفع]]="بطاقة",1,0)</f>
        <v>1</v>
      </c>
      <c r="O2377">
        <f>IF(Table1[[#This Row],[وسيلة الدفع]]="محفظة",1,0)</f>
        <v>0</v>
      </c>
      <c r="P2377">
        <f>IF(Table1[[#This Row],[وسيلة الدفع]]="تحويل",1,0)</f>
        <v>0</v>
      </c>
      <c r="Q2377">
        <f>IF(Table1[[#This Row],[حضر التهيئة]]="نعم",1,0)</f>
        <v>1</v>
      </c>
      <c r="R2377">
        <f>IF(Table1[[#This Row],[دورة الفوترة]]="شهري",1,0)</f>
        <v>1</v>
      </c>
    </row>
    <row r="2378" spans="1:18" x14ac:dyDescent="0.25">
      <c r="A2378" t="s">
        <v>2398</v>
      </c>
      <c r="B2378" s="1">
        <v>45914</v>
      </c>
      <c r="C2378" t="s">
        <v>19</v>
      </c>
      <c r="D2378">
        <v>189</v>
      </c>
      <c r="E2378" t="s">
        <v>14</v>
      </c>
      <c r="F2378">
        <v>1</v>
      </c>
      <c r="G2378" t="s">
        <v>21</v>
      </c>
      <c r="H2378">
        <v>1</v>
      </c>
      <c r="I2378">
        <v>13</v>
      </c>
      <c r="J2378">
        <v>0</v>
      </c>
      <c r="K2378" t="s">
        <v>16</v>
      </c>
      <c r="L2378" t="s">
        <v>17</v>
      </c>
      <c r="M2378">
        <f>IF(Table1[[#This Row],[ألغى الاشتراك]]="نعم",1,0)</f>
        <v>0</v>
      </c>
      <c r="N2378">
        <f>IF(Table1[[#This Row],[وسيلة الدفع]]="بطاقة",1,0)</f>
        <v>0</v>
      </c>
      <c r="O2378">
        <f>IF(Table1[[#This Row],[وسيلة الدفع]]="محفظة",1,0)</f>
        <v>1</v>
      </c>
      <c r="P2378">
        <f>IF(Table1[[#This Row],[وسيلة الدفع]]="تحويل",1,0)</f>
        <v>0</v>
      </c>
      <c r="Q2378">
        <f>IF(Table1[[#This Row],[حضر التهيئة]]="نعم",1,0)</f>
        <v>1</v>
      </c>
      <c r="R2378">
        <f>IF(Table1[[#This Row],[دورة الفوترة]]="شهري",1,0)</f>
        <v>1</v>
      </c>
    </row>
    <row r="2379" spans="1:18" x14ac:dyDescent="0.25">
      <c r="A2379" t="s">
        <v>2399</v>
      </c>
      <c r="B2379" s="1">
        <v>45349</v>
      </c>
      <c r="C2379" t="s">
        <v>13</v>
      </c>
      <c r="D2379">
        <v>89</v>
      </c>
      <c r="E2379" t="s">
        <v>20</v>
      </c>
      <c r="F2379">
        <v>12</v>
      </c>
      <c r="G2379" t="s">
        <v>23</v>
      </c>
      <c r="H2379">
        <v>2</v>
      </c>
      <c r="I2379">
        <v>8</v>
      </c>
      <c r="J2379">
        <v>0</v>
      </c>
      <c r="K2379" t="s">
        <v>16</v>
      </c>
      <c r="L2379" t="s">
        <v>17</v>
      </c>
      <c r="M2379">
        <f>IF(Table1[[#This Row],[ألغى الاشتراك]]="نعم",1,0)</f>
        <v>0</v>
      </c>
      <c r="N2379">
        <f>IF(Table1[[#This Row],[وسيلة الدفع]]="بطاقة",1,0)</f>
        <v>0</v>
      </c>
      <c r="O2379">
        <f>IF(Table1[[#This Row],[وسيلة الدفع]]="محفظة",1,0)</f>
        <v>0</v>
      </c>
      <c r="P2379">
        <f>IF(Table1[[#This Row],[وسيلة الدفع]]="تحويل",1,0)</f>
        <v>1</v>
      </c>
      <c r="Q2379">
        <f>IF(Table1[[#This Row],[حضر التهيئة]]="نعم",1,0)</f>
        <v>1</v>
      </c>
      <c r="R2379">
        <f>IF(Table1[[#This Row],[دورة الفوترة]]="شهري",1,0)</f>
        <v>0</v>
      </c>
    </row>
    <row r="2380" spans="1:18" x14ac:dyDescent="0.25">
      <c r="A2380" t="s">
        <v>2400</v>
      </c>
      <c r="B2380" s="1">
        <v>45862</v>
      </c>
      <c r="C2380" t="s">
        <v>13</v>
      </c>
      <c r="D2380">
        <v>89</v>
      </c>
      <c r="E2380" t="s">
        <v>14</v>
      </c>
      <c r="F2380">
        <v>5</v>
      </c>
      <c r="G2380" t="s">
        <v>15</v>
      </c>
      <c r="H2380">
        <v>1</v>
      </c>
      <c r="I2380">
        <v>43</v>
      </c>
      <c r="J2380">
        <v>0</v>
      </c>
      <c r="K2380" t="s">
        <v>17</v>
      </c>
      <c r="L2380" t="s">
        <v>16</v>
      </c>
      <c r="M2380">
        <f>IF(Table1[[#This Row],[ألغى الاشتراك]]="نعم",1,0)</f>
        <v>1</v>
      </c>
      <c r="N2380">
        <f>IF(Table1[[#This Row],[وسيلة الدفع]]="بطاقة",1,0)</f>
        <v>1</v>
      </c>
      <c r="O2380">
        <f>IF(Table1[[#This Row],[وسيلة الدفع]]="محفظة",1,0)</f>
        <v>0</v>
      </c>
      <c r="P2380">
        <f>IF(Table1[[#This Row],[وسيلة الدفع]]="تحويل",1,0)</f>
        <v>0</v>
      </c>
      <c r="Q2380">
        <f>IF(Table1[[#This Row],[حضر التهيئة]]="نعم",1,0)</f>
        <v>0</v>
      </c>
      <c r="R2380">
        <f>IF(Table1[[#This Row],[دورة الفوترة]]="شهري",1,0)</f>
        <v>1</v>
      </c>
    </row>
    <row r="2381" spans="1:18" x14ac:dyDescent="0.25">
      <c r="A2381" t="s">
        <v>2401</v>
      </c>
      <c r="B2381" s="1">
        <v>45902</v>
      </c>
      <c r="C2381" t="s">
        <v>28</v>
      </c>
      <c r="D2381">
        <v>39</v>
      </c>
      <c r="E2381" t="s">
        <v>14</v>
      </c>
      <c r="F2381">
        <v>6</v>
      </c>
      <c r="G2381" t="s">
        <v>15</v>
      </c>
      <c r="H2381">
        <v>1</v>
      </c>
      <c r="I2381">
        <v>8</v>
      </c>
      <c r="J2381">
        <v>5</v>
      </c>
      <c r="K2381" t="s">
        <v>17</v>
      </c>
      <c r="L2381" t="s">
        <v>17</v>
      </c>
      <c r="M2381">
        <f>IF(Table1[[#This Row],[ألغى الاشتراك]]="نعم",1,0)</f>
        <v>0</v>
      </c>
      <c r="N2381">
        <f>IF(Table1[[#This Row],[وسيلة الدفع]]="بطاقة",1,0)</f>
        <v>1</v>
      </c>
      <c r="O2381">
        <f>IF(Table1[[#This Row],[وسيلة الدفع]]="محفظة",1,0)</f>
        <v>0</v>
      </c>
      <c r="P2381">
        <f>IF(Table1[[#This Row],[وسيلة الدفع]]="تحويل",1,0)</f>
        <v>0</v>
      </c>
      <c r="Q2381">
        <f>IF(Table1[[#This Row],[حضر التهيئة]]="نعم",1,0)</f>
        <v>0</v>
      </c>
      <c r="R2381">
        <f>IF(Table1[[#This Row],[دورة الفوترة]]="شهري",1,0)</f>
        <v>1</v>
      </c>
    </row>
    <row r="2382" spans="1:18" x14ac:dyDescent="0.25">
      <c r="A2382" t="s">
        <v>2402</v>
      </c>
      <c r="B2382" s="1">
        <v>45341</v>
      </c>
      <c r="C2382" t="s">
        <v>19</v>
      </c>
      <c r="D2382">
        <v>189</v>
      </c>
      <c r="E2382" t="s">
        <v>14</v>
      </c>
      <c r="F2382">
        <v>8</v>
      </c>
      <c r="G2382" t="s">
        <v>23</v>
      </c>
      <c r="H2382">
        <v>6</v>
      </c>
      <c r="I2382">
        <v>46</v>
      </c>
      <c r="J2382">
        <v>0</v>
      </c>
      <c r="K2382" t="s">
        <v>16</v>
      </c>
      <c r="L2382" t="s">
        <v>17</v>
      </c>
      <c r="M2382">
        <f>IF(Table1[[#This Row],[ألغى الاشتراك]]="نعم",1,0)</f>
        <v>0</v>
      </c>
      <c r="N2382">
        <f>IF(Table1[[#This Row],[وسيلة الدفع]]="بطاقة",1,0)</f>
        <v>0</v>
      </c>
      <c r="O2382">
        <f>IF(Table1[[#This Row],[وسيلة الدفع]]="محفظة",1,0)</f>
        <v>0</v>
      </c>
      <c r="P2382">
        <f>IF(Table1[[#This Row],[وسيلة الدفع]]="تحويل",1,0)</f>
        <v>1</v>
      </c>
      <c r="Q2382">
        <f>IF(Table1[[#This Row],[حضر التهيئة]]="نعم",1,0)</f>
        <v>1</v>
      </c>
      <c r="R2382">
        <f>IF(Table1[[#This Row],[دورة الفوترة]]="شهري",1,0)</f>
        <v>1</v>
      </c>
    </row>
    <row r="2383" spans="1:18" x14ac:dyDescent="0.25">
      <c r="A2383" t="s">
        <v>2403</v>
      </c>
      <c r="B2383" s="1">
        <v>45866</v>
      </c>
      <c r="C2383" t="s">
        <v>13</v>
      </c>
      <c r="D2383">
        <v>89</v>
      </c>
      <c r="E2383" t="s">
        <v>14</v>
      </c>
      <c r="F2383">
        <v>19</v>
      </c>
      <c r="G2383" t="s">
        <v>21</v>
      </c>
      <c r="H2383">
        <v>2</v>
      </c>
      <c r="I2383">
        <v>11</v>
      </c>
      <c r="J2383">
        <v>0</v>
      </c>
      <c r="K2383" t="s">
        <v>17</v>
      </c>
      <c r="L2383" t="s">
        <v>16</v>
      </c>
      <c r="M2383">
        <f>IF(Table1[[#This Row],[ألغى الاشتراك]]="نعم",1,0)</f>
        <v>1</v>
      </c>
      <c r="N2383">
        <f>IF(Table1[[#This Row],[وسيلة الدفع]]="بطاقة",1,0)</f>
        <v>0</v>
      </c>
      <c r="O2383">
        <f>IF(Table1[[#This Row],[وسيلة الدفع]]="محفظة",1,0)</f>
        <v>1</v>
      </c>
      <c r="P2383">
        <f>IF(Table1[[#This Row],[وسيلة الدفع]]="تحويل",1,0)</f>
        <v>0</v>
      </c>
      <c r="Q2383">
        <f>IF(Table1[[#This Row],[حضر التهيئة]]="نعم",1,0)</f>
        <v>0</v>
      </c>
      <c r="R2383">
        <f>IF(Table1[[#This Row],[دورة الفوترة]]="شهري",1,0)</f>
        <v>1</v>
      </c>
    </row>
    <row r="2384" spans="1:18" x14ac:dyDescent="0.25">
      <c r="A2384" t="s">
        <v>2404</v>
      </c>
      <c r="B2384" s="1">
        <v>45799</v>
      </c>
      <c r="C2384" t="s">
        <v>13</v>
      </c>
      <c r="D2384">
        <v>89</v>
      </c>
      <c r="E2384" t="s">
        <v>20</v>
      </c>
      <c r="F2384">
        <v>22</v>
      </c>
      <c r="G2384" t="s">
        <v>23</v>
      </c>
      <c r="H2384">
        <v>11</v>
      </c>
      <c r="I2384">
        <v>2</v>
      </c>
      <c r="J2384">
        <v>5</v>
      </c>
      <c r="K2384" t="s">
        <v>17</v>
      </c>
      <c r="L2384" t="s">
        <v>17</v>
      </c>
      <c r="M2384">
        <f>IF(Table1[[#This Row],[ألغى الاشتراك]]="نعم",1,0)</f>
        <v>0</v>
      </c>
      <c r="N2384">
        <f>IF(Table1[[#This Row],[وسيلة الدفع]]="بطاقة",1,0)</f>
        <v>0</v>
      </c>
      <c r="O2384">
        <f>IF(Table1[[#This Row],[وسيلة الدفع]]="محفظة",1,0)</f>
        <v>0</v>
      </c>
      <c r="P2384">
        <f>IF(Table1[[#This Row],[وسيلة الدفع]]="تحويل",1,0)</f>
        <v>1</v>
      </c>
      <c r="Q2384">
        <f>IF(Table1[[#This Row],[حضر التهيئة]]="نعم",1,0)</f>
        <v>0</v>
      </c>
      <c r="R2384">
        <f>IF(Table1[[#This Row],[دورة الفوترة]]="شهري",1,0)</f>
        <v>0</v>
      </c>
    </row>
    <row r="2385" spans="1:18" x14ac:dyDescent="0.25">
      <c r="A2385" t="s">
        <v>2405</v>
      </c>
      <c r="B2385" s="1">
        <v>45470</v>
      </c>
      <c r="C2385" t="s">
        <v>28</v>
      </c>
      <c r="D2385">
        <v>39</v>
      </c>
      <c r="E2385" t="s">
        <v>20</v>
      </c>
      <c r="F2385">
        <v>22</v>
      </c>
      <c r="G2385" t="s">
        <v>21</v>
      </c>
      <c r="H2385">
        <v>4</v>
      </c>
      <c r="I2385">
        <v>16</v>
      </c>
      <c r="J2385">
        <v>0</v>
      </c>
      <c r="K2385" t="s">
        <v>16</v>
      </c>
      <c r="L2385" t="s">
        <v>17</v>
      </c>
      <c r="M2385">
        <f>IF(Table1[[#This Row],[ألغى الاشتراك]]="نعم",1,0)</f>
        <v>0</v>
      </c>
      <c r="N2385">
        <f>IF(Table1[[#This Row],[وسيلة الدفع]]="بطاقة",1,0)</f>
        <v>0</v>
      </c>
      <c r="O2385">
        <f>IF(Table1[[#This Row],[وسيلة الدفع]]="محفظة",1,0)</f>
        <v>1</v>
      </c>
      <c r="P2385">
        <f>IF(Table1[[#This Row],[وسيلة الدفع]]="تحويل",1,0)</f>
        <v>0</v>
      </c>
      <c r="Q2385">
        <f>IF(Table1[[#This Row],[حضر التهيئة]]="نعم",1,0)</f>
        <v>1</v>
      </c>
      <c r="R2385">
        <f>IF(Table1[[#This Row],[دورة الفوترة]]="شهري",1,0)</f>
        <v>0</v>
      </c>
    </row>
    <row r="2386" spans="1:18" x14ac:dyDescent="0.25">
      <c r="A2386" t="s">
        <v>2406</v>
      </c>
      <c r="B2386" s="1">
        <v>45728</v>
      </c>
      <c r="C2386" t="s">
        <v>13</v>
      </c>
      <c r="D2386">
        <v>89</v>
      </c>
      <c r="E2386" t="s">
        <v>14</v>
      </c>
      <c r="F2386">
        <v>19</v>
      </c>
      <c r="G2386" t="s">
        <v>21</v>
      </c>
      <c r="H2386">
        <v>1</v>
      </c>
      <c r="I2386">
        <v>27</v>
      </c>
      <c r="J2386">
        <v>0</v>
      </c>
      <c r="K2386" t="s">
        <v>17</v>
      </c>
      <c r="L2386" t="s">
        <v>17</v>
      </c>
      <c r="M2386">
        <f>IF(Table1[[#This Row],[ألغى الاشتراك]]="نعم",1,0)</f>
        <v>0</v>
      </c>
      <c r="N2386">
        <f>IF(Table1[[#This Row],[وسيلة الدفع]]="بطاقة",1,0)</f>
        <v>0</v>
      </c>
      <c r="O2386">
        <f>IF(Table1[[#This Row],[وسيلة الدفع]]="محفظة",1,0)</f>
        <v>1</v>
      </c>
      <c r="P2386">
        <f>IF(Table1[[#This Row],[وسيلة الدفع]]="تحويل",1,0)</f>
        <v>0</v>
      </c>
      <c r="Q2386">
        <f>IF(Table1[[#This Row],[حضر التهيئة]]="نعم",1,0)</f>
        <v>0</v>
      </c>
      <c r="R2386">
        <f>IF(Table1[[#This Row],[دورة الفوترة]]="شهري",1,0)</f>
        <v>1</v>
      </c>
    </row>
    <row r="2387" spans="1:18" x14ac:dyDescent="0.25">
      <c r="A2387" t="s">
        <v>2407</v>
      </c>
      <c r="B2387" s="1">
        <v>45926</v>
      </c>
      <c r="C2387" t="s">
        <v>28</v>
      </c>
      <c r="D2387">
        <v>39</v>
      </c>
      <c r="E2387" t="s">
        <v>20</v>
      </c>
      <c r="F2387">
        <v>26</v>
      </c>
      <c r="G2387" t="s">
        <v>23</v>
      </c>
      <c r="H2387">
        <v>1</v>
      </c>
      <c r="I2387">
        <v>34</v>
      </c>
      <c r="J2387">
        <v>5</v>
      </c>
      <c r="K2387" t="s">
        <v>16</v>
      </c>
      <c r="L2387" t="s">
        <v>17</v>
      </c>
      <c r="M2387">
        <f>IF(Table1[[#This Row],[ألغى الاشتراك]]="نعم",1,0)</f>
        <v>0</v>
      </c>
      <c r="N2387">
        <f>IF(Table1[[#This Row],[وسيلة الدفع]]="بطاقة",1,0)</f>
        <v>0</v>
      </c>
      <c r="O2387">
        <f>IF(Table1[[#This Row],[وسيلة الدفع]]="محفظة",1,0)</f>
        <v>0</v>
      </c>
      <c r="P2387">
        <f>IF(Table1[[#This Row],[وسيلة الدفع]]="تحويل",1,0)</f>
        <v>1</v>
      </c>
      <c r="Q2387">
        <f>IF(Table1[[#This Row],[حضر التهيئة]]="نعم",1,0)</f>
        <v>1</v>
      </c>
      <c r="R2387">
        <f>IF(Table1[[#This Row],[دورة الفوترة]]="شهري",1,0)</f>
        <v>0</v>
      </c>
    </row>
    <row r="2388" spans="1:18" x14ac:dyDescent="0.25">
      <c r="A2388" t="s">
        <v>2408</v>
      </c>
      <c r="B2388" s="1">
        <v>45349</v>
      </c>
      <c r="C2388" t="s">
        <v>28</v>
      </c>
      <c r="D2388">
        <v>39</v>
      </c>
      <c r="E2388" t="s">
        <v>14</v>
      </c>
      <c r="F2388">
        <v>20</v>
      </c>
      <c r="G2388" t="s">
        <v>23</v>
      </c>
      <c r="H2388">
        <v>1</v>
      </c>
      <c r="I2388">
        <v>16</v>
      </c>
      <c r="J2388">
        <v>0</v>
      </c>
      <c r="K2388" t="s">
        <v>16</v>
      </c>
      <c r="L2388" t="s">
        <v>17</v>
      </c>
      <c r="M2388">
        <f>IF(Table1[[#This Row],[ألغى الاشتراك]]="نعم",1,0)</f>
        <v>0</v>
      </c>
      <c r="N2388">
        <f>IF(Table1[[#This Row],[وسيلة الدفع]]="بطاقة",1,0)</f>
        <v>0</v>
      </c>
      <c r="O2388">
        <f>IF(Table1[[#This Row],[وسيلة الدفع]]="محفظة",1,0)</f>
        <v>0</v>
      </c>
      <c r="P2388">
        <f>IF(Table1[[#This Row],[وسيلة الدفع]]="تحويل",1,0)</f>
        <v>1</v>
      </c>
      <c r="Q2388">
        <f>IF(Table1[[#This Row],[حضر التهيئة]]="نعم",1,0)</f>
        <v>1</v>
      </c>
      <c r="R2388">
        <f>IF(Table1[[#This Row],[دورة الفوترة]]="شهري",1,0)</f>
        <v>1</v>
      </c>
    </row>
    <row r="2389" spans="1:18" x14ac:dyDescent="0.25">
      <c r="A2389" t="s">
        <v>2409</v>
      </c>
      <c r="B2389" s="1">
        <v>45842</v>
      </c>
      <c r="C2389" t="s">
        <v>19</v>
      </c>
      <c r="D2389">
        <v>189</v>
      </c>
      <c r="E2389" t="s">
        <v>20</v>
      </c>
      <c r="F2389">
        <v>15</v>
      </c>
      <c r="G2389" t="s">
        <v>23</v>
      </c>
      <c r="H2389">
        <v>7</v>
      </c>
      <c r="I2389">
        <v>7</v>
      </c>
      <c r="J2389">
        <v>0</v>
      </c>
      <c r="K2389" t="s">
        <v>16</v>
      </c>
      <c r="L2389" t="s">
        <v>16</v>
      </c>
      <c r="M2389">
        <f>IF(Table1[[#This Row],[ألغى الاشتراك]]="نعم",1,0)</f>
        <v>1</v>
      </c>
      <c r="N2389">
        <f>IF(Table1[[#This Row],[وسيلة الدفع]]="بطاقة",1,0)</f>
        <v>0</v>
      </c>
      <c r="O2389">
        <f>IF(Table1[[#This Row],[وسيلة الدفع]]="محفظة",1,0)</f>
        <v>0</v>
      </c>
      <c r="P2389">
        <f>IF(Table1[[#This Row],[وسيلة الدفع]]="تحويل",1,0)</f>
        <v>1</v>
      </c>
      <c r="Q2389">
        <f>IF(Table1[[#This Row],[حضر التهيئة]]="نعم",1,0)</f>
        <v>1</v>
      </c>
      <c r="R2389">
        <f>IF(Table1[[#This Row],[دورة الفوترة]]="شهري",1,0)</f>
        <v>0</v>
      </c>
    </row>
    <row r="2390" spans="1:18" x14ac:dyDescent="0.25">
      <c r="A2390" t="s">
        <v>2410</v>
      </c>
      <c r="B2390" s="1">
        <v>45647</v>
      </c>
      <c r="C2390" t="s">
        <v>28</v>
      </c>
      <c r="D2390">
        <v>39</v>
      </c>
      <c r="E2390" t="s">
        <v>14</v>
      </c>
      <c r="F2390">
        <v>16</v>
      </c>
      <c r="G2390" t="s">
        <v>21</v>
      </c>
      <c r="H2390">
        <v>0</v>
      </c>
      <c r="I2390">
        <v>52</v>
      </c>
      <c r="J2390">
        <v>0</v>
      </c>
      <c r="K2390" t="s">
        <v>16</v>
      </c>
      <c r="L2390" t="s">
        <v>17</v>
      </c>
      <c r="M2390">
        <f>IF(Table1[[#This Row],[ألغى الاشتراك]]="نعم",1,0)</f>
        <v>0</v>
      </c>
      <c r="N2390">
        <f>IF(Table1[[#This Row],[وسيلة الدفع]]="بطاقة",1,0)</f>
        <v>0</v>
      </c>
      <c r="O2390">
        <f>IF(Table1[[#This Row],[وسيلة الدفع]]="محفظة",1,0)</f>
        <v>1</v>
      </c>
      <c r="P2390">
        <f>IF(Table1[[#This Row],[وسيلة الدفع]]="تحويل",1,0)</f>
        <v>0</v>
      </c>
      <c r="Q2390">
        <f>IF(Table1[[#This Row],[حضر التهيئة]]="نعم",1,0)</f>
        <v>1</v>
      </c>
      <c r="R2390">
        <f>IF(Table1[[#This Row],[دورة الفوترة]]="شهري",1,0)</f>
        <v>1</v>
      </c>
    </row>
    <row r="2391" spans="1:18" x14ac:dyDescent="0.25">
      <c r="A2391" t="s">
        <v>2411</v>
      </c>
      <c r="B2391" s="1">
        <v>45902</v>
      </c>
      <c r="C2391" t="s">
        <v>28</v>
      </c>
      <c r="D2391">
        <v>39</v>
      </c>
      <c r="E2391" t="s">
        <v>14</v>
      </c>
      <c r="F2391">
        <v>21</v>
      </c>
      <c r="G2391" t="s">
        <v>21</v>
      </c>
      <c r="H2391">
        <v>2</v>
      </c>
      <c r="I2391">
        <v>39</v>
      </c>
      <c r="J2391">
        <v>0</v>
      </c>
      <c r="K2391" t="s">
        <v>16</v>
      </c>
      <c r="L2391" t="s">
        <v>17</v>
      </c>
      <c r="M2391">
        <f>IF(Table1[[#This Row],[ألغى الاشتراك]]="نعم",1,0)</f>
        <v>0</v>
      </c>
      <c r="N2391">
        <f>IF(Table1[[#This Row],[وسيلة الدفع]]="بطاقة",1,0)</f>
        <v>0</v>
      </c>
      <c r="O2391">
        <f>IF(Table1[[#This Row],[وسيلة الدفع]]="محفظة",1,0)</f>
        <v>1</v>
      </c>
      <c r="P2391">
        <f>IF(Table1[[#This Row],[وسيلة الدفع]]="تحويل",1,0)</f>
        <v>0</v>
      </c>
      <c r="Q2391">
        <f>IF(Table1[[#This Row],[حضر التهيئة]]="نعم",1,0)</f>
        <v>1</v>
      </c>
      <c r="R2391">
        <f>IF(Table1[[#This Row],[دورة الفوترة]]="شهري",1,0)</f>
        <v>1</v>
      </c>
    </row>
    <row r="2392" spans="1:18" x14ac:dyDescent="0.25">
      <c r="A2392" t="s">
        <v>2412</v>
      </c>
      <c r="B2392" s="1">
        <v>45572</v>
      </c>
      <c r="C2392" t="s">
        <v>13</v>
      </c>
      <c r="D2392">
        <v>89</v>
      </c>
      <c r="E2392" t="s">
        <v>14</v>
      </c>
      <c r="F2392">
        <v>30</v>
      </c>
      <c r="G2392" t="s">
        <v>23</v>
      </c>
      <c r="H2392">
        <v>0</v>
      </c>
      <c r="I2392">
        <v>50</v>
      </c>
      <c r="J2392">
        <v>0</v>
      </c>
      <c r="K2392" t="s">
        <v>17</v>
      </c>
      <c r="L2392" t="s">
        <v>17</v>
      </c>
      <c r="M2392">
        <f>IF(Table1[[#This Row],[ألغى الاشتراك]]="نعم",1,0)</f>
        <v>0</v>
      </c>
      <c r="N2392">
        <f>IF(Table1[[#This Row],[وسيلة الدفع]]="بطاقة",1,0)</f>
        <v>0</v>
      </c>
      <c r="O2392">
        <f>IF(Table1[[#This Row],[وسيلة الدفع]]="محفظة",1,0)</f>
        <v>0</v>
      </c>
      <c r="P2392">
        <f>IF(Table1[[#This Row],[وسيلة الدفع]]="تحويل",1,0)</f>
        <v>1</v>
      </c>
      <c r="Q2392">
        <f>IF(Table1[[#This Row],[حضر التهيئة]]="نعم",1,0)</f>
        <v>0</v>
      </c>
      <c r="R2392">
        <f>IF(Table1[[#This Row],[دورة الفوترة]]="شهري",1,0)</f>
        <v>1</v>
      </c>
    </row>
    <row r="2393" spans="1:18" x14ac:dyDescent="0.25">
      <c r="A2393" t="s">
        <v>2413</v>
      </c>
      <c r="B2393" s="1">
        <v>45973</v>
      </c>
      <c r="C2393" t="s">
        <v>19</v>
      </c>
      <c r="D2393">
        <v>189</v>
      </c>
      <c r="E2393" t="s">
        <v>14</v>
      </c>
      <c r="F2393">
        <v>29</v>
      </c>
      <c r="G2393" t="s">
        <v>23</v>
      </c>
      <c r="H2393">
        <v>7</v>
      </c>
      <c r="I2393">
        <v>45</v>
      </c>
      <c r="J2393">
        <v>0</v>
      </c>
      <c r="K2393" t="s">
        <v>16</v>
      </c>
      <c r="L2393" t="s">
        <v>17</v>
      </c>
      <c r="M2393">
        <f>IF(Table1[[#This Row],[ألغى الاشتراك]]="نعم",1,0)</f>
        <v>0</v>
      </c>
      <c r="N2393">
        <f>IF(Table1[[#This Row],[وسيلة الدفع]]="بطاقة",1,0)</f>
        <v>0</v>
      </c>
      <c r="O2393">
        <f>IF(Table1[[#This Row],[وسيلة الدفع]]="محفظة",1,0)</f>
        <v>0</v>
      </c>
      <c r="P2393">
        <f>IF(Table1[[#This Row],[وسيلة الدفع]]="تحويل",1,0)</f>
        <v>1</v>
      </c>
      <c r="Q2393">
        <f>IF(Table1[[#This Row],[حضر التهيئة]]="نعم",1,0)</f>
        <v>1</v>
      </c>
      <c r="R2393">
        <f>IF(Table1[[#This Row],[دورة الفوترة]]="شهري",1,0)</f>
        <v>1</v>
      </c>
    </row>
    <row r="2394" spans="1:18" x14ac:dyDescent="0.25">
      <c r="A2394" t="s">
        <v>2414</v>
      </c>
      <c r="B2394" s="1">
        <v>45513</v>
      </c>
      <c r="C2394" t="s">
        <v>13</v>
      </c>
      <c r="D2394">
        <v>89</v>
      </c>
      <c r="E2394" t="s">
        <v>14</v>
      </c>
      <c r="F2394">
        <v>4</v>
      </c>
      <c r="G2394" t="s">
        <v>23</v>
      </c>
      <c r="H2394">
        <v>2</v>
      </c>
      <c r="I2394">
        <v>38</v>
      </c>
      <c r="J2394">
        <v>0</v>
      </c>
      <c r="K2394" t="s">
        <v>16</v>
      </c>
      <c r="L2394" t="s">
        <v>17</v>
      </c>
      <c r="M2394">
        <f>IF(Table1[[#This Row],[ألغى الاشتراك]]="نعم",1,0)</f>
        <v>0</v>
      </c>
      <c r="N2394">
        <f>IF(Table1[[#This Row],[وسيلة الدفع]]="بطاقة",1,0)</f>
        <v>0</v>
      </c>
      <c r="O2394">
        <f>IF(Table1[[#This Row],[وسيلة الدفع]]="محفظة",1,0)</f>
        <v>0</v>
      </c>
      <c r="P2394">
        <f>IF(Table1[[#This Row],[وسيلة الدفع]]="تحويل",1,0)</f>
        <v>1</v>
      </c>
      <c r="Q2394">
        <f>IF(Table1[[#This Row],[حضر التهيئة]]="نعم",1,0)</f>
        <v>1</v>
      </c>
      <c r="R2394">
        <f>IF(Table1[[#This Row],[دورة الفوترة]]="شهري",1,0)</f>
        <v>1</v>
      </c>
    </row>
    <row r="2395" spans="1:18" x14ac:dyDescent="0.25">
      <c r="A2395" t="s">
        <v>2415</v>
      </c>
      <c r="B2395" s="1">
        <v>45918</v>
      </c>
      <c r="C2395" t="s">
        <v>19</v>
      </c>
      <c r="D2395">
        <v>189</v>
      </c>
      <c r="E2395" t="s">
        <v>14</v>
      </c>
      <c r="F2395">
        <v>17</v>
      </c>
      <c r="G2395" t="s">
        <v>21</v>
      </c>
      <c r="H2395">
        <v>2</v>
      </c>
      <c r="I2395">
        <v>41</v>
      </c>
      <c r="J2395">
        <v>0</v>
      </c>
      <c r="K2395" t="s">
        <v>16</v>
      </c>
      <c r="L2395" t="s">
        <v>17</v>
      </c>
      <c r="M2395">
        <f>IF(Table1[[#This Row],[ألغى الاشتراك]]="نعم",1,0)</f>
        <v>0</v>
      </c>
      <c r="N2395">
        <f>IF(Table1[[#This Row],[وسيلة الدفع]]="بطاقة",1,0)</f>
        <v>0</v>
      </c>
      <c r="O2395">
        <f>IF(Table1[[#This Row],[وسيلة الدفع]]="محفظة",1,0)</f>
        <v>1</v>
      </c>
      <c r="P2395">
        <f>IF(Table1[[#This Row],[وسيلة الدفع]]="تحويل",1,0)</f>
        <v>0</v>
      </c>
      <c r="Q2395">
        <f>IF(Table1[[#This Row],[حضر التهيئة]]="نعم",1,0)</f>
        <v>1</v>
      </c>
      <c r="R2395">
        <f>IF(Table1[[#This Row],[دورة الفوترة]]="شهري",1,0)</f>
        <v>1</v>
      </c>
    </row>
    <row r="2396" spans="1:18" x14ac:dyDescent="0.25">
      <c r="A2396" t="s">
        <v>2416</v>
      </c>
      <c r="B2396" s="1">
        <v>45846</v>
      </c>
      <c r="C2396" t="s">
        <v>13</v>
      </c>
      <c r="D2396">
        <v>89</v>
      </c>
      <c r="E2396" t="s">
        <v>14</v>
      </c>
      <c r="F2396">
        <v>14</v>
      </c>
      <c r="G2396" t="s">
        <v>15</v>
      </c>
      <c r="H2396">
        <v>9</v>
      </c>
      <c r="I2396">
        <v>34</v>
      </c>
      <c r="J2396">
        <v>15</v>
      </c>
      <c r="K2396" t="s">
        <v>16</v>
      </c>
      <c r="L2396" t="s">
        <v>17</v>
      </c>
      <c r="M2396">
        <f>IF(Table1[[#This Row],[ألغى الاشتراك]]="نعم",1,0)</f>
        <v>0</v>
      </c>
      <c r="N2396">
        <f>IF(Table1[[#This Row],[وسيلة الدفع]]="بطاقة",1,0)</f>
        <v>1</v>
      </c>
      <c r="O2396">
        <f>IF(Table1[[#This Row],[وسيلة الدفع]]="محفظة",1,0)</f>
        <v>0</v>
      </c>
      <c r="P2396">
        <f>IF(Table1[[#This Row],[وسيلة الدفع]]="تحويل",1,0)</f>
        <v>0</v>
      </c>
      <c r="Q2396">
        <f>IF(Table1[[#This Row],[حضر التهيئة]]="نعم",1,0)</f>
        <v>1</v>
      </c>
      <c r="R2396">
        <f>IF(Table1[[#This Row],[دورة الفوترة]]="شهري",1,0)</f>
        <v>1</v>
      </c>
    </row>
    <row r="2397" spans="1:18" x14ac:dyDescent="0.25">
      <c r="A2397" t="s">
        <v>2417</v>
      </c>
      <c r="B2397" s="1">
        <v>45651</v>
      </c>
      <c r="C2397" t="s">
        <v>19</v>
      </c>
      <c r="D2397">
        <v>189</v>
      </c>
      <c r="E2397" t="s">
        <v>14</v>
      </c>
      <c r="F2397">
        <v>16</v>
      </c>
      <c r="G2397" t="s">
        <v>21</v>
      </c>
      <c r="H2397">
        <v>4</v>
      </c>
      <c r="I2397">
        <v>56</v>
      </c>
      <c r="J2397">
        <v>0</v>
      </c>
      <c r="K2397" t="s">
        <v>16</v>
      </c>
      <c r="L2397" t="s">
        <v>17</v>
      </c>
      <c r="M2397">
        <f>IF(Table1[[#This Row],[ألغى الاشتراك]]="نعم",1,0)</f>
        <v>0</v>
      </c>
      <c r="N2397">
        <f>IF(Table1[[#This Row],[وسيلة الدفع]]="بطاقة",1,0)</f>
        <v>0</v>
      </c>
      <c r="O2397">
        <f>IF(Table1[[#This Row],[وسيلة الدفع]]="محفظة",1,0)</f>
        <v>1</v>
      </c>
      <c r="P2397">
        <f>IF(Table1[[#This Row],[وسيلة الدفع]]="تحويل",1,0)</f>
        <v>0</v>
      </c>
      <c r="Q2397">
        <f>IF(Table1[[#This Row],[حضر التهيئة]]="نعم",1,0)</f>
        <v>1</v>
      </c>
      <c r="R2397">
        <f>IF(Table1[[#This Row],[دورة الفوترة]]="شهري",1,0)</f>
        <v>1</v>
      </c>
    </row>
    <row r="2398" spans="1:18" x14ac:dyDescent="0.25">
      <c r="A2398" t="s">
        <v>2418</v>
      </c>
      <c r="B2398" s="1">
        <v>45667</v>
      </c>
      <c r="C2398" t="s">
        <v>28</v>
      </c>
      <c r="D2398">
        <v>39</v>
      </c>
      <c r="E2398" t="s">
        <v>20</v>
      </c>
      <c r="F2398">
        <v>15</v>
      </c>
      <c r="G2398" t="s">
        <v>15</v>
      </c>
      <c r="H2398">
        <v>3</v>
      </c>
      <c r="I2398">
        <v>15</v>
      </c>
      <c r="J2398">
        <v>0</v>
      </c>
      <c r="K2398" t="s">
        <v>16</v>
      </c>
      <c r="L2398" t="s">
        <v>17</v>
      </c>
      <c r="M2398">
        <f>IF(Table1[[#This Row],[ألغى الاشتراك]]="نعم",1,0)</f>
        <v>0</v>
      </c>
      <c r="N2398">
        <f>IF(Table1[[#This Row],[وسيلة الدفع]]="بطاقة",1,0)</f>
        <v>1</v>
      </c>
      <c r="O2398">
        <f>IF(Table1[[#This Row],[وسيلة الدفع]]="محفظة",1,0)</f>
        <v>0</v>
      </c>
      <c r="P2398">
        <f>IF(Table1[[#This Row],[وسيلة الدفع]]="تحويل",1,0)</f>
        <v>0</v>
      </c>
      <c r="Q2398">
        <f>IF(Table1[[#This Row],[حضر التهيئة]]="نعم",1,0)</f>
        <v>1</v>
      </c>
      <c r="R2398">
        <f>IF(Table1[[#This Row],[دورة الفوترة]]="شهري",1,0)</f>
        <v>0</v>
      </c>
    </row>
    <row r="2399" spans="1:18" x14ac:dyDescent="0.25">
      <c r="A2399" t="s">
        <v>2419</v>
      </c>
      <c r="B2399" s="1">
        <v>45466</v>
      </c>
      <c r="C2399" t="s">
        <v>28</v>
      </c>
      <c r="D2399">
        <v>39</v>
      </c>
      <c r="E2399" t="s">
        <v>14</v>
      </c>
      <c r="F2399">
        <v>20</v>
      </c>
      <c r="G2399" t="s">
        <v>23</v>
      </c>
      <c r="H2399">
        <v>1</v>
      </c>
      <c r="I2399">
        <v>12</v>
      </c>
      <c r="J2399">
        <v>0</v>
      </c>
      <c r="K2399" t="s">
        <v>17</v>
      </c>
      <c r="L2399" t="s">
        <v>17</v>
      </c>
      <c r="M2399">
        <f>IF(Table1[[#This Row],[ألغى الاشتراك]]="نعم",1,0)</f>
        <v>0</v>
      </c>
      <c r="N2399">
        <f>IF(Table1[[#This Row],[وسيلة الدفع]]="بطاقة",1,0)</f>
        <v>0</v>
      </c>
      <c r="O2399">
        <f>IF(Table1[[#This Row],[وسيلة الدفع]]="محفظة",1,0)</f>
        <v>0</v>
      </c>
      <c r="P2399">
        <f>IF(Table1[[#This Row],[وسيلة الدفع]]="تحويل",1,0)</f>
        <v>1</v>
      </c>
      <c r="Q2399">
        <f>IF(Table1[[#This Row],[حضر التهيئة]]="نعم",1,0)</f>
        <v>0</v>
      </c>
      <c r="R2399">
        <f>IF(Table1[[#This Row],[دورة الفوترة]]="شهري",1,0)</f>
        <v>1</v>
      </c>
    </row>
    <row r="2400" spans="1:18" x14ac:dyDescent="0.25">
      <c r="A2400" t="s">
        <v>2420</v>
      </c>
      <c r="B2400" s="1">
        <v>45846</v>
      </c>
      <c r="C2400" t="s">
        <v>13</v>
      </c>
      <c r="D2400">
        <v>89</v>
      </c>
      <c r="E2400" t="s">
        <v>20</v>
      </c>
      <c r="F2400">
        <v>1</v>
      </c>
      <c r="G2400" t="s">
        <v>23</v>
      </c>
      <c r="H2400">
        <v>0</v>
      </c>
      <c r="I2400">
        <v>35</v>
      </c>
      <c r="J2400">
        <v>0</v>
      </c>
      <c r="K2400" t="s">
        <v>16</v>
      </c>
      <c r="L2400" t="s">
        <v>17</v>
      </c>
      <c r="M2400">
        <f>IF(Table1[[#This Row],[ألغى الاشتراك]]="نعم",1,0)</f>
        <v>0</v>
      </c>
      <c r="N2400">
        <f>IF(Table1[[#This Row],[وسيلة الدفع]]="بطاقة",1,0)</f>
        <v>0</v>
      </c>
      <c r="O2400">
        <f>IF(Table1[[#This Row],[وسيلة الدفع]]="محفظة",1,0)</f>
        <v>0</v>
      </c>
      <c r="P2400">
        <f>IF(Table1[[#This Row],[وسيلة الدفع]]="تحويل",1,0)</f>
        <v>1</v>
      </c>
      <c r="Q2400">
        <f>IF(Table1[[#This Row],[حضر التهيئة]]="نعم",1,0)</f>
        <v>1</v>
      </c>
      <c r="R2400">
        <f>IF(Table1[[#This Row],[دورة الفوترة]]="شهري",1,0)</f>
        <v>0</v>
      </c>
    </row>
    <row r="2401" spans="1:18" x14ac:dyDescent="0.25">
      <c r="A2401" t="s">
        <v>2421</v>
      </c>
      <c r="B2401" s="1">
        <v>45407</v>
      </c>
      <c r="C2401" t="s">
        <v>19</v>
      </c>
      <c r="D2401">
        <v>189</v>
      </c>
      <c r="E2401" t="s">
        <v>14</v>
      </c>
      <c r="F2401">
        <v>28</v>
      </c>
      <c r="G2401" t="s">
        <v>23</v>
      </c>
      <c r="H2401">
        <v>1</v>
      </c>
      <c r="I2401">
        <v>36</v>
      </c>
      <c r="J2401">
        <v>0</v>
      </c>
      <c r="K2401" t="s">
        <v>16</v>
      </c>
      <c r="L2401" t="s">
        <v>17</v>
      </c>
      <c r="M2401">
        <f>IF(Table1[[#This Row],[ألغى الاشتراك]]="نعم",1,0)</f>
        <v>0</v>
      </c>
      <c r="N2401">
        <f>IF(Table1[[#This Row],[وسيلة الدفع]]="بطاقة",1,0)</f>
        <v>0</v>
      </c>
      <c r="O2401">
        <f>IF(Table1[[#This Row],[وسيلة الدفع]]="محفظة",1,0)</f>
        <v>0</v>
      </c>
      <c r="P2401">
        <f>IF(Table1[[#This Row],[وسيلة الدفع]]="تحويل",1,0)</f>
        <v>1</v>
      </c>
      <c r="Q2401">
        <f>IF(Table1[[#This Row],[حضر التهيئة]]="نعم",1,0)</f>
        <v>1</v>
      </c>
      <c r="R2401">
        <f>IF(Table1[[#This Row],[دورة الفوترة]]="شهري",1,0)</f>
        <v>1</v>
      </c>
    </row>
  </sheetData>
  <sortState ref="X28:Z37">
    <sortCondition descending="1" ref="X28"/>
  </sortState>
  <mergeCells count="5">
    <mergeCell ref="T1:W1"/>
    <mergeCell ref="AB10:AE10"/>
    <mergeCell ref="T10:V10"/>
    <mergeCell ref="X10:Z10"/>
    <mergeCell ref="X26:Z26"/>
  </mergeCells>
  <pageMargins left="0.7" right="0.7" top="0.75" bottom="0.75" header="0.3" footer="0.3"/>
  <pageSetup paperSize="9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subscriptions-churn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Almasdar1</dc:creator>
  <cp:lastModifiedBy>Almasdar1</cp:lastModifiedBy>
  <dcterms:created xsi:type="dcterms:W3CDTF">2026-09-17T11:01:36Z</dcterms:created>
  <dcterms:modified xsi:type="dcterms:W3CDTF">2026-09-25T09:57:12Z</dcterms:modified>
</cp:coreProperties>
</file>